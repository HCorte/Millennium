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401" codeName="{00000000-0000-0000-0000-000000000000}"/>
  <workbookPr codeName="EsteLivro" defaultThemeVersion="124226"/>
  <mc:AlternateContent xmlns:mc="http://schemas.openxmlformats.org/markup-compatibility/2006">
    <mc:Choice Requires="x15">
      <x15ac:absPath xmlns:x15ac="http://schemas.microsoft.com/office/spreadsheetml/2010/11/ac" url="\\blade01\disti$\UGAJ\Documentação\MILL\"/>
    </mc:Choice>
  </mc:AlternateContent>
  <xr:revisionPtr revIDLastSave="0" documentId="11_779E3AC8A2A27BF320F6ABB7A79A67E58365DF7F" xr6:coauthVersionLast="47" xr6:coauthVersionMax="47" xr10:uidLastSave="{00000000-0000-0000-0000-000000000000}"/>
  <bookViews>
    <workbookView minimized="1" xWindow="-15" yWindow="705" windowWidth="10440" windowHeight="7305" tabRatio="802" firstSheet="6" activeTab="6" xr2:uid="{00000000-000D-0000-FFFF-FFFF00000000}"/>
  </bookViews>
  <sheets>
    <sheet name="IGS Configuration Values" sheetId="11" r:id="rId1"/>
    <sheet name="Betslip 1x2" sheetId="22" r:id="rId2"/>
    <sheet name="IGS Wager GEN" sheetId="18" r:id="rId3"/>
    <sheet name="IGS Wager T2C" sheetId="4" r:id="rId4"/>
    <sheet name="IGS Wager C2T" sheetId="6" r:id="rId5"/>
    <sheet name="IGS Cancel" sheetId="5" r:id="rId6"/>
    <sheet name="IGS Validation" sheetId="7" r:id="rId7"/>
    <sheet name="IGS Payment" sheetId="9" r:id="rId8"/>
    <sheet name="Terminal Reprint" sheetId="12" r:id="rId9"/>
    <sheet name="IGS Reprint" sheetId="15" r:id="rId10"/>
    <sheet name="IGS Media Programme" sheetId="10" r:id="rId11"/>
    <sheet name="IGS MProg Mess Build" sheetId="17" r:id="rId12"/>
    <sheet name="Financial Report" sheetId="14" r:id="rId13"/>
    <sheet name="Accountability Report" sheetId="16" r:id="rId14"/>
    <sheet name="IGS Error C2T" sheetId="8" r:id="rId15"/>
    <sheet name="Error C2T" sheetId="21" r:id="rId16"/>
  </sheets>
  <definedNames>
    <definedName name="_Toc383511882" localSheetId="8">'Terminal Reprint'!$B$27</definedName>
    <definedName name="_Toc383511884" localSheetId="8">'Terminal Reprint'!$B$66</definedName>
    <definedName name="Event_Index">'Betslip 1x2'!$AF$3:$AF$16</definedName>
    <definedName name="EventMarket">#REF!</definedName>
    <definedName name="MarketOutcome">#REF!</definedName>
    <definedName name="Montante_Base">#REF!</definedName>
    <definedName name="SelectedEvent">#REF!</definedName>
  </definedNames>
  <calcPr calcId="152511"/>
</workbook>
</file>

<file path=xl/calcChain.xml><?xml version="1.0" encoding="utf-8"?>
<calcChain xmlns="http://schemas.openxmlformats.org/spreadsheetml/2006/main">
  <c r="B235" i="11" l="1"/>
  <c r="I224" i="14"/>
  <c r="B16" i="11"/>
  <c r="B15" i="11"/>
  <c r="G22" i="18" l="1"/>
  <c r="I46" i="9" l="1"/>
  <c r="W58" i="10" l="1"/>
  <c r="AG58" i="10"/>
  <c r="AQ58" i="10"/>
  <c r="BA58" i="10"/>
  <c r="BK58" i="10"/>
  <c r="BU58" i="10"/>
  <c r="CE58" i="10"/>
  <c r="CO58" i="10"/>
  <c r="CY58" i="10"/>
  <c r="DI58" i="10"/>
  <c r="DS58" i="10"/>
  <c r="EC58" i="10"/>
  <c r="EM58" i="10"/>
  <c r="EW58" i="10"/>
  <c r="FG58" i="10"/>
  <c r="FQ58" i="10"/>
  <c r="GA58" i="10"/>
  <c r="GK58" i="10"/>
  <c r="GU58" i="10"/>
  <c r="HE58" i="10"/>
  <c r="HO58" i="10"/>
  <c r="HY58" i="10"/>
  <c r="II58" i="10"/>
  <c r="IS58" i="10"/>
  <c r="JC58" i="10"/>
  <c r="JM58" i="10"/>
  <c r="JW58" i="10"/>
  <c r="KG58" i="10"/>
  <c r="KQ58" i="10"/>
  <c r="LA58" i="10"/>
  <c r="LK58" i="10"/>
  <c r="LU58" i="10"/>
  <c r="ME58" i="10"/>
  <c r="MO58" i="10"/>
  <c r="MY58" i="10"/>
  <c r="NI58" i="10"/>
  <c r="NS58" i="10"/>
  <c r="OC58" i="10"/>
  <c r="OM58" i="10"/>
  <c r="OW58" i="10"/>
  <c r="PG58" i="10"/>
  <c r="PQ58" i="10"/>
  <c r="QA58" i="10"/>
  <c r="QK58" i="10"/>
  <c r="QU58" i="10"/>
  <c r="RE58" i="10"/>
  <c r="RO58" i="10"/>
  <c r="RY58" i="10"/>
  <c r="SI58" i="10"/>
  <c r="SS58" i="10"/>
  <c r="TC58" i="10"/>
  <c r="TM58" i="10"/>
  <c r="TW58" i="10"/>
  <c r="UG58" i="10"/>
  <c r="UQ58" i="10"/>
  <c r="VA58" i="10"/>
  <c r="VK58" i="10"/>
  <c r="VU58" i="10"/>
  <c r="WE58" i="10"/>
  <c r="WO58" i="10"/>
  <c r="WY58" i="10"/>
  <c r="XI58" i="10"/>
  <c r="XS58" i="10"/>
  <c r="YC58" i="10"/>
  <c r="YM58" i="10"/>
  <c r="YW58" i="10"/>
  <c r="ZG58" i="10"/>
  <c r="ZQ58" i="10"/>
  <c r="AAA58" i="10"/>
  <c r="AAK58" i="10"/>
  <c r="AAU58" i="10"/>
  <c r="ABE58" i="10"/>
  <c r="ABO58" i="10"/>
  <c r="ABY58" i="10"/>
  <c r="ACI58" i="10"/>
  <c r="ACS58" i="10"/>
  <c r="ADC58" i="10"/>
  <c r="ADM58" i="10"/>
  <c r="ADW58" i="10"/>
  <c r="AEG58" i="10"/>
  <c r="AEQ58" i="10"/>
  <c r="AFA58" i="10"/>
  <c r="AFK58" i="10"/>
  <c r="AFU58" i="10"/>
  <c r="AGE58" i="10"/>
  <c r="AGO58" i="10"/>
  <c r="AGY58" i="10"/>
  <c r="AHI58" i="10"/>
  <c r="AHS58" i="10"/>
  <c r="AIC58" i="10"/>
  <c r="AIM58" i="10"/>
  <c r="AIW58" i="10"/>
  <c r="W59" i="10"/>
  <c r="AG59" i="10"/>
  <c r="AQ59" i="10"/>
  <c r="BA59" i="10"/>
  <c r="BK59" i="10"/>
  <c r="BU59" i="10"/>
  <c r="CE59" i="10"/>
  <c r="CO59" i="10"/>
  <c r="CY59" i="10"/>
  <c r="DI59" i="10"/>
  <c r="DS59" i="10"/>
  <c r="EC59" i="10"/>
  <c r="EM59" i="10"/>
  <c r="EW59" i="10"/>
  <c r="FG59" i="10"/>
  <c r="FQ59" i="10"/>
  <c r="GA59" i="10"/>
  <c r="GK59" i="10"/>
  <c r="GU59" i="10"/>
  <c r="HE59" i="10"/>
  <c r="HO59" i="10"/>
  <c r="HY59" i="10"/>
  <c r="II59" i="10"/>
  <c r="IS59" i="10"/>
  <c r="JC59" i="10"/>
  <c r="JM59" i="10"/>
  <c r="JW59" i="10"/>
  <c r="KG59" i="10"/>
  <c r="KQ59" i="10"/>
  <c r="LA59" i="10"/>
  <c r="LK59" i="10"/>
  <c r="LU59" i="10"/>
  <c r="ME59" i="10"/>
  <c r="MO59" i="10"/>
  <c r="MY59" i="10"/>
  <c r="NI59" i="10"/>
  <c r="NS59" i="10"/>
  <c r="OC59" i="10"/>
  <c r="OM59" i="10"/>
  <c r="OW59" i="10"/>
  <c r="PG59" i="10"/>
  <c r="PQ59" i="10"/>
  <c r="QA59" i="10"/>
  <c r="QK59" i="10"/>
  <c r="QU59" i="10"/>
  <c r="RE59" i="10"/>
  <c r="RO59" i="10"/>
  <c r="RY59" i="10"/>
  <c r="SI59" i="10"/>
  <c r="SS59" i="10"/>
  <c r="TC59" i="10"/>
  <c r="TM59" i="10"/>
  <c r="TW59" i="10"/>
  <c r="UG59" i="10"/>
  <c r="UQ59" i="10"/>
  <c r="VA59" i="10"/>
  <c r="VK59" i="10"/>
  <c r="VU59" i="10"/>
  <c r="WE59" i="10"/>
  <c r="WO59" i="10"/>
  <c r="WY59" i="10"/>
  <c r="XI59" i="10"/>
  <c r="XS59" i="10"/>
  <c r="YC59" i="10"/>
  <c r="YM59" i="10"/>
  <c r="YW59" i="10"/>
  <c r="ZG59" i="10"/>
  <c r="ZQ59" i="10"/>
  <c r="AAA59" i="10"/>
  <c r="AAK59" i="10"/>
  <c r="AAU59" i="10"/>
  <c r="ABE59" i="10"/>
  <c r="ABO59" i="10"/>
  <c r="ABY59" i="10"/>
  <c r="ACI59" i="10"/>
  <c r="ACS59" i="10"/>
  <c r="ADC59" i="10"/>
  <c r="ADM59" i="10"/>
  <c r="ADW59" i="10"/>
  <c r="AEG59" i="10"/>
  <c r="AEQ59" i="10"/>
  <c r="AFA59" i="10"/>
  <c r="AFK59" i="10"/>
  <c r="AFU59" i="10"/>
  <c r="AGE59" i="10"/>
  <c r="AGO59" i="10"/>
  <c r="AGY59" i="10"/>
  <c r="AHI59" i="10"/>
  <c r="AHS59" i="10"/>
  <c r="AIC59" i="10"/>
  <c r="AIM59" i="10"/>
  <c r="AIW59" i="10"/>
  <c r="W60" i="10"/>
  <c r="AG60" i="10"/>
  <c r="AQ60" i="10"/>
  <c r="BA60" i="10"/>
  <c r="BK60" i="10"/>
  <c r="BU60" i="10"/>
  <c r="CE60" i="10"/>
  <c r="CO60" i="10"/>
  <c r="CY60" i="10"/>
  <c r="DI60" i="10"/>
  <c r="DS60" i="10"/>
  <c r="EC60" i="10"/>
  <c r="EM60" i="10"/>
  <c r="EW60" i="10"/>
  <c r="FG60" i="10"/>
  <c r="FQ60" i="10"/>
  <c r="GA60" i="10"/>
  <c r="GK60" i="10"/>
  <c r="GU60" i="10"/>
  <c r="HE60" i="10"/>
  <c r="HO60" i="10"/>
  <c r="HY60" i="10"/>
  <c r="II60" i="10"/>
  <c r="IS60" i="10"/>
  <c r="JC60" i="10"/>
  <c r="JM60" i="10"/>
  <c r="JW60" i="10"/>
  <c r="KG60" i="10"/>
  <c r="KQ60" i="10"/>
  <c r="LA60" i="10"/>
  <c r="LK60" i="10"/>
  <c r="LU60" i="10"/>
  <c r="ME60" i="10"/>
  <c r="MO60" i="10"/>
  <c r="MY60" i="10"/>
  <c r="NI60" i="10"/>
  <c r="NS60" i="10"/>
  <c r="OC60" i="10"/>
  <c r="OM60" i="10"/>
  <c r="OW60" i="10"/>
  <c r="PG60" i="10"/>
  <c r="PQ60" i="10"/>
  <c r="QA60" i="10"/>
  <c r="QK60" i="10"/>
  <c r="QU60" i="10"/>
  <c r="RE60" i="10"/>
  <c r="RO60" i="10"/>
  <c r="RY60" i="10"/>
  <c r="SI60" i="10"/>
  <c r="SS60" i="10"/>
  <c r="TC60" i="10"/>
  <c r="TM60" i="10"/>
  <c r="TW60" i="10"/>
  <c r="UG60" i="10"/>
  <c r="UQ60" i="10"/>
  <c r="VA60" i="10"/>
  <c r="VK60" i="10"/>
  <c r="VU60" i="10"/>
  <c r="WE60" i="10"/>
  <c r="WO60" i="10"/>
  <c r="WY60" i="10"/>
  <c r="XI60" i="10"/>
  <c r="XS60" i="10"/>
  <c r="YC60" i="10"/>
  <c r="YM60" i="10"/>
  <c r="YW60" i="10"/>
  <c r="ZG60" i="10"/>
  <c r="ZQ60" i="10"/>
  <c r="AAA60" i="10"/>
  <c r="AAK60" i="10"/>
  <c r="AAU60" i="10"/>
  <c r="ABE60" i="10"/>
  <c r="ABO60" i="10"/>
  <c r="ABY60" i="10"/>
  <c r="ACI60" i="10"/>
  <c r="ACS60" i="10"/>
  <c r="ADC60" i="10"/>
  <c r="ADM60" i="10"/>
  <c r="ADW60" i="10"/>
  <c r="AEG60" i="10"/>
  <c r="AEQ60" i="10"/>
  <c r="AFA60" i="10"/>
  <c r="AFK60" i="10"/>
  <c r="AFU60" i="10"/>
  <c r="AGE60" i="10"/>
  <c r="AGO60" i="10"/>
  <c r="AGY60" i="10"/>
  <c r="AHI60" i="10"/>
  <c r="AHS60" i="10"/>
  <c r="AIC60" i="10"/>
  <c r="AIM60" i="10"/>
  <c r="AIW60" i="10"/>
  <c r="W61" i="10"/>
  <c r="AG61" i="10"/>
  <c r="AQ61" i="10"/>
  <c r="BA61" i="10"/>
  <c r="BK61" i="10"/>
  <c r="BU61" i="10"/>
  <c r="CE61" i="10"/>
  <c r="CO61" i="10"/>
  <c r="CY61" i="10"/>
  <c r="DI61" i="10"/>
  <c r="DS61" i="10"/>
  <c r="EC61" i="10"/>
  <c r="EM61" i="10"/>
  <c r="EW61" i="10"/>
  <c r="FG61" i="10"/>
  <c r="FQ61" i="10"/>
  <c r="GA61" i="10"/>
  <c r="GK61" i="10"/>
  <c r="GU61" i="10"/>
  <c r="HE61" i="10"/>
  <c r="HO61" i="10"/>
  <c r="HY61" i="10"/>
  <c r="II61" i="10"/>
  <c r="IS61" i="10"/>
  <c r="JC61" i="10"/>
  <c r="JM61" i="10"/>
  <c r="JW61" i="10"/>
  <c r="KG61" i="10"/>
  <c r="KQ61" i="10"/>
  <c r="LA61" i="10"/>
  <c r="LK61" i="10"/>
  <c r="LU61" i="10"/>
  <c r="ME61" i="10"/>
  <c r="MO61" i="10"/>
  <c r="MY61" i="10"/>
  <c r="NI61" i="10"/>
  <c r="NS61" i="10"/>
  <c r="OC61" i="10"/>
  <c r="OM61" i="10"/>
  <c r="OW61" i="10"/>
  <c r="PG61" i="10"/>
  <c r="PQ61" i="10"/>
  <c r="QA61" i="10"/>
  <c r="QK61" i="10"/>
  <c r="QU61" i="10"/>
  <c r="RE61" i="10"/>
  <c r="RO61" i="10"/>
  <c r="RY61" i="10"/>
  <c r="SI61" i="10"/>
  <c r="SS61" i="10"/>
  <c r="TC61" i="10"/>
  <c r="TM61" i="10"/>
  <c r="TW61" i="10"/>
  <c r="UG61" i="10"/>
  <c r="UQ61" i="10"/>
  <c r="VA61" i="10"/>
  <c r="VK61" i="10"/>
  <c r="VU61" i="10"/>
  <c r="WE61" i="10"/>
  <c r="WO61" i="10"/>
  <c r="WY61" i="10"/>
  <c r="XI61" i="10"/>
  <c r="XS61" i="10"/>
  <c r="YC61" i="10"/>
  <c r="YM61" i="10"/>
  <c r="YW61" i="10"/>
  <c r="ZG61" i="10"/>
  <c r="ZQ61" i="10"/>
  <c r="AAA61" i="10"/>
  <c r="AAK61" i="10"/>
  <c r="AAU61" i="10"/>
  <c r="ABE61" i="10"/>
  <c r="ABO61" i="10"/>
  <c r="ABY61" i="10"/>
  <c r="ACI61" i="10"/>
  <c r="ACS61" i="10"/>
  <c r="ADC61" i="10"/>
  <c r="ADM61" i="10"/>
  <c r="ADW61" i="10"/>
  <c r="AEG61" i="10"/>
  <c r="AEQ61" i="10"/>
  <c r="AFA61" i="10"/>
  <c r="AFK61" i="10"/>
  <c r="AFU61" i="10"/>
  <c r="AGE61" i="10"/>
  <c r="AGO61" i="10"/>
  <c r="AGY61" i="10"/>
  <c r="AHI61" i="10"/>
  <c r="AHS61" i="10"/>
  <c r="AIC61" i="10"/>
  <c r="AIM61" i="10"/>
  <c r="AIW61" i="10"/>
  <c r="W62" i="10"/>
  <c r="AG62" i="10"/>
  <c r="AQ62" i="10"/>
  <c r="BA62" i="10"/>
  <c r="BK62" i="10"/>
  <c r="BU62" i="10"/>
  <c r="CE62" i="10"/>
  <c r="CO62" i="10"/>
  <c r="CY62" i="10"/>
  <c r="DI62" i="10"/>
  <c r="DS62" i="10"/>
  <c r="EC62" i="10"/>
  <c r="EM62" i="10"/>
  <c r="EW62" i="10"/>
  <c r="FG62" i="10"/>
  <c r="FQ62" i="10"/>
  <c r="GA62" i="10"/>
  <c r="GK62" i="10"/>
  <c r="GU62" i="10"/>
  <c r="HE62" i="10"/>
  <c r="HO62" i="10"/>
  <c r="HY62" i="10"/>
  <c r="II62" i="10"/>
  <c r="IS62" i="10"/>
  <c r="JC62" i="10"/>
  <c r="JM62" i="10"/>
  <c r="JW62" i="10"/>
  <c r="KG62" i="10"/>
  <c r="KQ62" i="10"/>
  <c r="LA62" i="10"/>
  <c r="LK62" i="10"/>
  <c r="LU62" i="10"/>
  <c r="ME62" i="10"/>
  <c r="MO62" i="10"/>
  <c r="MY62" i="10"/>
  <c r="NI62" i="10"/>
  <c r="NS62" i="10"/>
  <c r="OC62" i="10"/>
  <c r="OM62" i="10"/>
  <c r="OW62" i="10"/>
  <c r="PG62" i="10"/>
  <c r="PQ62" i="10"/>
  <c r="QA62" i="10"/>
  <c r="QK62" i="10"/>
  <c r="QU62" i="10"/>
  <c r="RE62" i="10"/>
  <c r="RO62" i="10"/>
  <c r="RY62" i="10"/>
  <c r="SI62" i="10"/>
  <c r="SS62" i="10"/>
  <c r="TC62" i="10"/>
  <c r="TM62" i="10"/>
  <c r="TW62" i="10"/>
  <c r="UG62" i="10"/>
  <c r="UQ62" i="10"/>
  <c r="VA62" i="10"/>
  <c r="VK62" i="10"/>
  <c r="VU62" i="10"/>
  <c r="WE62" i="10"/>
  <c r="WO62" i="10"/>
  <c r="WY62" i="10"/>
  <c r="XI62" i="10"/>
  <c r="XS62" i="10"/>
  <c r="YC62" i="10"/>
  <c r="YM62" i="10"/>
  <c r="YW62" i="10"/>
  <c r="ZG62" i="10"/>
  <c r="ZQ62" i="10"/>
  <c r="AAA62" i="10"/>
  <c r="AAK62" i="10"/>
  <c r="AAU62" i="10"/>
  <c r="ABE62" i="10"/>
  <c r="ABO62" i="10"/>
  <c r="ABY62" i="10"/>
  <c r="ACI62" i="10"/>
  <c r="ACS62" i="10"/>
  <c r="ADC62" i="10"/>
  <c r="ADM62" i="10"/>
  <c r="ADW62" i="10"/>
  <c r="AEG62" i="10"/>
  <c r="AEQ62" i="10"/>
  <c r="AFA62" i="10"/>
  <c r="AFK62" i="10"/>
  <c r="AFU62" i="10"/>
  <c r="AGE62" i="10"/>
  <c r="AGO62" i="10"/>
  <c r="AGY62" i="10"/>
  <c r="AHI62" i="10"/>
  <c r="AHS62" i="10"/>
  <c r="AIC62" i="10"/>
  <c r="AIM62" i="10"/>
  <c r="AIW62" i="10"/>
  <c r="W63" i="10"/>
  <c r="AG63" i="10"/>
  <c r="AQ63" i="10"/>
  <c r="BA63" i="10"/>
  <c r="BK63" i="10"/>
  <c r="BU63" i="10"/>
  <c r="CE63" i="10"/>
  <c r="CO63" i="10"/>
  <c r="CY63" i="10"/>
  <c r="DI63" i="10"/>
  <c r="DS63" i="10"/>
  <c r="EC63" i="10"/>
  <c r="EM63" i="10"/>
  <c r="EW63" i="10"/>
  <c r="FG63" i="10"/>
  <c r="FQ63" i="10"/>
  <c r="GA63" i="10"/>
  <c r="GK63" i="10"/>
  <c r="GU63" i="10"/>
  <c r="HE63" i="10"/>
  <c r="HO63" i="10"/>
  <c r="HY63" i="10"/>
  <c r="II63" i="10"/>
  <c r="IS63" i="10"/>
  <c r="JC63" i="10"/>
  <c r="JM63" i="10"/>
  <c r="JW63" i="10"/>
  <c r="KG63" i="10"/>
  <c r="KQ63" i="10"/>
  <c r="LA63" i="10"/>
  <c r="LK63" i="10"/>
  <c r="LU63" i="10"/>
  <c r="ME63" i="10"/>
  <c r="MO63" i="10"/>
  <c r="MY63" i="10"/>
  <c r="NI63" i="10"/>
  <c r="NS63" i="10"/>
  <c r="OC63" i="10"/>
  <c r="OM63" i="10"/>
  <c r="OW63" i="10"/>
  <c r="PG63" i="10"/>
  <c r="PQ63" i="10"/>
  <c r="QA63" i="10"/>
  <c r="QK63" i="10"/>
  <c r="QU63" i="10"/>
  <c r="RE63" i="10"/>
  <c r="RO63" i="10"/>
  <c r="RY63" i="10"/>
  <c r="SI63" i="10"/>
  <c r="SS63" i="10"/>
  <c r="TC63" i="10"/>
  <c r="TM63" i="10"/>
  <c r="TW63" i="10"/>
  <c r="UG63" i="10"/>
  <c r="UQ63" i="10"/>
  <c r="VA63" i="10"/>
  <c r="VK63" i="10"/>
  <c r="VU63" i="10"/>
  <c r="WE63" i="10"/>
  <c r="WO63" i="10"/>
  <c r="WY63" i="10"/>
  <c r="XI63" i="10"/>
  <c r="XS63" i="10"/>
  <c r="YC63" i="10"/>
  <c r="YM63" i="10"/>
  <c r="YW63" i="10"/>
  <c r="ZG63" i="10"/>
  <c r="ZQ63" i="10"/>
  <c r="AAA63" i="10"/>
  <c r="AAK63" i="10"/>
  <c r="AAU63" i="10"/>
  <c r="ABE63" i="10"/>
  <c r="ABO63" i="10"/>
  <c r="ABY63" i="10"/>
  <c r="ACI63" i="10"/>
  <c r="ACS63" i="10"/>
  <c r="ADC63" i="10"/>
  <c r="ADM63" i="10"/>
  <c r="ADW63" i="10"/>
  <c r="AEG63" i="10"/>
  <c r="AEQ63" i="10"/>
  <c r="AFA63" i="10"/>
  <c r="AFK63" i="10"/>
  <c r="AFU63" i="10"/>
  <c r="AGE63" i="10"/>
  <c r="AGO63" i="10"/>
  <c r="AGY63" i="10"/>
  <c r="AHI63" i="10"/>
  <c r="AHS63" i="10"/>
  <c r="AIC63" i="10"/>
  <c r="AIM63" i="10"/>
  <c r="AIW63" i="10"/>
  <c r="W64" i="10"/>
  <c r="AG64" i="10"/>
  <c r="AQ64" i="10"/>
  <c r="BA64" i="10"/>
  <c r="BK64" i="10"/>
  <c r="BU64" i="10"/>
  <c r="CE64" i="10"/>
  <c r="CO64" i="10"/>
  <c r="CY64" i="10"/>
  <c r="DI64" i="10"/>
  <c r="DS64" i="10"/>
  <c r="EC64" i="10"/>
  <c r="EM64" i="10"/>
  <c r="EW64" i="10"/>
  <c r="FG64" i="10"/>
  <c r="FQ64" i="10"/>
  <c r="GA64" i="10"/>
  <c r="GK64" i="10"/>
  <c r="GU64" i="10"/>
  <c r="HE64" i="10"/>
  <c r="HO64" i="10"/>
  <c r="HY64" i="10"/>
  <c r="II64" i="10"/>
  <c r="IS64" i="10"/>
  <c r="JC64" i="10"/>
  <c r="JM64" i="10"/>
  <c r="JW64" i="10"/>
  <c r="KG64" i="10"/>
  <c r="KQ64" i="10"/>
  <c r="LA64" i="10"/>
  <c r="LK64" i="10"/>
  <c r="LU64" i="10"/>
  <c r="ME64" i="10"/>
  <c r="MO64" i="10"/>
  <c r="MY64" i="10"/>
  <c r="NI64" i="10"/>
  <c r="NS64" i="10"/>
  <c r="OC64" i="10"/>
  <c r="OM64" i="10"/>
  <c r="OW64" i="10"/>
  <c r="PG64" i="10"/>
  <c r="PQ64" i="10"/>
  <c r="QA64" i="10"/>
  <c r="QK64" i="10"/>
  <c r="QU64" i="10"/>
  <c r="RE64" i="10"/>
  <c r="RO64" i="10"/>
  <c r="RY64" i="10"/>
  <c r="SI64" i="10"/>
  <c r="SS64" i="10"/>
  <c r="TC64" i="10"/>
  <c r="TM64" i="10"/>
  <c r="TW64" i="10"/>
  <c r="UG64" i="10"/>
  <c r="UQ64" i="10"/>
  <c r="VA64" i="10"/>
  <c r="VK64" i="10"/>
  <c r="VU64" i="10"/>
  <c r="WE64" i="10"/>
  <c r="WO64" i="10"/>
  <c r="WY64" i="10"/>
  <c r="XI64" i="10"/>
  <c r="XS64" i="10"/>
  <c r="YC64" i="10"/>
  <c r="YM64" i="10"/>
  <c r="YW64" i="10"/>
  <c r="ZG64" i="10"/>
  <c r="ZQ64" i="10"/>
  <c r="AAA64" i="10"/>
  <c r="AAK64" i="10"/>
  <c r="AAU64" i="10"/>
  <c r="ABE64" i="10"/>
  <c r="ABO64" i="10"/>
  <c r="ABY64" i="10"/>
  <c r="ACI64" i="10"/>
  <c r="ACS64" i="10"/>
  <c r="ADC64" i="10"/>
  <c r="ADM64" i="10"/>
  <c r="ADW64" i="10"/>
  <c r="AEG64" i="10"/>
  <c r="AEQ64" i="10"/>
  <c r="AFA64" i="10"/>
  <c r="AFK64" i="10"/>
  <c r="AFU64" i="10"/>
  <c r="AGE64" i="10"/>
  <c r="AGO64" i="10"/>
  <c r="AGY64" i="10"/>
  <c r="AHI64" i="10"/>
  <c r="AHS64" i="10"/>
  <c r="AIC64" i="10"/>
  <c r="AIM64" i="10"/>
  <c r="AIW64" i="10"/>
  <c r="W65" i="10"/>
  <c r="AG65" i="10"/>
  <c r="AQ65" i="10"/>
  <c r="BA65" i="10"/>
  <c r="BK65" i="10"/>
  <c r="BU65" i="10"/>
  <c r="CE65" i="10"/>
  <c r="CO65" i="10"/>
  <c r="CY65" i="10"/>
  <c r="DI65" i="10"/>
  <c r="DS65" i="10"/>
  <c r="EC65" i="10"/>
  <c r="EM65" i="10"/>
  <c r="EW65" i="10"/>
  <c r="FG65" i="10"/>
  <c r="FQ65" i="10"/>
  <c r="GA65" i="10"/>
  <c r="GK65" i="10"/>
  <c r="GU65" i="10"/>
  <c r="HE65" i="10"/>
  <c r="HO65" i="10"/>
  <c r="HY65" i="10"/>
  <c r="II65" i="10"/>
  <c r="IS65" i="10"/>
  <c r="JC65" i="10"/>
  <c r="JM65" i="10"/>
  <c r="JW65" i="10"/>
  <c r="KG65" i="10"/>
  <c r="KQ65" i="10"/>
  <c r="LA65" i="10"/>
  <c r="LK65" i="10"/>
  <c r="LU65" i="10"/>
  <c r="ME65" i="10"/>
  <c r="MO65" i="10"/>
  <c r="MY65" i="10"/>
  <c r="NI65" i="10"/>
  <c r="NS65" i="10"/>
  <c r="OC65" i="10"/>
  <c r="OM65" i="10"/>
  <c r="OW65" i="10"/>
  <c r="PG65" i="10"/>
  <c r="PQ65" i="10"/>
  <c r="QA65" i="10"/>
  <c r="QK65" i="10"/>
  <c r="QU65" i="10"/>
  <c r="RE65" i="10"/>
  <c r="RO65" i="10"/>
  <c r="RY65" i="10"/>
  <c r="SI65" i="10"/>
  <c r="SS65" i="10"/>
  <c r="TC65" i="10"/>
  <c r="TM65" i="10"/>
  <c r="TW65" i="10"/>
  <c r="UG65" i="10"/>
  <c r="UQ65" i="10"/>
  <c r="VA65" i="10"/>
  <c r="VK65" i="10"/>
  <c r="VU65" i="10"/>
  <c r="WE65" i="10"/>
  <c r="WO65" i="10"/>
  <c r="WY65" i="10"/>
  <c r="XI65" i="10"/>
  <c r="XS65" i="10"/>
  <c r="YC65" i="10"/>
  <c r="YM65" i="10"/>
  <c r="YW65" i="10"/>
  <c r="ZG65" i="10"/>
  <c r="ZQ65" i="10"/>
  <c r="AAA65" i="10"/>
  <c r="AAK65" i="10"/>
  <c r="AAU65" i="10"/>
  <c r="ABE65" i="10"/>
  <c r="ABO65" i="10"/>
  <c r="ABY65" i="10"/>
  <c r="ACI65" i="10"/>
  <c r="ACS65" i="10"/>
  <c r="ADC65" i="10"/>
  <c r="ADM65" i="10"/>
  <c r="ADW65" i="10"/>
  <c r="AEG65" i="10"/>
  <c r="AEQ65" i="10"/>
  <c r="AFA65" i="10"/>
  <c r="AFK65" i="10"/>
  <c r="AFU65" i="10"/>
  <c r="AGE65" i="10"/>
  <c r="AGO65" i="10"/>
  <c r="AGY65" i="10"/>
  <c r="AHI65" i="10"/>
  <c r="AHS65" i="10"/>
  <c r="AIC65" i="10"/>
  <c r="AIM65" i="10"/>
  <c r="AIW65" i="10"/>
  <c r="W66" i="10"/>
  <c r="AG66" i="10"/>
  <c r="AQ66" i="10"/>
  <c r="BA66" i="10"/>
  <c r="BK66" i="10"/>
  <c r="BU66" i="10"/>
  <c r="CE66" i="10"/>
  <c r="CO66" i="10"/>
  <c r="CY66" i="10"/>
  <c r="DI66" i="10"/>
  <c r="DS66" i="10"/>
  <c r="EC66" i="10"/>
  <c r="EM66" i="10"/>
  <c r="EW66" i="10"/>
  <c r="FG66" i="10"/>
  <c r="FQ66" i="10"/>
  <c r="GA66" i="10"/>
  <c r="GK66" i="10"/>
  <c r="GU66" i="10"/>
  <c r="HE66" i="10"/>
  <c r="HO66" i="10"/>
  <c r="HY66" i="10"/>
  <c r="II66" i="10"/>
  <c r="IS66" i="10"/>
  <c r="JC66" i="10"/>
  <c r="JM66" i="10"/>
  <c r="JW66" i="10"/>
  <c r="KG66" i="10"/>
  <c r="KQ66" i="10"/>
  <c r="LA66" i="10"/>
  <c r="LK66" i="10"/>
  <c r="LU66" i="10"/>
  <c r="ME66" i="10"/>
  <c r="MO66" i="10"/>
  <c r="MY66" i="10"/>
  <c r="NI66" i="10"/>
  <c r="NS66" i="10"/>
  <c r="OC66" i="10"/>
  <c r="OM66" i="10"/>
  <c r="OW66" i="10"/>
  <c r="PG66" i="10"/>
  <c r="PQ66" i="10"/>
  <c r="QA66" i="10"/>
  <c r="QK66" i="10"/>
  <c r="QU66" i="10"/>
  <c r="RE66" i="10"/>
  <c r="RO66" i="10"/>
  <c r="RY66" i="10"/>
  <c r="SI66" i="10"/>
  <c r="SS66" i="10"/>
  <c r="TC66" i="10"/>
  <c r="TM66" i="10"/>
  <c r="TW66" i="10"/>
  <c r="UG66" i="10"/>
  <c r="UQ66" i="10"/>
  <c r="VA66" i="10"/>
  <c r="VK66" i="10"/>
  <c r="VU66" i="10"/>
  <c r="WE66" i="10"/>
  <c r="WO66" i="10"/>
  <c r="WY66" i="10"/>
  <c r="XI66" i="10"/>
  <c r="XS66" i="10"/>
  <c r="YC66" i="10"/>
  <c r="YM66" i="10"/>
  <c r="YW66" i="10"/>
  <c r="ZG66" i="10"/>
  <c r="ZQ66" i="10"/>
  <c r="AAA66" i="10"/>
  <c r="AAK66" i="10"/>
  <c r="AAU66" i="10"/>
  <c r="ABE66" i="10"/>
  <c r="ABO66" i="10"/>
  <c r="ABY66" i="10"/>
  <c r="ACI66" i="10"/>
  <c r="ACS66" i="10"/>
  <c r="ADC66" i="10"/>
  <c r="ADM66" i="10"/>
  <c r="ADW66" i="10"/>
  <c r="AEG66" i="10"/>
  <c r="AEQ66" i="10"/>
  <c r="AFA66" i="10"/>
  <c r="AFK66" i="10"/>
  <c r="AFU66" i="10"/>
  <c r="AGE66" i="10"/>
  <c r="AGO66" i="10"/>
  <c r="AGY66" i="10"/>
  <c r="AHI66" i="10"/>
  <c r="AHS66" i="10"/>
  <c r="AIC66" i="10"/>
  <c r="AIM66" i="10"/>
  <c r="AIW66" i="10"/>
  <c r="M59" i="10" l="1"/>
  <c r="M60" i="10"/>
  <c r="M61" i="10"/>
  <c r="M62" i="10"/>
  <c r="M63" i="10"/>
  <c r="M64" i="10"/>
  <c r="M65" i="10"/>
  <c r="M66" i="10"/>
  <c r="M58" i="10"/>
  <c r="C59" i="10"/>
  <c r="C60" i="10"/>
  <c r="C61" i="10"/>
  <c r="C62" i="10"/>
  <c r="C63" i="10"/>
  <c r="C64" i="10"/>
  <c r="C65" i="10"/>
  <c r="C66" i="10"/>
  <c r="C58" i="10" l="1"/>
  <c r="C9" i="17" l="1"/>
  <c r="C154" i="17" l="1"/>
  <c r="B154" i="17"/>
  <c r="B153" i="17"/>
  <c r="B151" i="17"/>
  <c r="C149" i="17"/>
  <c r="B149" i="17"/>
  <c r="B148" i="17"/>
  <c r="B146" i="17"/>
  <c r="C144" i="17"/>
  <c r="B144" i="17"/>
  <c r="B143" i="17"/>
  <c r="B141" i="17"/>
  <c r="C139" i="17"/>
  <c r="B139" i="17"/>
  <c r="B138" i="17"/>
  <c r="B136" i="17"/>
  <c r="C134" i="17"/>
  <c r="B134" i="17"/>
  <c r="B133" i="17"/>
  <c r="B131" i="17"/>
  <c r="C129" i="17"/>
  <c r="B129" i="17"/>
  <c r="B128" i="17"/>
  <c r="B126" i="17"/>
  <c r="C124" i="17"/>
  <c r="B124" i="17"/>
  <c r="B123" i="17"/>
  <c r="B121" i="17"/>
  <c r="C119" i="17"/>
  <c r="B119" i="17"/>
  <c r="B118" i="17"/>
  <c r="B116" i="17"/>
  <c r="C114" i="17"/>
  <c r="B114" i="17"/>
  <c r="B113" i="17"/>
  <c r="B111" i="17"/>
  <c r="C109" i="17"/>
  <c r="B109" i="17"/>
  <c r="B108" i="17"/>
  <c r="B106" i="17"/>
  <c r="C104" i="17"/>
  <c r="B104" i="17"/>
  <c r="B103" i="17"/>
  <c r="B101" i="17"/>
  <c r="C99" i="17"/>
  <c r="B99" i="17"/>
  <c r="B98" i="17"/>
  <c r="B96" i="17"/>
  <c r="C94" i="17"/>
  <c r="B94" i="17"/>
  <c r="B93" i="17"/>
  <c r="B91" i="17"/>
  <c r="C89" i="17"/>
  <c r="B89" i="17"/>
  <c r="B88" i="17"/>
  <c r="B86" i="17"/>
  <c r="C84" i="17"/>
  <c r="B84" i="17"/>
  <c r="B83" i="17"/>
  <c r="B81" i="17"/>
  <c r="B74" i="17"/>
  <c r="B73" i="17"/>
  <c r="B71" i="17"/>
  <c r="B69" i="17"/>
  <c r="B68" i="17"/>
  <c r="B66" i="17"/>
  <c r="B64" i="17"/>
  <c r="B63" i="17"/>
  <c r="B61" i="17"/>
  <c r="B59" i="17"/>
  <c r="B58" i="17"/>
  <c r="B56" i="17"/>
  <c r="B54" i="17"/>
  <c r="B53" i="17"/>
  <c r="B51" i="17"/>
  <c r="B49" i="17"/>
  <c r="B48" i="17"/>
  <c r="B46" i="17"/>
  <c r="B39" i="17"/>
  <c r="B38" i="17"/>
  <c r="B36" i="17"/>
  <c r="B34" i="17"/>
  <c r="B33" i="17"/>
  <c r="B31" i="17"/>
  <c r="B29" i="17"/>
  <c r="B28" i="17"/>
  <c r="B26" i="17"/>
  <c r="B24" i="17"/>
  <c r="B23" i="17"/>
  <c r="B21" i="17"/>
  <c r="B19" i="17"/>
  <c r="B18" i="17"/>
  <c r="B16" i="17"/>
  <c r="B14" i="17"/>
  <c r="B13" i="17"/>
  <c r="B11" i="17"/>
  <c r="B79" i="17"/>
  <c r="B78" i="17"/>
  <c r="B76" i="17"/>
  <c r="C79" i="17"/>
  <c r="C74" i="17"/>
  <c r="I20" i="18" l="1"/>
  <c r="M46" i="22"/>
  <c r="F43" i="22"/>
  <c r="P39" i="22"/>
  <c r="P36" i="22"/>
  <c r="P33" i="22"/>
  <c r="P30" i="22"/>
  <c r="P27" i="22"/>
  <c r="P24" i="22"/>
  <c r="P21" i="22"/>
  <c r="P18" i="22"/>
  <c r="M14" i="22"/>
  <c r="O14" i="22" s="1"/>
  <c r="F45" i="22" s="1"/>
  <c r="I59" i="18"/>
  <c r="I55" i="18"/>
  <c r="I51" i="18"/>
  <c r="I47" i="18"/>
  <c r="I43" i="18"/>
  <c r="I39" i="18"/>
  <c r="I35" i="18"/>
  <c r="I31" i="18"/>
  <c r="M11" i="22"/>
  <c r="I21" i="18" s="1"/>
  <c r="C39" i="22"/>
  <c r="C36" i="22"/>
  <c r="C33" i="22"/>
  <c r="C30" i="22"/>
  <c r="C27" i="22"/>
  <c r="C24" i="22"/>
  <c r="C21" i="22"/>
  <c r="I58" i="18"/>
  <c r="I54" i="18"/>
  <c r="I50" i="18"/>
  <c r="I46" i="18"/>
  <c r="I42" i="18"/>
  <c r="I38" i="18"/>
  <c r="I34" i="18"/>
  <c r="I30" i="18"/>
  <c r="N39" i="22"/>
  <c r="I61" i="18" s="1"/>
  <c r="M39" i="22"/>
  <c r="N36" i="22"/>
  <c r="I57" i="18" s="1"/>
  <c r="M36" i="22"/>
  <c r="N33" i="22"/>
  <c r="I53" i="18" s="1"/>
  <c r="M33" i="22"/>
  <c r="I52" i="18" s="1"/>
  <c r="N30" i="22"/>
  <c r="I49" i="18" s="1"/>
  <c r="M30" i="22"/>
  <c r="I48" i="18" s="1"/>
  <c r="N27" i="22"/>
  <c r="I45" i="18" s="1"/>
  <c r="M27" i="22"/>
  <c r="N24" i="22"/>
  <c r="I41" i="18" s="1"/>
  <c r="M24" i="22"/>
  <c r="I40" i="18" s="1"/>
  <c r="N21" i="22"/>
  <c r="I37" i="18" s="1"/>
  <c r="M21" i="22"/>
  <c r="I36" i="18" s="1"/>
  <c r="N18" i="22"/>
  <c r="I33" i="18" s="1"/>
  <c r="C18" i="22"/>
  <c r="M18" i="22"/>
  <c r="M48" i="22" l="1"/>
  <c r="O39" i="22"/>
  <c r="O21" i="22"/>
  <c r="I60" i="18"/>
  <c r="O27" i="22"/>
  <c r="O24" i="22"/>
  <c r="O36" i="22"/>
  <c r="O30" i="22"/>
  <c r="I44" i="18"/>
  <c r="I56" i="18"/>
  <c r="O33" i="22"/>
  <c r="P43" i="22"/>
  <c r="O18" i="22"/>
  <c r="I32" i="18"/>
  <c r="I23" i="18"/>
  <c r="C40" i="22"/>
  <c r="O11" i="22" s="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6" i="11"/>
  <c r="B210" i="11"/>
  <c r="H8" i="21"/>
  <c r="J8" i="21" s="1"/>
  <c r="G8" i="21"/>
  <c r="I8" i="21" s="1"/>
  <c r="L8" i="21" s="1"/>
  <c r="H7" i="21"/>
  <c r="J7" i="21" s="1"/>
  <c r="G7" i="21"/>
  <c r="I7" i="21" s="1"/>
  <c r="E7" i="21"/>
  <c r="D8" i="21" s="1"/>
  <c r="E8" i="21" s="1"/>
  <c r="D9" i="21" s="1"/>
  <c r="L7" i="21" l="1"/>
  <c r="P11" i="22"/>
  <c r="M43" i="22"/>
  <c r="O43" i="22"/>
  <c r="G9" i="21"/>
  <c r="I9" i="21" s="1"/>
  <c r="E9" i="21"/>
  <c r="D10" i="21" s="1"/>
  <c r="M47" i="22" l="1"/>
  <c r="F44" i="22"/>
  <c r="I24" i="18"/>
  <c r="AL21" i="18" s="1"/>
  <c r="E10" i="21"/>
  <c r="G10" i="21"/>
  <c r="G54" i="18"/>
  <c r="G50" i="18"/>
  <c r="G46" i="18"/>
  <c r="G38" i="18"/>
  <c r="G20" i="18"/>
  <c r="AL20" i="18" s="1"/>
  <c r="AJ60" i="18"/>
  <c r="AI60" i="18"/>
  <c r="AH60" i="18"/>
  <c r="AG60" i="18"/>
  <c r="AF60" i="18"/>
  <c r="AE60" i="18"/>
  <c r="AD60" i="18"/>
  <c r="AC60" i="18"/>
  <c r="AB60" i="18"/>
  <c r="AA60" i="18"/>
  <c r="Z60" i="18"/>
  <c r="Y60" i="18"/>
  <c r="X60" i="18"/>
  <c r="W60" i="18"/>
  <c r="V60" i="18"/>
  <c r="U60" i="18"/>
  <c r="T60" i="18"/>
  <c r="S60" i="18"/>
  <c r="R60" i="18"/>
  <c r="Q60" i="18"/>
  <c r="P60" i="18"/>
  <c r="O60" i="18"/>
  <c r="N60" i="18"/>
  <c r="M60" i="18"/>
  <c r="L60" i="18"/>
  <c r="K60" i="18"/>
  <c r="S59" i="18"/>
  <c r="R59" i="18"/>
  <c r="Q59" i="18"/>
  <c r="P59" i="18"/>
  <c r="O59" i="18"/>
  <c r="N59" i="18"/>
  <c r="M59" i="18"/>
  <c r="L59" i="18"/>
  <c r="K59" i="18"/>
  <c r="AJ56" i="18"/>
  <c r="AI56" i="18"/>
  <c r="AH56" i="18"/>
  <c r="AG56" i="18"/>
  <c r="AF56" i="18"/>
  <c r="AE56" i="18"/>
  <c r="AD56" i="18"/>
  <c r="AC56" i="18"/>
  <c r="AB56" i="18"/>
  <c r="AA56" i="18"/>
  <c r="Z56" i="18"/>
  <c r="Y56" i="18"/>
  <c r="X56" i="18"/>
  <c r="W56" i="18"/>
  <c r="V56" i="18"/>
  <c r="U56" i="18"/>
  <c r="T56" i="18"/>
  <c r="S56" i="18"/>
  <c r="R56" i="18"/>
  <c r="Q56" i="18"/>
  <c r="P56" i="18"/>
  <c r="O56" i="18"/>
  <c r="N56" i="18"/>
  <c r="M56" i="18"/>
  <c r="L56" i="18"/>
  <c r="K56" i="18"/>
  <c r="S55" i="18"/>
  <c r="R55" i="18"/>
  <c r="Q55" i="18"/>
  <c r="P55" i="18"/>
  <c r="O55" i="18"/>
  <c r="N55" i="18"/>
  <c r="M55" i="18"/>
  <c r="L55" i="18"/>
  <c r="K55" i="18"/>
  <c r="AJ52" i="18"/>
  <c r="AI52" i="18"/>
  <c r="AH52" i="18"/>
  <c r="AG52" i="18"/>
  <c r="AF52" i="18"/>
  <c r="AE52" i="18"/>
  <c r="AD52" i="18"/>
  <c r="AC52" i="18"/>
  <c r="AB52" i="18"/>
  <c r="AA52" i="18"/>
  <c r="Z52" i="18"/>
  <c r="Y52" i="18"/>
  <c r="X52" i="18"/>
  <c r="W52" i="18"/>
  <c r="V52" i="18"/>
  <c r="U52" i="18"/>
  <c r="T52" i="18"/>
  <c r="S52" i="18"/>
  <c r="R52" i="18"/>
  <c r="Q52" i="18"/>
  <c r="P52" i="18"/>
  <c r="O52" i="18"/>
  <c r="N52" i="18"/>
  <c r="M52" i="18"/>
  <c r="L52" i="18"/>
  <c r="K52" i="18"/>
  <c r="S51" i="18"/>
  <c r="R51" i="18"/>
  <c r="Q51" i="18"/>
  <c r="P51" i="18"/>
  <c r="O51" i="18"/>
  <c r="N51" i="18"/>
  <c r="M51" i="18"/>
  <c r="L51" i="18"/>
  <c r="K51" i="18"/>
  <c r="AJ48" i="18"/>
  <c r="AI48" i="18"/>
  <c r="AH48" i="18"/>
  <c r="AG48" i="18"/>
  <c r="AF48" i="18"/>
  <c r="AE48" i="18"/>
  <c r="AD48" i="18"/>
  <c r="AC48" i="18"/>
  <c r="AB48" i="18"/>
  <c r="AA48" i="18"/>
  <c r="Z48" i="18"/>
  <c r="Y48" i="18"/>
  <c r="X48" i="18"/>
  <c r="W48" i="18"/>
  <c r="V48" i="18"/>
  <c r="U48" i="18"/>
  <c r="T48" i="18"/>
  <c r="S48" i="18"/>
  <c r="R48" i="18"/>
  <c r="Q48" i="18"/>
  <c r="P48" i="18"/>
  <c r="O48" i="18"/>
  <c r="N48" i="18"/>
  <c r="M48" i="18"/>
  <c r="L48" i="18"/>
  <c r="K48" i="18"/>
  <c r="S47" i="18"/>
  <c r="R47" i="18"/>
  <c r="Q47" i="18"/>
  <c r="P47" i="18"/>
  <c r="O47" i="18"/>
  <c r="N47" i="18"/>
  <c r="M47" i="18"/>
  <c r="L47" i="18"/>
  <c r="K47" i="18"/>
  <c r="AJ44" i="18"/>
  <c r="AI44" i="18"/>
  <c r="AH44" i="18"/>
  <c r="AG44" i="18"/>
  <c r="AF44" i="18"/>
  <c r="AE44" i="18"/>
  <c r="AD44" i="18"/>
  <c r="AC44" i="18"/>
  <c r="AB44" i="18"/>
  <c r="AA44" i="18"/>
  <c r="Z44" i="18"/>
  <c r="Y44" i="18"/>
  <c r="X44" i="18"/>
  <c r="W44" i="18"/>
  <c r="V44" i="18"/>
  <c r="U44" i="18"/>
  <c r="T44" i="18"/>
  <c r="S44" i="18"/>
  <c r="R44" i="18"/>
  <c r="Q44" i="18"/>
  <c r="P44" i="18"/>
  <c r="O44" i="18"/>
  <c r="N44" i="18"/>
  <c r="M44" i="18"/>
  <c r="L44" i="18"/>
  <c r="K44" i="18"/>
  <c r="S43" i="18"/>
  <c r="R43" i="18"/>
  <c r="Q43" i="18"/>
  <c r="P43" i="18"/>
  <c r="O43" i="18"/>
  <c r="N43" i="18"/>
  <c r="M43" i="18"/>
  <c r="L43" i="18"/>
  <c r="K43" i="18"/>
  <c r="AJ40" i="18"/>
  <c r="AI40" i="18"/>
  <c r="AH40" i="18"/>
  <c r="AG40" i="18"/>
  <c r="AF40" i="18"/>
  <c r="AE40" i="18"/>
  <c r="AD40" i="18"/>
  <c r="AC40" i="18"/>
  <c r="AB40" i="18"/>
  <c r="AA40" i="18"/>
  <c r="Z40" i="18"/>
  <c r="Y40" i="18"/>
  <c r="X40" i="18"/>
  <c r="W40" i="18"/>
  <c r="V40" i="18"/>
  <c r="U40" i="18"/>
  <c r="T40" i="18"/>
  <c r="S40" i="18"/>
  <c r="R40" i="18"/>
  <c r="Q40" i="18"/>
  <c r="P40" i="18"/>
  <c r="O40" i="18"/>
  <c r="N40" i="18"/>
  <c r="M40" i="18"/>
  <c r="L40" i="18"/>
  <c r="K40" i="18"/>
  <c r="S39" i="18"/>
  <c r="R39" i="18"/>
  <c r="Q39" i="18"/>
  <c r="P39" i="18"/>
  <c r="O39" i="18"/>
  <c r="N39" i="18"/>
  <c r="M39" i="18"/>
  <c r="L39" i="18"/>
  <c r="K39" i="18"/>
  <c r="AJ36" i="18"/>
  <c r="AI36" i="18"/>
  <c r="AH36" i="18"/>
  <c r="AG36" i="18"/>
  <c r="AF36" i="18"/>
  <c r="AE36" i="18"/>
  <c r="AD36" i="18"/>
  <c r="AC36" i="18"/>
  <c r="AB36" i="18"/>
  <c r="AA36" i="18"/>
  <c r="Z36" i="18"/>
  <c r="Y36" i="18"/>
  <c r="X36" i="18"/>
  <c r="W36" i="18"/>
  <c r="V36" i="18"/>
  <c r="U36" i="18"/>
  <c r="T36" i="18"/>
  <c r="S36" i="18"/>
  <c r="R36" i="18"/>
  <c r="Q36" i="18"/>
  <c r="P36" i="18"/>
  <c r="O36" i="18"/>
  <c r="N36" i="18"/>
  <c r="M36" i="18"/>
  <c r="L36" i="18"/>
  <c r="K36" i="18"/>
  <c r="S35" i="18"/>
  <c r="R35" i="18"/>
  <c r="Q35" i="18"/>
  <c r="P35" i="18"/>
  <c r="O35" i="18"/>
  <c r="N35" i="18"/>
  <c r="M35" i="18"/>
  <c r="L35" i="18"/>
  <c r="K35" i="18"/>
  <c r="AJ32" i="18"/>
  <c r="AI32" i="18"/>
  <c r="AH32" i="18"/>
  <c r="AG32" i="18"/>
  <c r="AF32" i="18"/>
  <c r="AE32" i="18"/>
  <c r="AD32" i="18"/>
  <c r="AC32" i="18"/>
  <c r="AB32" i="18"/>
  <c r="AA32" i="18"/>
  <c r="Z32" i="18"/>
  <c r="Y32" i="18"/>
  <c r="X32" i="18"/>
  <c r="W32" i="18"/>
  <c r="V32" i="18"/>
  <c r="U32" i="18"/>
  <c r="T32" i="18"/>
  <c r="S32" i="18"/>
  <c r="R32" i="18"/>
  <c r="Q32" i="18"/>
  <c r="P32" i="18"/>
  <c r="O32" i="18"/>
  <c r="N32" i="18"/>
  <c r="M32" i="18"/>
  <c r="L32" i="18"/>
  <c r="K32" i="18"/>
  <c r="K31" i="18"/>
  <c r="L31" i="18"/>
  <c r="M31" i="18"/>
  <c r="N31" i="18"/>
  <c r="O31" i="18"/>
  <c r="P31" i="18"/>
  <c r="Q31" i="18"/>
  <c r="R31" i="18"/>
  <c r="S31" i="18"/>
  <c r="G18" i="18"/>
  <c r="G12" i="18"/>
  <c r="G11" i="18"/>
  <c r="G10" i="18"/>
  <c r="G9" i="18"/>
  <c r="H8" i="18"/>
  <c r="H7" i="18"/>
  <c r="H19" i="18"/>
  <c r="G19" i="18"/>
  <c r="G23" i="18"/>
  <c r="G21" i="18"/>
  <c r="G31" i="18"/>
  <c r="G32" i="18"/>
  <c r="G33" i="18"/>
  <c r="G34" i="18"/>
  <c r="G35" i="18"/>
  <c r="G36" i="18"/>
  <c r="G37" i="18"/>
  <c r="G39" i="18"/>
  <c r="G40" i="18"/>
  <c r="G41" i="18"/>
  <c r="G42" i="18"/>
  <c r="G43" i="18"/>
  <c r="G44" i="18"/>
  <c r="G45" i="18"/>
  <c r="G47" i="18"/>
  <c r="G48" i="18"/>
  <c r="G49" i="18"/>
  <c r="G51" i="18"/>
  <c r="G52" i="18"/>
  <c r="G53" i="18"/>
  <c r="G55" i="18"/>
  <c r="G56" i="18"/>
  <c r="G57" i="18"/>
  <c r="G58" i="18"/>
  <c r="G59" i="18"/>
  <c r="G60" i="18"/>
  <c r="G61" i="18"/>
  <c r="G30" i="18"/>
  <c r="G8" i="18"/>
  <c r="G7" i="18"/>
  <c r="E7" i="18"/>
  <c r="D8" i="18" s="1"/>
  <c r="E8" i="18" s="1"/>
  <c r="D9" i="18" s="1"/>
  <c r="I10" i="21" l="1"/>
  <c r="L10" i="21"/>
  <c r="J42" i="22"/>
  <c r="D2" i="18"/>
  <c r="G24" i="18"/>
  <c r="E9" i="18"/>
  <c r="D10" i="18" s="1"/>
  <c r="J30" i="11"/>
  <c r="E10" i="18" l="1"/>
  <c r="D11" i="18" s="1"/>
  <c r="E11" i="18" l="1"/>
  <c r="D12" i="18" s="1"/>
  <c r="J32" i="11"/>
  <c r="E12" i="18" l="1"/>
  <c r="D18" i="18" s="1"/>
  <c r="E18" i="18" s="1"/>
  <c r="D19" i="18" s="1"/>
  <c r="E19" i="18" s="1"/>
  <c r="D20" i="18" s="1"/>
  <c r="E20" i="18" s="1"/>
  <c r="D21" i="18" s="1"/>
  <c r="E21" i="18" s="1"/>
  <c r="D22" i="18" s="1"/>
  <c r="E22" i="18" s="1"/>
  <c r="D23" i="18" s="1"/>
  <c r="E23" i="18" s="1"/>
  <c r="D24" i="18" l="1"/>
  <c r="E24" i="18" s="1"/>
  <c r="D4" i="18" s="1"/>
  <c r="G42" i="9" l="1"/>
  <c r="H42" i="9"/>
  <c r="H41" i="9"/>
  <c r="G41" i="9"/>
  <c r="L41" i="9" s="1"/>
  <c r="H30" i="7"/>
  <c r="G30" i="7"/>
  <c r="H29" i="7"/>
  <c r="G29" i="7"/>
  <c r="L29" i="7" s="1"/>
  <c r="H30" i="5"/>
  <c r="G30" i="5"/>
  <c r="H29" i="5"/>
  <c r="G29" i="5"/>
  <c r="L29" i="5" s="1"/>
  <c r="L30" i="5" l="1"/>
  <c r="D30" i="18"/>
  <c r="E30" i="18" s="1"/>
  <c r="D31" i="18" s="1"/>
  <c r="E31" i="18" s="1"/>
  <c r="D32" i="18" s="1"/>
  <c r="E32" i="18" s="1"/>
  <c r="D33" i="18" s="1"/>
  <c r="E33" i="18" s="1"/>
  <c r="D34" i="18" s="1"/>
  <c r="E34" i="18" s="1"/>
  <c r="D35" i="18" s="1"/>
  <c r="E35" i="18" s="1"/>
  <c r="D36" i="18" s="1"/>
  <c r="E36" i="18" s="1"/>
  <c r="D37" i="18" s="1"/>
  <c r="E37" i="18" s="1"/>
  <c r="D38" i="18" s="1"/>
  <c r="B17" i="11"/>
  <c r="B5" i="11"/>
  <c r="B6" i="11"/>
  <c r="B7" i="11"/>
  <c r="B8" i="11"/>
  <c r="B9" i="11"/>
  <c r="B10" i="11"/>
  <c r="B11" i="11"/>
  <c r="B12" i="11"/>
  <c r="B13" i="11"/>
  <c r="B14" i="11"/>
  <c r="B4" i="11"/>
  <c r="D5" i="18" l="1"/>
  <c r="B52" i="22"/>
  <c r="E38" i="18"/>
  <c r="D39" i="18" s="1"/>
  <c r="J26" i="11"/>
  <c r="E39" i="18" l="1"/>
  <c r="D40" i="18" s="1"/>
  <c r="E40" i="18" l="1"/>
  <c r="D41" i="18" s="1"/>
  <c r="C66" i="17"/>
  <c r="C69" i="17"/>
  <c r="C64" i="17"/>
  <c r="C59" i="17"/>
  <c r="C54" i="17"/>
  <c r="C49" i="17"/>
  <c r="C44" i="17"/>
  <c r="C39" i="17"/>
  <c r="C34" i="17"/>
  <c r="C29" i="17"/>
  <c r="C24" i="17"/>
  <c r="C19" i="17"/>
  <c r="C14" i="17"/>
  <c r="I9" i="17"/>
  <c r="H9" i="17"/>
  <c r="J23" i="11"/>
  <c r="C4" i="17" l="1"/>
  <c r="J9" i="17"/>
  <c r="C91" i="17"/>
  <c r="C92" i="17" s="1"/>
  <c r="M18" i="17" s="1"/>
  <c r="C146" i="17"/>
  <c r="C147" i="17" s="1"/>
  <c r="M29" i="17" s="1"/>
  <c r="C111" i="17"/>
  <c r="C112" i="17" s="1"/>
  <c r="M22" i="17" s="1"/>
  <c r="C151" i="17"/>
  <c r="C152" i="17" s="1"/>
  <c r="M30" i="17" s="1"/>
  <c r="C101" i="17"/>
  <c r="C102" i="17" s="1"/>
  <c r="M20" i="17" s="1"/>
  <c r="C106" i="17"/>
  <c r="C107" i="17" s="1"/>
  <c r="M21" i="17" s="1"/>
  <c r="C76" i="17"/>
  <c r="C77" i="17" s="1"/>
  <c r="M15" i="17" s="1"/>
  <c r="C116" i="17"/>
  <c r="C117" i="17" s="1"/>
  <c r="M23" i="17" s="1"/>
  <c r="C96" i="17"/>
  <c r="C97" i="17" s="1"/>
  <c r="M19" i="17" s="1"/>
  <c r="C86" i="17"/>
  <c r="C87" i="17" s="1"/>
  <c r="M17" i="17" s="1"/>
  <c r="C126" i="17"/>
  <c r="C127" i="17" s="1"/>
  <c r="M25" i="17" s="1"/>
  <c r="C81" i="17"/>
  <c r="C82" i="17" s="1"/>
  <c r="M16" i="17" s="1"/>
  <c r="C136" i="17"/>
  <c r="C137" i="17" s="1"/>
  <c r="M27" i="17" s="1"/>
  <c r="C121" i="17"/>
  <c r="C122" i="17" s="1"/>
  <c r="M24" i="17" s="1"/>
  <c r="C131" i="17"/>
  <c r="C132" i="17" s="1"/>
  <c r="M26" i="17" s="1"/>
  <c r="C141" i="17"/>
  <c r="C142" i="17" s="1"/>
  <c r="M28" i="17" s="1"/>
  <c r="C71" i="17"/>
  <c r="C72" i="17" s="1"/>
  <c r="M14" i="17" s="1"/>
  <c r="E41" i="18"/>
  <c r="D42" i="18" s="1"/>
  <c r="C11" i="17"/>
  <c r="C12" i="17" s="1"/>
  <c r="M2" i="17" s="1"/>
  <c r="C51" i="17"/>
  <c r="C52" i="17" s="1"/>
  <c r="M10" i="17" s="1"/>
  <c r="C41" i="17"/>
  <c r="C42" i="17" s="1"/>
  <c r="M8" i="17" s="1"/>
  <c r="C46" i="17"/>
  <c r="C47" i="17" s="1"/>
  <c r="M9" i="17" s="1"/>
  <c r="C16" i="17"/>
  <c r="C17" i="17" s="1"/>
  <c r="M3" i="17" s="1"/>
  <c r="C56" i="17"/>
  <c r="C57" i="17" s="1"/>
  <c r="M11" i="17" s="1"/>
  <c r="C21" i="17"/>
  <c r="C22" i="17" s="1"/>
  <c r="M4" i="17" s="1"/>
  <c r="C61" i="17"/>
  <c r="C62" i="17" s="1"/>
  <c r="M12" i="17" s="1"/>
  <c r="C31" i="17"/>
  <c r="C32" i="17" s="1"/>
  <c r="M6" i="17" s="1"/>
  <c r="C36" i="17"/>
  <c r="C37" i="17" s="1"/>
  <c r="M7" i="17" s="1"/>
  <c r="C26" i="17"/>
  <c r="C27" i="17" s="1"/>
  <c r="M5" i="17" s="1"/>
  <c r="C67" i="17"/>
  <c r="M13" i="17" s="1"/>
  <c r="E42" i="18" l="1"/>
  <c r="D43" i="18" s="1"/>
  <c r="H12" i="8"/>
  <c r="G12" i="8"/>
  <c r="E43" i="18" l="1"/>
  <c r="D44" i="18" s="1"/>
  <c r="E44" i="18" l="1"/>
  <c r="D45" i="18" s="1"/>
  <c r="H176" i="16"/>
  <c r="J176" i="16" s="1"/>
  <c r="G176" i="16"/>
  <c r="H175" i="16"/>
  <c r="J175" i="16" s="1"/>
  <c r="G175" i="16"/>
  <c r="E175" i="16"/>
  <c r="D176" i="16" s="1"/>
  <c r="E176" i="16" s="1"/>
  <c r="D177" i="16" s="1"/>
  <c r="G177" i="16" s="1"/>
  <c r="G151" i="16"/>
  <c r="H151" i="16"/>
  <c r="J151" i="16" s="1"/>
  <c r="H150" i="16"/>
  <c r="J150" i="16" s="1"/>
  <c r="G150" i="16"/>
  <c r="E150" i="16"/>
  <c r="D151" i="16" s="1"/>
  <c r="E151" i="16" s="1"/>
  <c r="D152" i="16" s="1"/>
  <c r="G152" i="16" s="1"/>
  <c r="I175" i="16" l="1"/>
  <c r="L175" i="16"/>
  <c r="L176" i="16"/>
  <c r="L151" i="16"/>
  <c r="I150" i="16"/>
  <c r="L150" i="16"/>
  <c r="E45" i="18"/>
  <c r="D46" i="18" s="1"/>
  <c r="I176" i="16"/>
  <c r="I151" i="16"/>
  <c r="E177" i="16"/>
  <c r="D178" i="16" s="1"/>
  <c r="G178" i="16" s="1"/>
  <c r="I177" i="16"/>
  <c r="E152" i="16"/>
  <c r="D153" i="16" s="1"/>
  <c r="G153" i="16" s="1"/>
  <c r="I153" i="16" s="1"/>
  <c r="I152" i="16"/>
  <c r="H99" i="16"/>
  <c r="J99" i="16" s="1"/>
  <c r="G99" i="16"/>
  <c r="H98" i="16"/>
  <c r="J98" i="16" s="1"/>
  <c r="G98" i="16"/>
  <c r="E98" i="16"/>
  <c r="D99" i="16" s="1"/>
  <c r="E99" i="16" s="1"/>
  <c r="D100" i="16" s="1"/>
  <c r="G100" i="16" s="1"/>
  <c r="H73" i="16"/>
  <c r="J73" i="16" s="1"/>
  <c r="G73" i="16"/>
  <c r="H72" i="16"/>
  <c r="J72" i="16" s="1"/>
  <c r="G72" i="16"/>
  <c r="E72" i="16"/>
  <c r="D73" i="16" s="1"/>
  <c r="E73" i="16" s="1"/>
  <c r="D74" i="16" s="1"/>
  <c r="G74" i="16" s="1"/>
  <c r="H25" i="16"/>
  <c r="J25" i="16" s="1"/>
  <c r="G25" i="16"/>
  <c r="H24" i="16"/>
  <c r="J24" i="16" s="1"/>
  <c r="G24" i="16"/>
  <c r="E24" i="16"/>
  <c r="D25" i="16" s="1"/>
  <c r="E25" i="16" s="1"/>
  <c r="D26" i="16" s="1"/>
  <c r="G26" i="16" s="1"/>
  <c r="L25" i="16" l="1"/>
  <c r="L73" i="16"/>
  <c r="L99" i="16"/>
  <c r="I98" i="16"/>
  <c r="L98" i="16"/>
  <c r="I72" i="16"/>
  <c r="L72" i="16"/>
  <c r="I24" i="16"/>
  <c r="L24" i="16"/>
  <c r="E46" i="18"/>
  <c r="D47" i="18" s="1"/>
  <c r="I99" i="16"/>
  <c r="I73" i="16"/>
  <c r="I25" i="16"/>
  <c r="E178" i="16"/>
  <c r="D179" i="16" s="1"/>
  <c r="G179" i="16" s="1"/>
  <c r="I178" i="16"/>
  <c r="E153" i="16"/>
  <c r="D154" i="16" s="1"/>
  <c r="G154" i="16" s="1"/>
  <c r="E100" i="16"/>
  <c r="D101" i="16" s="1"/>
  <c r="G101" i="16" s="1"/>
  <c r="I101" i="16" s="1"/>
  <c r="I100" i="16"/>
  <c r="E74" i="16"/>
  <c r="D75" i="16" s="1"/>
  <c r="I74" i="16"/>
  <c r="E26" i="16"/>
  <c r="I26" i="16"/>
  <c r="H8" i="16"/>
  <c r="J8" i="16" s="1"/>
  <c r="G8" i="16"/>
  <c r="H7" i="16"/>
  <c r="J7" i="16" s="1"/>
  <c r="G7" i="16"/>
  <c r="E7" i="16"/>
  <c r="D8" i="16" s="1"/>
  <c r="E8" i="16" s="1"/>
  <c r="D9" i="16" s="1"/>
  <c r="H190" i="14"/>
  <c r="J190" i="14" s="1"/>
  <c r="G190" i="14"/>
  <c r="H189" i="14"/>
  <c r="J189" i="14" s="1"/>
  <c r="G189" i="14"/>
  <c r="E189" i="14"/>
  <c r="D190" i="14" s="1"/>
  <c r="E190" i="14" s="1"/>
  <c r="D191" i="14" s="1"/>
  <c r="G191" i="14" s="1"/>
  <c r="H128" i="14"/>
  <c r="J128" i="14" s="1"/>
  <c r="H127" i="14"/>
  <c r="J127" i="14" s="1"/>
  <c r="G127" i="14"/>
  <c r="G128" i="14"/>
  <c r="E127" i="14"/>
  <c r="D128" i="14" s="1"/>
  <c r="E128" i="14" s="1"/>
  <c r="D129" i="14" s="1"/>
  <c r="G129" i="14" s="1"/>
  <c r="E75" i="16" l="1"/>
  <c r="D76" i="16" s="1"/>
  <c r="G76" i="16" s="1"/>
  <c r="G75" i="16"/>
  <c r="I75" i="16" s="1"/>
  <c r="D27" i="16"/>
  <c r="L8" i="16"/>
  <c r="L190" i="14"/>
  <c r="I7" i="16"/>
  <c r="L7" i="16"/>
  <c r="I189" i="14"/>
  <c r="L189" i="14"/>
  <c r="I127" i="14"/>
  <c r="L127" i="14"/>
  <c r="E47" i="18"/>
  <c r="D48" i="18" s="1"/>
  <c r="L128" i="14"/>
  <c r="I8" i="16"/>
  <c r="I190" i="14"/>
  <c r="I128" i="14"/>
  <c r="E179" i="16"/>
  <c r="D180" i="16" s="1"/>
  <c r="G180" i="16" s="1"/>
  <c r="I179" i="16"/>
  <c r="E154" i="16"/>
  <c r="D155" i="16" s="1"/>
  <c r="G155" i="16" s="1"/>
  <c r="L155" i="16" s="1"/>
  <c r="I154" i="16"/>
  <c r="E101" i="16"/>
  <c r="D102" i="16" s="1"/>
  <c r="G102" i="16" s="1"/>
  <c r="E76" i="16"/>
  <c r="D77" i="16" s="1"/>
  <c r="G77" i="16" s="1"/>
  <c r="L77" i="16" s="1"/>
  <c r="I76" i="16"/>
  <c r="E9" i="16"/>
  <c r="D10" i="16" s="1"/>
  <c r="G9" i="16"/>
  <c r="I9" i="16" s="1"/>
  <c r="I191" i="14"/>
  <c r="E191" i="14"/>
  <c r="D192" i="14" s="1"/>
  <c r="G192" i="14" s="1"/>
  <c r="I192" i="14" s="1"/>
  <c r="E129" i="14"/>
  <c r="D130" i="14" s="1"/>
  <c r="G130" i="14" s="1"/>
  <c r="I130" i="14" s="1"/>
  <c r="I129" i="14"/>
  <c r="G61" i="14"/>
  <c r="H61" i="14"/>
  <c r="J61" i="14" s="1"/>
  <c r="H60" i="14"/>
  <c r="J60" i="14" s="1"/>
  <c r="G60" i="14"/>
  <c r="E60" i="14"/>
  <c r="D61" i="14" s="1"/>
  <c r="E61" i="14" s="1"/>
  <c r="D62" i="14" s="1"/>
  <c r="G62" i="14" s="1"/>
  <c r="E27" i="16" l="1"/>
  <c r="D28" i="16" s="1"/>
  <c r="G27" i="16"/>
  <c r="I27" i="16" s="1"/>
  <c r="I60" i="14"/>
  <c r="L60" i="14"/>
  <c r="E48" i="18"/>
  <c r="D49" i="18" s="1"/>
  <c r="L61" i="14"/>
  <c r="I61" i="14"/>
  <c r="E180" i="16"/>
  <c r="D181" i="16" s="1"/>
  <c r="G181" i="16" s="1"/>
  <c r="L181" i="16" s="1"/>
  <c r="I180" i="16"/>
  <c r="E155" i="16"/>
  <c r="D156" i="16" s="1"/>
  <c r="G156" i="16" s="1"/>
  <c r="I155" i="16"/>
  <c r="E102" i="16"/>
  <c r="D103" i="16" s="1"/>
  <c r="G103" i="16" s="1"/>
  <c r="L103" i="16" s="1"/>
  <c r="I102" i="16"/>
  <c r="E77" i="16"/>
  <c r="D78" i="16" s="1"/>
  <c r="G78" i="16" s="1"/>
  <c r="I77" i="16"/>
  <c r="E10" i="16"/>
  <c r="D11" i="16" s="1"/>
  <c r="G10" i="16"/>
  <c r="I10" i="16" s="1"/>
  <c r="E192" i="14"/>
  <c r="D193" i="14" s="1"/>
  <c r="E130" i="14"/>
  <c r="D131" i="14" s="1"/>
  <c r="E62" i="14"/>
  <c r="D63" i="14" s="1"/>
  <c r="G63" i="14" s="1"/>
  <c r="I63" i="14" s="1"/>
  <c r="I62" i="14"/>
  <c r="G94" i="15"/>
  <c r="I94" i="15" s="1"/>
  <c r="E94" i="15"/>
  <c r="D95" i="15" s="1"/>
  <c r="G95" i="15" s="1"/>
  <c r="G56" i="15"/>
  <c r="I56" i="15" s="1"/>
  <c r="E56" i="15"/>
  <c r="D57" i="15" s="1"/>
  <c r="G57" i="15" s="1"/>
  <c r="G28" i="16" l="1"/>
  <c r="I28" i="16" s="1"/>
  <c r="E28" i="16"/>
  <c r="D29" i="16" s="1"/>
  <c r="E131" i="14"/>
  <c r="D132" i="14" s="1"/>
  <c r="G132" i="14" s="1"/>
  <c r="L132" i="14" s="1"/>
  <c r="G131" i="14"/>
  <c r="E193" i="14"/>
  <c r="D194" i="14" s="1"/>
  <c r="G194" i="14" s="1"/>
  <c r="L194" i="14" s="1"/>
  <c r="G193" i="14"/>
  <c r="E49" i="18"/>
  <c r="D50" i="18" s="1"/>
  <c r="E181" i="16"/>
  <c r="I181" i="16"/>
  <c r="E156" i="16"/>
  <c r="D157" i="16" s="1"/>
  <c r="G157" i="16" s="1"/>
  <c r="I156" i="16"/>
  <c r="E103" i="16"/>
  <c r="D104" i="16" s="1"/>
  <c r="G104" i="16" s="1"/>
  <c r="I103" i="16"/>
  <c r="E78" i="16"/>
  <c r="D79" i="16" s="1"/>
  <c r="G79" i="16" s="1"/>
  <c r="I78" i="16"/>
  <c r="E11" i="16"/>
  <c r="D12" i="16" s="1"/>
  <c r="G11" i="16"/>
  <c r="L11" i="16" s="1"/>
  <c r="E194" i="14"/>
  <c r="D195" i="14" s="1"/>
  <c r="G195" i="14" s="1"/>
  <c r="L195" i="14" s="1"/>
  <c r="E132" i="14"/>
  <c r="D133" i="14" s="1"/>
  <c r="G133" i="14" s="1"/>
  <c r="L133" i="14" s="1"/>
  <c r="E63" i="14"/>
  <c r="D64" i="14" s="1"/>
  <c r="E95" i="15"/>
  <c r="D96" i="15" s="1"/>
  <c r="G96" i="15" s="1"/>
  <c r="I95" i="15"/>
  <c r="E57" i="15"/>
  <c r="D58" i="15" s="1"/>
  <c r="G58" i="15" s="1"/>
  <c r="I57" i="15"/>
  <c r="G27" i="15"/>
  <c r="I27" i="15" s="1"/>
  <c r="E27" i="15"/>
  <c r="D28" i="15" s="1"/>
  <c r="G28" i="15" s="1"/>
  <c r="G7" i="15"/>
  <c r="I7" i="15" s="1"/>
  <c r="E7" i="15"/>
  <c r="D8" i="15" s="1"/>
  <c r="E8" i="15" s="1"/>
  <c r="D9" i="15" s="1"/>
  <c r="E9" i="15" s="1"/>
  <c r="D10" i="15" s="1"/>
  <c r="E10" i="15" s="1"/>
  <c r="D11" i="15" s="1"/>
  <c r="E11" i="15" s="1"/>
  <c r="D12" i="15" s="1"/>
  <c r="G29" i="16" l="1"/>
  <c r="E29" i="16"/>
  <c r="D30" i="16" s="1"/>
  <c r="I132" i="14"/>
  <c r="L193" i="14"/>
  <c r="I193" i="14"/>
  <c r="I194" i="14"/>
  <c r="L131" i="14"/>
  <c r="I131" i="14"/>
  <c r="E64" i="14"/>
  <c r="D65" i="14" s="1"/>
  <c r="G65" i="14" s="1"/>
  <c r="L65" i="14" s="1"/>
  <c r="G64" i="14"/>
  <c r="E12" i="15"/>
  <c r="D13" i="15" s="1"/>
  <c r="E13" i="15" s="1"/>
  <c r="D14" i="15" s="1"/>
  <c r="E14" i="15" s="1"/>
  <c r="D15" i="15" s="1"/>
  <c r="E15" i="15" s="1"/>
  <c r="D16" i="15" s="1"/>
  <c r="E16" i="15" s="1"/>
  <c r="D17" i="15" s="1"/>
  <c r="E17" i="15" s="1"/>
  <c r="D18" i="15" s="1"/>
  <c r="E18" i="15" s="1"/>
  <c r="H12" i="15"/>
  <c r="J12" i="15" s="1"/>
  <c r="G12" i="15"/>
  <c r="L12" i="15" s="1"/>
  <c r="E50" i="18"/>
  <c r="D51" i="18" s="1"/>
  <c r="G8" i="15"/>
  <c r="I8" i="15" s="1"/>
  <c r="G14" i="15"/>
  <c r="I14" i="15" s="1"/>
  <c r="G17" i="15"/>
  <c r="I17" i="15" s="1"/>
  <c r="G10" i="15"/>
  <c r="I10" i="15" s="1"/>
  <c r="H18" i="15"/>
  <c r="G9" i="15"/>
  <c r="I9" i="15" s="1"/>
  <c r="G13" i="15"/>
  <c r="I13" i="15" s="1"/>
  <c r="G16" i="15"/>
  <c r="I16" i="15" s="1"/>
  <c r="H13" i="15"/>
  <c r="J13" i="15" s="1"/>
  <c r="G15" i="15"/>
  <c r="I15" i="15" s="1"/>
  <c r="G11" i="15"/>
  <c r="I11" i="15" s="1"/>
  <c r="G18" i="15"/>
  <c r="I11" i="16"/>
  <c r="E157" i="16"/>
  <c r="D158" i="16" s="1"/>
  <c r="G158" i="16" s="1"/>
  <c r="I157" i="16"/>
  <c r="E104" i="16"/>
  <c r="D105" i="16" s="1"/>
  <c r="G105" i="16" s="1"/>
  <c r="I104" i="16"/>
  <c r="E79" i="16"/>
  <c r="D80" i="16" s="1"/>
  <c r="G80" i="16" s="1"/>
  <c r="I79" i="16"/>
  <c r="E12" i="16"/>
  <c r="D13" i="16" s="1"/>
  <c r="G12" i="16"/>
  <c r="I12" i="16" s="1"/>
  <c r="I195" i="14"/>
  <c r="E195" i="14"/>
  <c r="D196" i="14" s="1"/>
  <c r="G196" i="14" s="1"/>
  <c r="E133" i="14"/>
  <c r="D134" i="14" s="1"/>
  <c r="G134" i="14" s="1"/>
  <c r="I133" i="14"/>
  <c r="E96" i="15"/>
  <c r="D97" i="15" s="1"/>
  <c r="G97" i="15" s="1"/>
  <c r="I96" i="15"/>
  <c r="E58" i="15"/>
  <c r="D59" i="15" s="1"/>
  <c r="G59" i="15" s="1"/>
  <c r="I58" i="15"/>
  <c r="E28" i="15"/>
  <c r="D29" i="15" s="1"/>
  <c r="G29" i="15" s="1"/>
  <c r="I28" i="15"/>
  <c r="H28" i="14"/>
  <c r="J28" i="14" s="1"/>
  <c r="G28" i="14"/>
  <c r="H25" i="14"/>
  <c r="J25" i="14" s="1"/>
  <c r="G25" i="14"/>
  <c r="H24" i="14"/>
  <c r="J24" i="14" s="1"/>
  <c r="G24" i="14"/>
  <c r="E24" i="14"/>
  <c r="D25" i="14" s="1"/>
  <c r="E25" i="14" s="1"/>
  <c r="D26" i="14" s="1"/>
  <c r="G26" i="14" s="1"/>
  <c r="H8" i="14"/>
  <c r="J8" i="14" s="1"/>
  <c r="G8" i="14"/>
  <c r="H7" i="14"/>
  <c r="J7" i="14" s="1"/>
  <c r="G7" i="14"/>
  <c r="E7" i="14"/>
  <c r="D8" i="14" s="1"/>
  <c r="E8" i="14" s="1"/>
  <c r="D9" i="14" s="1"/>
  <c r="G9" i="14" s="1"/>
  <c r="G30" i="16" l="1"/>
  <c r="I30" i="16" s="1"/>
  <c r="E30" i="16"/>
  <c r="D31" i="16" s="1"/>
  <c r="L29" i="16"/>
  <c r="I29" i="16"/>
  <c r="I65" i="14"/>
  <c r="E65" i="14"/>
  <c r="D66" i="14" s="1"/>
  <c r="G66" i="14" s="1"/>
  <c r="L66" i="14" s="1"/>
  <c r="L64" i="14"/>
  <c r="I64" i="14"/>
  <c r="I18" i="15"/>
  <c r="I12" i="15"/>
  <c r="I24" i="14"/>
  <c r="L24" i="14"/>
  <c r="L8" i="14"/>
  <c r="I7" i="14"/>
  <c r="L7" i="14"/>
  <c r="E51" i="18"/>
  <c r="D52" i="18" s="1"/>
  <c r="L13" i="15"/>
  <c r="L15" i="15"/>
  <c r="L28" i="14"/>
  <c r="L25" i="14"/>
  <c r="I25" i="14"/>
  <c r="I28" i="14"/>
  <c r="I8" i="14"/>
  <c r="E158" i="16"/>
  <c r="D159" i="16" s="1"/>
  <c r="I158" i="16"/>
  <c r="E105" i="16"/>
  <c r="D106" i="16" s="1"/>
  <c r="G106" i="16" s="1"/>
  <c r="I105" i="16"/>
  <c r="E80" i="16"/>
  <c r="D81" i="16" s="1"/>
  <c r="I80" i="16"/>
  <c r="E13" i="16"/>
  <c r="D14" i="16" s="1"/>
  <c r="G13" i="16"/>
  <c r="I13" i="16" s="1"/>
  <c r="E196" i="14"/>
  <c r="D197" i="14" s="1"/>
  <c r="G197" i="14" s="1"/>
  <c r="I196" i="14"/>
  <c r="E134" i="14"/>
  <c r="D135" i="14" s="1"/>
  <c r="G135" i="14" s="1"/>
  <c r="I134" i="14"/>
  <c r="E66" i="14"/>
  <c r="D67" i="14" s="1"/>
  <c r="E97" i="15"/>
  <c r="D98" i="15" s="1"/>
  <c r="G98" i="15" s="1"/>
  <c r="I97" i="15"/>
  <c r="E59" i="15"/>
  <c r="D60" i="15" s="1"/>
  <c r="G60" i="15" s="1"/>
  <c r="I59" i="15"/>
  <c r="E29" i="15"/>
  <c r="D30" i="15" s="1"/>
  <c r="G30" i="15" s="1"/>
  <c r="I29" i="15"/>
  <c r="E26" i="14"/>
  <c r="D27" i="14" s="1"/>
  <c r="I26" i="14"/>
  <c r="E9" i="14"/>
  <c r="D10" i="14" s="1"/>
  <c r="I9" i="14"/>
  <c r="E81" i="16" l="1"/>
  <c r="D82" i="16" s="1"/>
  <c r="G81" i="16"/>
  <c r="I81" i="16" s="1"/>
  <c r="E159" i="16"/>
  <c r="D160" i="16" s="1"/>
  <c r="G159" i="16"/>
  <c r="I159" i="16" s="1"/>
  <c r="G31" i="16"/>
  <c r="I31" i="16" s="1"/>
  <c r="E31" i="16"/>
  <c r="D32" i="16" s="1"/>
  <c r="I66" i="14"/>
  <c r="E52" i="18"/>
  <c r="D53" i="18" s="1"/>
  <c r="E106" i="16"/>
  <c r="D107" i="16" s="1"/>
  <c r="I106" i="16"/>
  <c r="E14" i="16"/>
  <c r="D15" i="16" s="1"/>
  <c r="G14" i="16"/>
  <c r="I14" i="16" s="1"/>
  <c r="E197" i="14"/>
  <c r="D198" i="14" s="1"/>
  <c r="G198" i="14" s="1"/>
  <c r="I197" i="14"/>
  <c r="E10" i="14"/>
  <c r="D11" i="14" s="1"/>
  <c r="G10" i="14"/>
  <c r="L10" i="14" s="1"/>
  <c r="E27" i="14"/>
  <c r="D28" i="14" s="1"/>
  <c r="E28" i="14" s="1"/>
  <c r="D29" i="14" s="1"/>
  <c r="G27" i="14"/>
  <c r="I27" i="14" s="1"/>
  <c r="E135" i="14"/>
  <c r="D136" i="14" s="1"/>
  <c r="G136" i="14" s="1"/>
  <c r="I135" i="14"/>
  <c r="E67" i="14"/>
  <c r="D68" i="14" s="1"/>
  <c r="G67" i="14"/>
  <c r="I67" i="14" s="1"/>
  <c r="E98" i="15"/>
  <c r="D99" i="15" s="1"/>
  <c r="I98" i="15"/>
  <c r="E60" i="15"/>
  <c r="D61" i="15" s="1"/>
  <c r="I60" i="15"/>
  <c r="E30" i="15"/>
  <c r="D31" i="15" s="1"/>
  <c r="G31" i="15" s="1"/>
  <c r="I30" i="15"/>
  <c r="H20" i="12"/>
  <c r="J20" i="12" s="1"/>
  <c r="G20" i="12"/>
  <c r="H19" i="12"/>
  <c r="J19" i="12" s="1"/>
  <c r="G19" i="12"/>
  <c r="E19" i="12"/>
  <c r="D20" i="12" s="1"/>
  <c r="E20" i="12" s="1"/>
  <c r="D21" i="12" s="1"/>
  <c r="G21" i="12" s="1"/>
  <c r="H8" i="12"/>
  <c r="J8" i="12" s="1"/>
  <c r="G8" i="12"/>
  <c r="H7" i="12"/>
  <c r="J7" i="12" s="1"/>
  <c r="G7" i="12"/>
  <c r="E7" i="12"/>
  <c r="D8" i="12" s="1"/>
  <c r="E8" i="12" s="1"/>
  <c r="D9" i="12" s="1"/>
  <c r="E160" i="16" l="1"/>
  <c r="D161" i="16" s="1"/>
  <c r="G160" i="16"/>
  <c r="I160" i="16" s="1"/>
  <c r="E107" i="16"/>
  <c r="D108" i="16" s="1"/>
  <c r="G107" i="16"/>
  <c r="I107" i="16" s="1"/>
  <c r="E82" i="16"/>
  <c r="D83" i="16" s="1"/>
  <c r="G82" i="16"/>
  <c r="I82" i="16" s="1"/>
  <c r="E32" i="16"/>
  <c r="D33" i="16" s="1"/>
  <c r="G32" i="16"/>
  <c r="I32" i="16" s="1"/>
  <c r="G99" i="15"/>
  <c r="L99" i="15" s="1"/>
  <c r="H99" i="15"/>
  <c r="J99" i="15" s="1"/>
  <c r="H61" i="15"/>
  <c r="J61" i="15" s="1"/>
  <c r="G61" i="15"/>
  <c r="L61" i="15" s="1"/>
  <c r="I19" i="12"/>
  <c r="L19" i="12"/>
  <c r="I7" i="12"/>
  <c r="L7" i="12"/>
  <c r="E53" i="18"/>
  <c r="D54" i="18" s="1"/>
  <c r="I8" i="12"/>
  <c r="L8" i="12"/>
  <c r="L20" i="12"/>
  <c r="I10" i="14"/>
  <c r="I20" i="12"/>
  <c r="E15" i="16"/>
  <c r="G15" i="16"/>
  <c r="I15" i="16" s="1"/>
  <c r="E198" i="14"/>
  <c r="D199" i="14" s="1"/>
  <c r="G199" i="14" s="1"/>
  <c r="I198" i="14"/>
  <c r="E29" i="14"/>
  <c r="D30" i="14" s="1"/>
  <c r="G29" i="14"/>
  <c r="L29" i="14" s="1"/>
  <c r="E11" i="14"/>
  <c r="D12" i="14" s="1"/>
  <c r="G11" i="14"/>
  <c r="L11" i="14" s="1"/>
  <c r="E136" i="14"/>
  <c r="D137" i="14" s="1"/>
  <c r="G137" i="14" s="1"/>
  <c r="I136" i="14"/>
  <c r="E68" i="14"/>
  <c r="D69" i="14" s="1"/>
  <c r="G68" i="14"/>
  <c r="I68" i="14" s="1"/>
  <c r="E99" i="15"/>
  <c r="D100" i="15" s="1"/>
  <c r="E61" i="15"/>
  <c r="D62" i="15" s="1"/>
  <c r="E31" i="15"/>
  <c r="D32" i="15" s="1"/>
  <c r="I31" i="15"/>
  <c r="E21" i="12"/>
  <c r="D22" i="12" s="1"/>
  <c r="I21" i="12"/>
  <c r="E9" i="12"/>
  <c r="D10" i="12" s="1"/>
  <c r="E10" i="12" s="1"/>
  <c r="G9" i="12"/>
  <c r="I9" i="12" s="1"/>
  <c r="E83" i="16" l="1"/>
  <c r="D84" i="16" s="1"/>
  <c r="G83" i="16"/>
  <c r="I83" i="16" s="1"/>
  <c r="E108" i="16"/>
  <c r="D109" i="16" s="1"/>
  <c r="G108" i="16"/>
  <c r="I108" i="16" s="1"/>
  <c r="E161" i="16"/>
  <c r="D162" i="16" s="1"/>
  <c r="G161" i="16"/>
  <c r="I161" i="16" s="1"/>
  <c r="E33" i="16"/>
  <c r="D34" i="16" s="1"/>
  <c r="G33" i="16"/>
  <c r="I33" i="16" s="1"/>
  <c r="I99" i="15"/>
  <c r="I61" i="15"/>
  <c r="H32" i="15"/>
  <c r="J32" i="15" s="1"/>
  <c r="G32" i="15"/>
  <c r="L32" i="15" s="1"/>
  <c r="E54" i="18"/>
  <c r="D55" i="18" s="1"/>
  <c r="H100" i="15"/>
  <c r="J100" i="15" s="1"/>
  <c r="G100" i="15"/>
  <c r="I11" i="14"/>
  <c r="I29" i="14"/>
  <c r="E199" i="14"/>
  <c r="D201" i="14" s="1"/>
  <c r="I199" i="14"/>
  <c r="E12" i="14"/>
  <c r="D13" i="14" s="1"/>
  <c r="G12" i="14"/>
  <c r="L12" i="14" s="1"/>
  <c r="G30" i="14"/>
  <c r="L30" i="14" s="1"/>
  <c r="E30" i="14"/>
  <c r="D31" i="14" s="1"/>
  <c r="E137" i="14"/>
  <c r="D139" i="14" s="1"/>
  <c r="I137" i="14"/>
  <c r="E69" i="14"/>
  <c r="D70" i="14" s="1"/>
  <c r="G69" i="14"/>
  <c r="I69" i="14" s="1"/>
  <c r="E100" i="15"/>
  <c r="D101" i="15" s="1"/>
  <c r="G101" i="15" s="1"/>
  <c r="G62" i="15"/>
  <c r="H62" i="15"/>
  <c r="J62" i="15" s="1"/>
  <c r="E62" i="15"/>
  <c r="D63" i="15" s="1"/>
  <c r="G63" i="15" s="1"/>
  <c r="E32" i="15"/>
  <c r="D33" i="15" s="1"/>
  <c r="H10" i="12"/>
  <c r="E22" i="12"/>
  <c r="D23" i="12" s="1"/>
  <c r="G22" i="12"/>
  <c r="G10" i="12"/>
  <c r="H32" i="10"/>
  <c r="J32" i="10" s="1"/>
  <c r="G32" i="10"/>
  <c r="H31" i="10"/>
  <c r="J31" i="10" s="1"/>
  <c r="G31" i="10"/>
  <c r="E31" i="10"/>
  <c r="D32" i="10" s="1"/>
  <c r="E32" i="10" s="1"/>
  <c r="D33" i="10" s="1"/>
  <c r="G33" i="10" s="1"/>
  <c r="E109" i="16" l="1"/>
  <c r="D110" i="16" s="1"/>
  <c r="G109" i="16"/>
  <c r="I109" i="16" s="1"/>
  <c r="E162" i="16"/>
  <c r="D163" i="16" s="1"/>
  <c r="G162" i="16"/>
  <c r="I162" i="16" s="1"/>
  <c r="E84" i="16"/>
  <c r="D85" i="16" s="1"/>
  <c r="G84" i="16"/>
  <c r="I84" i="16" s="1"/>
  <c r="E34" i="16"/>
  <c r="D35" i="16" s="1"/>
  <c r="G34" i="16"/>
  <c r="I34" i="16" s="1"/>
  <c r="H201" i="14"/>
  <c r="J201" i="14" s="1"/>
  <c r="G201" i="14"/>
  <c r="I201" i="14" s="1"/>
  <c r="H139" i="14"/>
  <c r="J139" i="14" s="1"/>
  <c r="G139" i="14"/>
  <c r="L139" i="14" s="1"/>
  <c r="I32" i="15"/>
  <c r="L32" i="10"/>
  <c r="I31" i="10"/>
  <c r="L31" i="10"/>
  <c r="E55" i="18"/>
  <c r="D56" i="18" s="1"/>
  <c r="L100" i="15"/>
  <c r="G33" i="15"/>
  <c r="I33" i="15" s="1"/>
  <c r="H33" i="15"/>
  <c r="J33" i="15" s="1"/>
  <c r="I100" i="15"/>
  <c r="I12" i="14"/>
  <c r="I62" i="15"/>
  <c r="L62" i="15"/>
  <c r="I32" i="10"/>
  <c r="I30" i="14"/>
  <c r="I22" i="12"/>
  <c r="E201" i="14"/>
  <c r="D202" i="14" s="1"/>
  <c r="E139" i="14"/>
  <c r="D140" i="14" s="1"/>
  <c r="E31" i="14"/>
  <c r="D32" i="14" s="1"/>
  <c r="G31" i="14"/>
  <c r="I31" i="14" s="1"/>
  <c r="E13" i="14"/>
  <c r="D14" i="14" s="1"/>
  <c r="G13" i="14"/>
  <c r="I13" i="14" s="1"/>
  <c r="E70" i="14"/>
  <c r="D72" i="14" s="1"/>
  <c r="G70" i="14"/>
  <c r="I70" i="14" s="1"/>
  <c r="E101" i="15"/>
  <c r="D102" i="15" s="1"/>
  <c r="G102" i="15" s="1"/>
  <c r="I101" i="15"/>
  <c r="E63" i="15"/>
  <c r="D64" i="15" s="1"/>
  <c r="G64" i="15" s="1"/>
  <c r="I63" i="15"/>
  <c r="E33" i="15"/>
  <c r="D34" i="15" s="1"/>
  <c r="G34" i="15" s="1"/>
  <c r="I10" i="12"/>
  <c r="E23" i="12"/>
  <c r="D24" i="12" s="1"/>
  <c r="G23" i="12"/>
  <c r="I23" i="12" s="1"/>
  <c r="E33" i="10"/>
  <c r="D34" i="10" s="1"/>
  <c r="G34" i="10" s="1"/>
  <c r="I33" i="10"/>
  <c r="H8" i="10"/>
  <c r="J8" i="10" s="1"/>
  <c r="G8" i="10"/>
  <c r="H7" i="10"/>
  <c r="J7" i="10" s="1"/>
  <c r="G7" i="10"/>
  <c r="E7" i="10"/>
  <c r="D8" i="10" s="1"/>
  <c r="E8" i="10" s="1"/>
  <c r="D9" i="10" s="1"/>
  <c r="E85" i="16" l="1"/>
  <c r="D86" i="16" s="1"/>
  <c r="G85" i="16"/>
  <c r="I85" i="16" s="1"/>
  <c r="E163" i="16"/>
  <c r="D164" i="16" s="1"/>
  <c r="G163" i="16"/>
  <c r="I163" i="16" s="1"/>
  <c r="E110" i="16"/>
  <c r="D111" i="16" s="1"/>
  <c r="G110" i="16"/>
  <c r="I110" i="16" s="1"/>
  <c r="E35" i="16"/>
  <c r="D36" i="16" s="1"/>
  <c r="G35" i="16"/>
  <c r="I35" i="16" s="1"/>
  <c r="L201" i="14"/>
  <c r="L214" i="14" s="1"/>
  <c r="G202" i="14"/>
  <c r="H202" i="14"/>
  <c r="G140" i="14"/>
  <c r="I140" i="14" s="1"/>
  <c r="H140" i="14"/>
  <c r="J140" i="14" s="1"/>
  <c r="H72" i="14"/>
  <c r="J72" i="14" s="1"/>
  <c r="G72" i="14"/>
  <c r="I72" i="14" s="1"/>
  <c r="L8" i="10"/>
  <c r="I7" i="10"/>
  <c r="L7" i="10"/>
  <c r="E56" i="18"/>
  <c r="D57" i="18" s="1"/>
  <c r="L33" i="15"/>
  <c r="L22" i="12"/>
  <c r="I139" i="14"/>
  <c r="L152" i="14"/>
  <c r="I8" i="10"/>
  <c r="J202" i="14"/>
  <c r="E202" i="14"/>
  <c r="D203" i="14" s="1"/>
  <c r="I202" i="14"/>
  <c r="E140" i="14"/>
  <c r="D141" i="14" s="1"/>
  <c r="E14" i="14"/>
  <c r="D15" i="14" s="1"/>
  <c r="G14" i="14"/>
  <c r="I14" i="14" s="1"/>
  <c r="E32" i="14"/>
  <c r="D33" i="14" s="1"/>
  <c r="G32" i="14"/>
  <c r="I32" i="14" s="1"/>
  <c r="E72" i="14"/>
  <c r="D73" i="14" s="1"/>
  <c r="E102" i="15"/>
  <c r="D103" i="15" s="1"/>
  <c r="G103" i="15" s="1"/>
  <c r="L102" i="15" s="1"/>
  <c r="I102" i="15"/>
  <c r="E64" i="15"/>
  <c r="D65" i="15" s="1"/>
  <c r="G65" i="15" s="1"/>
  <c r="L64" i="15" s="1"/>
  <c r="I64" i="15"/>
  <c r="E34" i="15"/>
  <c r="D35" i="15" s="1"/>
  <c r="G35" i="15" s="1"/>
  <c r="I34" i="15"/>
  <c r="E24" i="12"/>
  <c r="D47" i="12" s="1"/>
  <c r="E47" i="12" s="1"/>
  <c r="D48" i="12" s="1"/>
  <c r="G24" i="12"/>
  <c r="L24" i="12" s="1"/>
  <c r="E34" i="10"/>
  <c r="D35" i="10" s="1"/>
  <c r="G35" i="10" s="1"/>
  <c r="L34" i="10" s="1"/>
  <c r="I34" i="10"/>
  <c r="G9" i="10"/>
  <c r="I9" i="10" s="1"/>
  <c r="E9" i="10"/>
  <c r="D10" i="10" s="1"/>
  <c r="E41" i="9"/>
  <c r="D42" i="9" s="1"/>
  <c r="E42" i="9" s="1"/>
  <c r="D43" i="9" s="1"/>
  <c r="G43" i="9" s="1"/>
  <c r="E111" i="16" l="1"/>
  <c r="D112" i="16" s="1"/>
  <c r="G111" i="16"/>
  <c r="I111" i="16" s="1"/>
  <c r="E164" i="16"/>
  <c r="G164" i="16"/>
  <c r="H164" i="16"/>
  <c r="E86" i="16"/>
  <c r="D87" i="16" s="1"/>
  <c r="G86" i="16"/>
  <c r="I86" i="16" s="1"/>
  <c r="E36" i="16"/>
  <c r="D37" i="16" s="1"/>
  <c r="G36" i="16"/>
  <c r="I36" i="16" s="1"/>
  <c r="G141" i="14"/>
  <c r="I141" i="14" s="1"/>
  <c r="H141" i="14"/>
  <c r="J141" i="14" s="1"/>
  <c r="L72" i="14"/>
  <c r="L85" i="14" s="1"/>
  <c r="L140" i="14"/>
  <c r="L154" i="14" s="1"/>
  <c r="H203" i="14"/>
  <c r="J203" i="14" s="1"/>
  <c r="G203" i="14"/>
  <c r="L202" i="14"/>
  <c r="L215" i="14" s="1"/>
  <c r="G73" i="14"/>
  <c r="I73" i="14" s="1"/>
  <c r="H73" i="14"/>
  <c r="J73" i="14" s="1"/>
  <c r="E48" i="12"/>
  <c r="D49" i="12" s="1"/>
  <c r="E49" i="12" s="1"/>
  <c r="D50" i="12" s="1"/>
  <c r="E50" i="12" s="1"/>
  <c r="D51" i="12" s="1"/>
  <c r="D69" i="12"/>
  <c r="E69" i="12" s="1"/>
  <c r="D70" i="12" s="1"/>
  <c r="E70" i="12" s="1"/>
  <c r="D71" i="12" s="1"/>
  <c r="E71" i="12" s="1"/>
  <c r="D72" i="12" s="1"/>
  <c r="E72" i="12" s="1"/>
  <c r="D74" i="12" s="1"/>
  <c r="E74" i="12" s="1"/>
  <c r="E57" i="18"/>
  <c r="D58" i="18" s="1"/>
  <c r="I24" i="12"/>
  <c r="G47" i="12" s="1"/>
  <c r="I47" i="12" s="1"/>
  <c r="E203" i="14"/>
  <c r="D204" i="14" s="1"/>
  <c r="E141" i="14"/>
  <c r="D142" i="14" s="1"/>
  <c r="G33" i="14"/>
  <c r="I33" i="14" s="1"/>
  <c r="E33" i="14"/>
  <c r="D34" i="14" s="1"/>
  <c r="G15" i="14"/>
  <c r="I15" i="14" s="1"/>
  <c r="E15" i="14"/>
  <c r="E73" i="14"/>
  <c r="D74" i="14" s="1"/>
  <c r="E103" i="15"/>
  <c r="D104" i="15" s="1"/>
  <c r="G104" i="15" s="1"/>
  <c r="L104" i="15" s="1"/>
  <c r="I103" i="15"/>
  <c r="E65" i="15"/>
  <c r="D66" i="15" s="1"/>
  <c r="G66" i="15" s="1"/>
  <c r="L66" i="15" s="1"/>
  <c r="I65" i="15"/>
  <c r="E35" i="15"/>
  <c r="D36" i="15" s="1"/>
  <c r="G36" i="15" s="1"/>
  <c r="L35" i="15" s="1"/>
  <c r="I35" i="15"/>
  <c r="D31" i="12"/>
  <c r="E35" i="10"/>
  <c r="D36" i="10" s="1"/>
  <c r="I35" i="10"/>
  <c r="E43" i="9"/>
  <c r="D44" i="9" s="1"/>
  <c r="G44" i="9" s="1"/>
  <c r="H8" i="9"/>
  <c r="J8" i="9" s="1"/>
  <c r="G8" i="9"/>
  <c r="H7" i="9"/>
  <c r="J7" i="9" s="1"/>
  <c r="G7" i="9"/>
  <c r="E7" i="9"/>
  <c r="D8" i="9" s="1"/>
  <c r="E8" i="9" s="1"/>
  <c r="D9" i="9" s="1"/>
  <c r="I164" i="16" l="1"/>
  <c r="E87" i="16"/>
  <c r="D88" i="16" s="1"/>
  <c r="G87" i="16"/>
  <c r="I87" i="16" s="1"/>
  <c r="E112" i="16"/>
  <c r="D113" i="16" s="1"/>
  <c r="G112" i="16"/>
  <c r="I112" i="16" s="1"/>
  <c r="E37" i="16"/>
  <c r="D38" i="16" s="1"/>
  <c r="G37" i="16"/>
  <c r="I37" i="16" s="1"/>
  <c r="L203" i="14"/>
  <c r="L216" i="14" s="1"/>
  <c r="G142" i="14"/>
  <c r="I142" i="14" s="1"/>
  <c r="H142" i="14"/>
  <c r="J142" i="14" s="1"/>
  <c r="I203" i="14"/>
  <c r="G204" i="14"/>
  <c r="I204" i="14" s="1"/>
  <c r="H204" i="14"/>
  <c r="J204" i="14" s="1"/>
  <c r="L141" i="14"/>
  <c r="L156" i="14" s="1"/>
  <c r="H74" i="14"/>
  <c r="J74" i="14" s="1"/>
  <c r="G74" i="14"/>
  <c r="I74" i="14" s="1"/>
  <c r="L73" i="14"/>
  <c r="L87" i="14" s="1"/>
  <c r="I7" i="9"/>
  <c r="L7" i="9"/>
  <c r="E58" i="18"/>
  <c r="D59" i="18" s="1"/>
  <c r="G49" i="12"/>
  <c r="I49" i="12" s="1"/>
  <c r="L8" i="9"/>
  <c r="G71" i="12"/>
  <c r="I71" i="12" s="1"/>
  <c r="G70" i="12"/>
  <c r="I70" i="12" s="1"/>
  <c r="G74" i="12"/>
  <c r="I74" i="12" s="1"/>
  <c r="G48" i="12"/>
  <c r="I48" i="12" s="1"/>
  <c r="G69" i="12"/>
  <c r="I69" i="12" s="1"/>
  <c r="G50" i="12"/>
  <c r="I50" i="12" s="1"/>
  <c r="G72" i="12"/>
  <c r="I72" i="12" s="1"/>
  <c r="I8" i="9"/>
  <c r="E204" i="14"/>
  <c r="D205" i="14" s="1"/>
  <c r="G34" i="14"/>
  <c r="L34" i="14" s="1"/>
  <c r="E34" i="14"/>
  <c r="D35" i="14" s="1"/>
  <c r="E142" i="14"/>
  <c r="D143" i="14" s="1"/>
  <c r="E74" i="14"/>
  <c r="D75" i="14" s="1"/>
  <c r="E104" i="15"/>
  <c r="D105" i="15" s="1"/>
  <c r="I104" i="15"/>
  <c r="E66" i="15"/>
  <c r="D67" i="15" s="1"/>
  <c r="I66" i="15"/>
  <c r="E36" i="15"/>
  <c r="D37" i="15" s="1"/>
  <c r="I36" i="15"/>
  <c r="E36" i="10"/>
  <c r="D37" i="10" s="1"/>
  <c r="G36" i="10"/>
  <c r="I36" i="10" s="1"/>
  <c r="E31" i="12"/>
  <c r="D32" i="12" s="1"/>
  <c r="G31" i="12"/>
  <c r="I31" i="12" s="1"/>
  <c r="G51" i="12"/>
  <c r="I51" i="12" s="1"/>
  <c r="E51" i="12"/>
  <c r="D52" i="12" s="1"/>
  <c r="G10" i="10"/>
  <c r="E10" i="10"/>
  <c r="D11" i="10" s="1"/>
  <c r="E44" i="9"/>
  <c r="D45" i="9" s="1"/>
  <c r="E9" i="9"/>
  <c r="D10" i="9" s="1"/>
  <c r="G9" i="9"/>
  <c r="I9" i="9" s="1"/>
  <c r="G7" i="8"/>
  <c r="J12" i="8"/>
  <c r="I12" i="8"/>
  <c r="H8" i="8"/>
  <c r="J8" i="8" s="1"/>
  <c r="G8" i="8"/>
  <c r="H7" i="8"/>
  <c r="J7" i="8" s="1"/>
  <c r="E7" i="8"/>
  <c r="D8" i="8" s="1"/>
  <c r="E8" i="8" s="1"/>
  <c r="D9" i="8" s="1"/>
  <c r="E29" i="7"/>
  <c r="D30" i="7" s="1"/>
  <c r="E30" i="7" s="1"/>
  <c r="D31" i="7" s="1"/>
  <c r="G31" i="7" s="1"/>
  <c r="H8" i="7"/>
  <c r="J8" i="7" s="1"/>
  <c r="G8" i="7"/>
  <c r="H7" i="7"/>
  <c r="J7" i="7" s="1"/>
  <c r="G7" i="7"/>
  <c r="E7" i="7"/>
  <c r="D8" i="7" s="1"/>
  <c r="E8" i="7" s="1"/>
  <c r="D9" i="7" s="1"/>
  <c r="G67" i="15" l="1"/>
  <c r="I67" i="15" s="1"/>
  <c r="E67" i="15"/>
  <c r="D68" i="15" s="1"/>
  <c r="E68" i="15" s="1"/>
  <c r="E88" i="16"/>
  <c r="G88" i="16"/>
  <c r="I88" i="16" s="1"/>
  <c r="E113" i="16"/>
  <c r="D114" i="16" s="1"/>
  <c r="G113" i="16"/>
  <c r="I113" i="16" s="1"/>
  <c r="G38" i="16"/>
  <c r="I38" i="16" s="1"/>
  <c r="E38" i="16"/>
  <c r="D39" i="16" s="1"/>
  <c r="G205" i="14"/>
  <c r="I205" i="14" s="1"/>
  <c r="H205" i="14"/>
  <c r="J205" i="14" s="1"/>
  <c r="L142" i="14"/>
  <c r="L158" i="14" s="1"/>
  <c r="L204" i="14"/>
  <c r="L217" i="14" s="1"/>
  <c r="G143" i="14"/>
  <c r="H143" i="14"/>
  <c r="J143" i="14" s="1"/>
  <c r="L74" i="14"/>
  <c r="L89" i="14" s="1"/>
  <c r="G75" i="14"/>
  <c r="I75" i="14" s="1"/>
  <c r="H75" i="14"/>
  <c r="J75" i="14" s="1"/>
  <c r="I7" i="7"/>
  <c r="L7" i="7"/>
  <c r="E59" i="18"/>
  <c r="D60" i="18" s="1"/>
  <c r="I7" i="8"/>
  <c r="L7" i="8"/>
  <c r="E37" i="15"/>
  <c r="D38" i="15" s="1"/>
  <c r="G37" i="15"/>
  <c r="D69" i="15"/>
  <c r="E69" i="15" s="1"/>
  <c r="G68" i="15"/>
  <c r="I68" i="15" s="1"/>
  <c r="L8" i="8"/>
  <c r="E45" i="9"/>
  <c r="D46" i="9" s="1"/>
  <c r="E46" i="9" s="1"/>
  <c r="D47" i="9" s="1"/>
  <c r="E47" i="9" s="1"/>
  <c r="D48" i="9" s="1"/>
  <c r="G45" i="9"/>
  <c r="I8" i="7"/>
  <c r="L8" i="7"/>
  <c r="I8" i="8"/>
  <c r="I10" i="10"/>
  <c r="I34" i="14"/>
  <c r="E205" i="14"/>
  <c r="D206" i="14" s="1"/>
  <c r="E35" i="14"/>
  <c r="D36" i="14" s="1"/>
  <c r="G35" i="14"/>
  <c r="I35" i="14" s="1"/>
  <c r="E143" i="14"/>
  <c r="D144" i="14" s="1"/>
  <c r="E75" i="14"/>
  <c r="D76" i="14" s="1"/>
  <c r="E37" i="10"/>
  <c r="D38" i="10" s="1"/>
  <c r="G37" i="10"/>
  <c r="I37" i="10" s="1"/>
  <c r="E32" i="12"/>
  <c r="D33" i="12" s="1"/>
  <c r="G32" i="12"/>
  <c r="I32" i="12" s="1"/>
  <c r="G52" i="12"/>
  <c r="I52" i="12" s="1"/>
  <c r="E52" i="12"/>
  <c r="D53" i="12" s="1"/>
  <c r="G53" i="12" s="1"/>
  <c r="I53" i="12" s="1"/>
  <c r="G11" i="10"/>
  <c r="I11" i="10" s="1"/>
  <c r="E11" i="10"/>
  <c r="D17" i="10" s="1"/>
  <c r="E10" i="9"/>
  <c r="D11" i="9" s="1"/>
  <c r="G10" i="9"/>
  <c r="L10" i="9" s="1"/>
  <c r="E9" i="8"/>
  <c r="D10" i="8" s="1"/>
  <c r="G9" i="8"/>
  <c r="I9" i="8" s="1"/>
  <c r="E31" i="7"/>
  <c r="D32" i="7" s="1"/>
  <c r="G32" i="7" s="1"/>
  <c r="E9" i="7"/>
  <c r="D10" i="7" s="1"/>
  <c r="G9" i="7"/>
  <c r="I9" i="7" s="1"/>
  <c r="E29" i="5"/>
  <c r="D30" i="5" s="1"/>
  <c r="E30" i="5" s="1"/>
  <c r="D31" i="5" s="1"/>
  <c r="G31" i="5" s="1"/>
  <c r="H8" i="6"/>
  <c r="J8" i="6" s="1"/>
  <c r="G8" i="6"/>
  <c r="H7" i="6"/>
  <c r="J7" i="6" s="1"/>
  <c r="G7" i="6"/>
  <c r="E7" i="6"/>
  <c r="D8" i="6" s="1"/>
  <c r="E8" i="6" s="1"/>
  <c r="D9" i="6" s="1"/>
  <c r="E114" i="16" l="1"/>
  <c r="D115" i="16" s="1"/>
  <c r="G114" i="16"/>
  <c r="I114" i="16" s="1"/>
  <c r="E39" i="16"/>
  <c r="D40" i="16" s="1"/>
  <c r="G39" i="16"/>
  <c r="I39" i="16" s="1"/>
  <c r="L143" i="14"/>
  <c r="L160" i="14" s="1"/>
  <c r="H206" i="14"/>
  <c r="J206" i="14" s="1"/>
  <c r="G206" i="14"/>
  <c r="I206" i="14" s="1"/>
  <c r="G144" i="14"/>
  <c r="I144" i="14" s="1"/>
  <c r="H144" i="14"/>
  <c r="J144" i="14" s="1"/>
  <c r="I143" i="14"/>
  <c r="L205" i="14"/>
  <c r="L218" i="14" s="1"/>
  <c r="G76" i="14"/>
  <c r="I76" i="14" s="1"/>
  <c r="H76" i="14"/>
  <c r="J76" i="14" s="1"/>
  <c r="L75" i="14"/>
  <c r="L91" i="14" s="1"/>
  <c r="E60" i="18"/>
  <c r="D61" i="18" s="1"/>
  <c r="I7" i="6"/>
  <c r="L7" i="6"/>
  <c r="L10" i="10"/>
  <c r="D70" i="15"/>
  <c r="E70" i="15" s="1"/>
  <c r="G69" i="15"/>
  <c r="I69" i="15" s="1"/>
  <c r="L37" i="15"/>
  <c r="I37" i="15"/>
  <c r="E38" i="15"/>
  <c r="D39" i="15" s="1"/>
  <c r="G38" i="15"/>
  <c r="I38" i="15" s="1"/>
  <c r="E105" i="15"/>
  <c r="D106" i="15" s="1"/>
  <c r="G105" i="15"/>
  <c r="I105" i="15" s="1"/>
  <c r="I45" i="9"/>
  <c r="G47" i="9"/>
  <c r="I47" i="9" s="1"/>
  <c r="I43" i="9"/>
  <c r="J42" i="9"/>
  <c r="J41" i="9"/>
  <c r="I41" i="9"/>
  <c r="I8" i="6"/>
  <c r="L8" i="6"/>
  <c r="E53" i="12"/>
  <c r="D55" i="12" s="1"/>
  <c r="I10" i="9"/>
  <c r="E206" i="14"/>
  <c r="D207" i="14" s="1"/>
  <c r="E144" i="14"/>
  <c r="D145" i="14" s="1"/>
  <c r="G36" i="14"/>
  <c r="I36" i="14" s="1"/>
  <c r="E36" i="14"/>
  <c r="D37" i="14" s="1"/>
  <c r="E76" i="14"/>
  <c r="D77" i="14" s="1"/>
  <c r="E38" i="10"/>
  <c r="D39" i="10" s="1"/>
  <c r="G38" i="10"/>
  <c r="I38" i="10" s="1"/>
  <c r="E33" i="12"/>
  <c r="D34" i="12" s="1"/>
  <c r="G33" i="12"/>
  <c r="I33" i="12" s="1"/>
  <c r="G17" i="10"/>
  <c r="I17" i="10" s="1"/>
  <c r="E17" i="10"/>
  <c r="D18" i="10" s="1"/>
  <c r="E11" i="9"/>
  <c r="D12" i="9" s="1"/>
  <c r="G11" i="9"/>
  <c r="E32" i="7"/>
  <c r="D33" i="7" s="1"/>
  <c r="G33" i="7" s="1"/>
  <c r="E10" i="7"/>
  <c r="D11" i="7" s="1"/>
  <c r="G10" i="7"/>
  <c r="E31" i="5"/>
  <c r="D32" i="5" s="1"/>
  <c r="G32" i="5" s="1"/>
  <c r="G9" i="6"/>
  <c r="I9" i="6" s="1"/>
  <c r="E9" i="6"/>
  <c r="D10" i="6" s="1"/>
  <c r="E10" i="6" s="1"/>
  <c r="D11" i="6" s="1"/>
  <c r="E11" i="6" s="1"/>
  <c r="H8" i="5"/>
  <c r="J8" i="5" s="1"/>
  <c r="G8" i="5"/>
  <c r="H7" i="5"/>
  <c r="J7" i="5" s="1"/>
  <c r="G7" i="5"/>
  <c r="E7" i="5"/>
  <c r="D8" i="5" s="1"/>
  <c r="E8" i="5" s="1"/>
  <c r="D9" i="5" s="1"/>
  <c r="E7" i="4"/>
  <c r="D8" i="4" s="1"/>
  <c r="E8" i="4" s="1"/>
  <c r="D9" i="4" s="1"/>
  <c r="G9" i="4" s="1"/>
  <c r="H8" i="4"/>
  <c r="J8" i="4" s="1"/>
  <c r="G8" i="4"/>
  <c r="I8" i="4" s="1"/>
  <c r="H7" i="4"/>
  <c r="J7" i="4" s="1"/>
  <c r="G7" i="4"/>
  <c r="L7" i="4" s="1"/>
  <c r="E115" i="16" l="1"/>
  <c r="D116" i="16" s="1"/>
  <c r="G115" i="16"/>
  <c r="I115" i="16" s="1"/>
  <c r="H40" i="16"/>
  <c r="G40" i="16"/>
  <c r="I40" i="16" s="1"/>
  <c r="E40" i="16"/>
  <c r="D41" i="16" s="1"/>
  <c r="L206" i="14"/>
  <c r="L219" i="14" s="1"/>
  <c r="G145" i="14"/>
  <c r="I145" i="14" s="1"/>
  <c r="H145" i="14"/>
  <c r="J145" i="14" s="1"/>
  <c r="G207" i="14"/>
  <c r="I207" i="14" s="1"/>
  <c r="H207" i="14"/>
  <c r="J207" i="14" s="1"/>
  <c r="L144" i="14"/>
  <c r="L162" i="14" s="1"/>
  <c r="G77" i="14"/>
  <c r="I77" i="14" s="1"/>
  <c r="H77" i="14"/>
  <c r="J77" i="14" s="1"/>
  <c r="L76" i="14"/>
  <c r="L93" i="14" s="1"/>
  <c r="I7" i="5"/>
  <c r="L7" i="5"/>
  <c r="E61" i="18"/>
  <c r="I7" i="4"/>
  <c r="E39" i="15"/>
  <c r="D40" i="15" s="1"/>
  <c r="G39" i="15"/>
  <c r="I39" i="15" s="1"/>
  <c r="E106" i="15"/>
  <c r="D107" i="15" s="1"/>
  <c r="G106" i="15"/>
  <c r="I106" i="15" s="1"/>
  <c r="D71" i="15"/>
  <c r="E71" i="15" s="1"/>
  <c r="G70" i="15"/>
  <c r="I70" i="15" s="1"/>
  <c r="E55" i="12"/>
  <c r="D56" i="12" s="1"/>
  <c r="G55" i="12"/>
  <c r="I55" i="12" s="1"/>
  <c r="L44" i="9"/>
  <c r="I44" i="9"/>
  <c r="L42" i="9"/>
  <c r="I42" i="9"/>
  <c r="L8" i="5"/>
  <c r="I10" i="7"/>
  <c r="L10" i="7"/>
  <c r="L8" i="4"/>
  <c r="I11" i="9"/>
  <c r="I8" i="5"/>
  <c r="E207" i="14"/>
  <c r="D208" i="14" s="1"/>
  <c r="G37" i="14"/>
  <c r="I37" i="14" s="1"/>
  <c r="E37" i="14"/>
  <c r="D38" i="14" s="1"/>
  <c r="E145" i="14"/>
  <c r="D146" i="14" s="1"/>
  <c r="E77" i="14"/>
  <c r="D78" i="14" s="1"/>
  <c r="E39" i="10"/>
  <c r="D40" i="10" s="1"/>
  <c r="G39" i="10"/>
  <c r="I39" i="10" s="1"/>
  <c r="G34" i="12"/>
  <c r="I34" i="12" s="1"/>
  <c r="E34" i="12"/>
  <c r="D35" i="12" s="1"/>
  <c r="G18" i="10"/>
  <c r="H18" i="10"/>
  <c r="E18" i="10"/>
  <c r="D19" i="10" s="1"/>
  <c r="E12" i="9"/>
  <c r="D18" i="9" s="1"/>
  <c r="G12" i="9"/>
  <c r="I12" i="9" s="1"/>
  <c r="E10" i="8"/>
  <c r="D11" i="8" s="1"/>
  <c r="G10" i="8"/>
  <c r="E33" i="7"/>
  <c r="E11" i="7"/>
  <c r="D12" i="7" s="1"/>
  <c r="G11" i="7"/>
  <c r="G9" i="5"/>
  <c r="I9" i="5" s="1"/>
  <c r="E9" i="5"/>
  <c r="D10" i="5" s="1"/>
  <c r="I9" i="4"/>
  <c r="E9" i="4"/>
  <c r="D10" i="4" s="1"/>
  <c r="D34" i="7" l="1"/>
  <c r="E116" i="16"/>
  <c r="D117" i="16" s="1"/>
  <c r="G116" i="16"/>
  <c r="I116" i="16" s="1"/>
  <c r="E41" i="16"/>
  <c r="D42" i="16" s="1"/>
  <c r="G41" i="16"/>
  <c r="I41" i="16" s="1"/>
  <c r="L207" i="14"/>
  <c r="L220" i="14" s="1"/>
  <c r="G208" i="14"/>
  <c r="H208" i="14"/>
  <c r="J208" i="14" s="1"/>
  <c r="H146" i="14"/>
  <c r="J146" i="14" s="1"/>
  <c r="G146" i="14"/>
  <c r="I146" i="14" s="1"/>
  <c r="L145" i="14"/>
  <c r="L164" i="14" s="1"/>
  <c r="G78" i="14"/>
  <c r="I78" i="14" s="1"/>
  <c r="H78" i="14"/>
  <c r="J78" i="14" s="1"/>
  <c r="L77" i="14"/>
  <c r="L95" i="14" s="1"/>
  <c r="G48" i="9"/>
  <c r="I48" i="9" s="1"/>
  <c r="E48" i="9"/>
  <c r="D49" i="9" s="1"/>
  <c r="E10" i="4"/>
  <c r="D11" i="4" s="1"/>
  <c r="G10" i="4"/>
  <c r="D72" i="15"/>
  <c r="E72" i="15" s="1"/>
  <c r="G71" i="15"/>
  <c r="I71" i="15" s="1"/>
  <c r="E107" i="15"/>
  <c r="D108" i="15" s="1"/>
  <c r="G107" i="15"/>
  <c r="I107" i="15" s="1"/>
  <c r="E40" i="15"/>
  <c r="D41" i="15" s="1"/>
  <c r="G40" i="15"/>
  <c r="I40" i="15" s="1"/>
  <c r="E56" i="12"/>
  <c r="D57" i="12" s="1"/>
  <c r="G56" i="12"/>
  <c r="L11" i="9"/>
  <c r="I29" i="7"/>
  <c r="I33" i="7"/>
  <c r="I31" i="7"/>
  <c r="J30" i="7"/>
  <c r="J29" i="7"/>
  <c r="I11" i="7"/>
  <c r="I10" i="8"/>
  <c r="E40" i="10"/>
  <c r="D41" i="10" s="1"/>
  <c r="H40" i="10"/>
  <c r="G40" i="10"/>
  <c r="E208" i="14"/>
  <c r="D209" i="14" s="1"/>
  <c r="I208" i="14"/>
  <c r="E146" i="14"/>
  <c r="D147" i="14" s="1"/>
  <c r="E38" i="14"/>
  <c r="D39" i="14" s="1"/>
  <c r="G38" i="14"/>
  <c r="I38" i="14" s="1"/>
  <c r="E78" i="14"/>
  <c r="D79" i="14" s="1"/>
  <c r="G35" i="12"/>
  <c r="E35" i="12"/>
  <c r="D36" i="12" s="1"/>
  <c r="I18" i="10"/>
  <c r="E19" i="10"/>
  <c r="D20" i="10" s="1"/>
  <c r="G19" i="10"/>
  <c r="I19" i="10" s="1"/>
  <c r="E18" i="9"/>
  <c r="D19" i="9" s="1"/>
  <c r="G18" i="9"/>
  <c r="I18" i="9" s="1"/>
  <c r="E11" i="8"/>
  <c r="D12" i="8" s="1"/>
  <c r="E12" i="8" s="1"/>
  <c r="D13" i="8" s="1"/>
  <c r="G11" i="8"/>
  <c r="I11" i="8" s="1"/>
  <c r="E12" i="7"/>
  <c r="D18" i="7" s="1"/>
  <c r="G12" i="7"/>
  <c r="I12" i="7" s="1"/>
  <c r="E32" i="5"/>
  <c r="D33" i="5" s="1"/>
  <c r="G33" i="5" s="1"/>
  <c r="L32" i="5" s="1"/>
  <c r="G10" i="6"/>
  <c r="G10" i="5"/>
  <c r="L10" i="5" s="1"/>
  <c r="E10" i="5"/>
  <c r="D11" i="5" s="1"/>
  <c r="E34" i="7" l="1"/>
  <c r="D35" i="7" s="1"/>
  <c r="G34" i="7"/>
  <c r="E41" i="10"/>
  <c r="D43" i="10" s="1"/>
  <c r="G41" i="10"/>
  <c r="I41" i="10" s="1"/>
  <c r="A42" i="10" s="1"/>
  <c r="E117" i="16"/>
  <c r="D118" i="16" s="1"/>
  <c r="G117" i="16"/>
  <c r="I117" i="16" s="1"/>
  <c r="E42" i="16"/>
  <c r="D43" i="16" s="1"/>
  <c r="G42" i="16"/>
  <c r="I42" i="16" s="1"/>
  <c r="L208" i="14"/>
  <c r="L221" i="14" s="1"/>
  <c r="G147" i="14"/>
  <c r="H147" i="14"/>
  <c r="J147" i="14" s="1"/>
  <c r="L146" i="14"/>
  <c r="L166" i="14" s="1"/>
  <c r="G209" i="14"/>
  <c r="H209" i="14"/>
  <c r="J209" i="14" s="1"/>
  <c r="G79" i="14"/>
  <c r="I79" i="14" s="1"/>
  <c r="H79" i="14"/>
  <c r="J79" i="14" s="1"/>
  <c r="L78" i="14"/>
  <c r="L97" i="14" s="1"/>
  <c r="G49" i="9"/>
  <c r="I49" i="9" s="1"/>
  <c r="E49" i="9"/>
  <c r="D50" i="9" s="1"/>
  <c r="L10" i="4"/>
  <c r="I10" i="4"/>
  <c r="E11" i="4"/>
  <c r="D12" i="4" s="1"/>
  <c r="G11" i="4"/>
  <c r="I11" i="4" s="1"/>
  <c r="G57" i="10"/>
  <c r="I57" i="10" s="1"/>
  <c r="E41" i="15"/>
  <c r="D42" i="15" s="1"/>
  <c r="G41" i="15"/>
  <c r="I41" i="15" s="1"/>
  <c r="E108" i="15"/>
  <c r="D109" i="15" s="1"/>
  <c r="G108" i="15"/>
  <c r="I108" i="15" s="1"/>
  <c r="D73" i="15"/>
  <c r="E73" i="15" s="1"/>
  <c r="G72" i="15"/>
  <c r="I72" i="15" s="1"/>
  <c r="L56" i="12"/>
  <c r="I56" i="12"/>
  <c r="I35" i="12"/>
  <c r="L35" i="12"/>
  <c r="E57" i="12"/>
  <c r="D58" i="12" s="1"/>
  <c r="G57" i="12"/>
  <c r="L10" i="8"/>
  <c r="I32" i="7"/>
  <c r="L32" i="7"/>
  <c r="L11" i="7"/>
  <c r="L30" i="7"/>
  <c r="I30" i="7"/>
  <c r="I10" i="6"/>
  <c r="I40" i="10"/>
  <c r="I10" i="5"/>
  <c r="E209" i="14"/>
  <c r="D210" i="14" s="1"/>
  <c r="E147" i="14"/>
  <c r="D148" i="14" s="1"/>
  <c r="G39" i="14"/>
  <c r="I39" i="14" s="1"/>
  <c r="E39" i="14"/>
  <c r="D40" i="14" s="1"/>
  <c r="E79" i="14"/>
  <c r="D80" i="14" s="1"/>
  <c r="E43" i="10"/>
  <c r="D44" i="10" s="1"/>
  <c r="G43" i="10"/>
  <c r="I43" i="10" s="1"/>
  <c r="E20" i="10"/>
  <c r="D21" i="10" s="1"/>
  <c r="G20" i="10"/>
  <c r="I20" i="10" s="1"/>
  <c r="G36" i="12"/>
  <c r="I36" i="12" s="1"/>
  <c r="E36" i="12"/>
  <c r="D37" i="12" s="1"/>
  <c r="E37" i="12" s="1"/>
  <c r="D38" i="12" s="1"/>
  <c r="H19" i="9"/>
  <c r="E19" i="9"/>
  <c r="D20" i="9" s="1"/>
  <c r="G19" i="9"/>
  <c r="E13" i="8"/>
  <c r="D14" i="8" s="1"/>
  <c r="G13" i="8"/>
  <c r="L13" i="8" s="1"/>
  <c r="E18" i="7"/>
  <c r="D19" i="7" s="1"/>
  <c r="G18" i="7"/>
  <c r="I18" i="7" s="1"/>
  <c r="E33" i="5"/>
  <c r="D34" i="5" s="1"/>
  <c r="G34" i="5" s="1"/>
  <c r="I34" i="5" s="1"/>
  <c r="G11" i="6"/>
  <c r="I11" i="6" s="1"/>
  <c r="D17" i="6"/>
  <c r="G17" i="6" s="1"/>
  <c r="G11" i="5"/>
  <c r="E11" i="5"/>
  <c r="D12" i="5" s="1"/>
  <c r="L34" i="7" l="1"/>
  <c r="I34" i="7"/>
  <c r="E35" i="7"/>
  <c r="D36" i="7" s="1"/>
  <c r="G36" i="7" s="1"/>
  <c r="I36" i="7" s="1"/>
  <c r="G35" i="7"/>
  <c r="I35" i="7" s="1"/>
  <c r="E118" i="16"/>
  <c r="D119" i="16" s="1"/>
  <c r="G118" i="16"/>
  <c r="I118" i="16" s="1"/>
  <c r="E43" i="16"/>
  <c r="D44" i="16" s="1"/>
  <c r="G43" i="16"/>
  <c r="I43" i="16" s="1"/>
  <c r="L209" i="14"/>
  <c r="L222" i="14" s="1"/>
  <c r="I209" i="14"/>
  <c r="L147" i="14"/>
  <c r="L168" i="14" s="1"/>
  <c r="G210" i="14"/>
  <c r="I210" i="14" s="1"/>
  <c r="H210" i="14"/>
  <c r="J210" i="14" s="1"/>
  <c r="G148" i="14"/>
  <c r="I148" i="14" s="1"/>
  <c r="H148" i="14"/>
  <c r="J148" i="14" s="1"/>
  <c r="I147" i="14"/>
  <c r="G80" i="14"/>
  <c r="I80" i="14" s="1"/>
  <c r="H80" i="14"/>
  <c r="J80" i="14" s="1"/>
  <c r="L79" i="14"/>
  <c r="L99" i="14" s="1"/>
  <c r="G50" i="9"/>
  <c r="I50" i="9" s="1"/>
  <c r="E50" i="9"/>
  <c r="D51" i="9" s="1"/>
  <c r="G12" i="4"/>
  <c r="I12" i="4" s="1"/>
  <c r="E12" i="4"/>
  <c r="D18" i="4" s="1"/>
  <c r="L10" i="6"/>
  <c r="D74" i="15"/>
  <c r="E74" i="15" s="1"/>
  <c r="G73" i="15"/>
  <c r="I73" i="15" s="1"/>
  <c r="E109" i="15"/>
  <c r="G109" i="15"/>
  <c r="I109" i="15" s="1"/>
  <c r="E42" i="15"/>
  <c r="D43" i="15" s="1"/>
  <c r="G42" i="15"/>
  <c r="L57" i="12"/>
  <c r="I57" i="12"/>
  <c r="E58" i="12"/>
  <c r="D59" i="12" s="1"/>
  <c r="G58" i="12"/>
  <c r="I58" i="12" s="1"/>
  <c r="I29" i="5"/>
  <c r="I19" i="9"/>
  <c r="I33" i="5"/>
  <c r="I31" i="5"/>
  <c r="J30" i="5"/>
  <c r="J29" i="5"/>
  <c r="I13" i="8"/>
  <c r="I11" i="5"/>
  <c r="E210" i="14"/>
  <c r="D211" i="14" s="1"/>
  <c r="E40" i="14"/>
  <c r="D41" i="14" s="1"/>
  <c r="G40" i="14"/>
  <c r="I40" i="14" s="1"/>
  <c r="E148" i="14"/>
  <c r="D149" i="14" s="1"/>
  <c r="E80" i="14"/>
  <c r="D81" i="14" s="1"/>
  <c r="G44" i="10"/>
  <c r="I44" i="10" s="1"/>
  <c r="E44" i="10"/>
  <c r="D45" i="10" s="1"/>
  <c r="E21" i="10"/>
  <c r="D22" i="10" s="1"/>
  <c r="G21" i="10"/>
  <c r="I21" i="10" s="1"/>
  <c r="G37" i="12"/>
  <c r="I37" i="12" s="1"/>
  <c r="E38" i="12"/>
  <c r="D39" i="12" s="1"/>
  <c r="G20" i="9"/>
  <c r="I20" i="9" s="1"/>
  <c r="E20" i="9"/>
  <c r="D21" i="9" s="1"/>
  <c r="E14" i="8"/>
  <c r="G14" i="8"/>
  <c r="I14" i="8" s="1"/>
  <c r="E36" i="7"/>
  <c r="D37" i="7" s="1"/>
  <c r="G37" i="7" s="1"/>
  <c r="I37" i="7" s="1"/>
  <c r="H19" i="7"/>
  <c r="E19" i="7"/>
  <c r="D20" i="7" s="1"/>
  <c r="G19" i="7"/>
  <c r="I17" i="6"/>
  <c r="E17" i="6"/>
  <c r="D18" i="6" s="1"/>
  <c r="G18" i="6" s="1"/>
  <c r="I18" i="6" s="1"/>
  <c r="G12" i="5"/>
  <c r="I12" i="5" s="1"/>
  <c r="E12" i="5"/>
  <c r="D18" i="5" s="1"/>
  <c r="E119" i="16" l="1"/>
  <c r="D120" i="16" s="1"/>
  <c r="G119" i="16"/>
  <c r="I119" i="16" s="1"/>
  <c r="G44" i="16"/>
  <c r="I44" i="16" s="1"/>
  <c r="E44" i="16"/>
  <c r="D45" i="16" s="1"/>
  <c r="E211" i="14"/>
  <c r="D212" i="14" s="1"/>
  <c r="G211" i="14"/>
  <c r="H211" i="14"/>
  <c r="J211" i="14" s="1"/>
  <c r="E149" i="14"/>
  <c r="D150" i="14" s="1"/>
  <c r="G149" i="14"/>
  <c r="H149" i="14"/>
  <c r="J149" i="14" s="1"/>
  <c r="L148" i="14"/>
  <c r="L170" i="14" s="1"/>
  <c r="L210" i="14"/>
  <c r="L223" i="14" s="1"/>
  <c r="G81" i="14"/>
  <c r="I81" i="14" s="1"/>
  <c r="H81" i="14"/>
  <c r="J81" i="14" s="1"/>
  <c r="L80" i="14"/>
  <c r="L101" i="14" s="1"/>
  <c r="G51" i="9"/>
  <c r="I51" i="9" s="1"/>
  <c r="E51" i="9"/>
  <c r="D52" i="9" s="1"/>
  <c r="L11" i="4"/>
  <c r="E18" i="4"/>
  <c r="D19" i="4" s="1"/>
  <c r="G18" i="4"/>
  <c r="I18" i="4" s="1"/>
  <c r="I19" i="7"/>
  <c r="I42" i="15"/>
  <c r="L42" i="15"/>
  <c r="E43" i="15"/>
  <c r="D44" i="15" s="1"/>
  <c r="G43" i="15"/>
  <c r="I43" i="15" s="1"/>
  <c r="D75" i="15"/>
  <c r="E75" i="15" s="1"/>
  <c r="G74" i="15"/>
  <c r="I74" i="15" s="1"/>
  <c r="E59" i="12"/>
  <c r="D60" i="12" s="1"/>
  <c r="G59" i="12"/>
  <c r="I59" i="12" s="1"/>
  <c r="L11" i="5"/>
  <c r="I32" i="5"/>
  <c r="I30" i="5"/>
  <c r="H22" i="10"/>
  <c r="G22" i="10"/>
  <c r="G41" i="14"/>
  <c r="I41" i="14" s="1"/>
  <c r="E41" i="14"/>
  <c r="D42" i="14" s="1"/>
  <c r="E81" i="14"/>
  <c r="D82" i="14" s="1"/>
  <c r="E45" i="10"/>
  <c r="D46" i="10" s="1"/>
  <c r="G45" i="10"/>
  <c r="I45" i="10" s="1"/>
  <c r="E22" i="10"/>
  <c r="G38" i="12"/>
  <c r="I38" i="12" s="1"/>
  <c r="E39" i="12"/>
  <c r="D40" i="12" s="1"/>
  <c r="E21" i="9"/>
  <c r="D27" i="9" s="1"/>
  <c r="G21" i="9"/>
  <c r="L21" i="9" s="1"/>
  <c r="D15" i="8"/>
  <c r="D16" i="8"/>
  <c r="E37" i="7"/>
  <c r="D38" i="7" s="1"/>
  <c r="G38" i="7" s="1"/>
  <c r="G20" i="7"/>
  <c r="I20" i="7" s="1"/>
  <c r="E20" i="7"/>
  <c r="E18" i="6"/>
  <c r="D19" i="6" s="1"/>
  <c r="G19" i="6" s="1"/>
  <c r="I19" i="6" s="1"/>
  <c r="G18" i="5"/>
  <c r="I18" i="5" s="1"/>
  <c r="E18" i="5"/>
  <c r="D19" i="5" s="1"/>
  <c r="E120" i="16" l="1"/>
  <c r="D121" i="16" s="1"/>
  <c r="G120" i="16"/>
  <c r="I120" i="16" s="1"/>
  <c r="E45" i="16"/>
  <c r="D46" i="16" s="1"/>
  <c r="G45" i="16"/>
  <c r="I45" i="16" s="1"/>
  <c r="I211" i="14"/>
  <c r="L211" i="14"/>
  <c r="L224" i="14" s="1"/>
  <c r="H212" i="14"/>
  <c r="J212" i="14" s="1"/>
  <c r="E212" i="14"/>
  <c r="D214" i="14" s="1"/>
  <c r="E214" i="14" s="1"/>
  <c r="D215" i="14" s="1"/>
  <c r="G212" i="14"/>
  <c r="L149" i="14"/>
  <c r="L172" i="14" s="1"/>
  <c r="I149" i="14"/>
  <c r="E150" i="14"/>
  <c r="D152" i="14" s="1"/>
  <c r="E152" i="14" s="1"/>
  <c r="D153" i="14" s="1"/>
  <c r="G150" i="14"/>
  <c r="H150" i="14"/>
  <c r="J150" i="14" s="1"/>
  <c r="G82" i="14"/>
  <c r="H82" i="14"/>
  <c r="J82" i="14" s="1"/>
  <c r="E82" i="14"/>
  <c r="D83" i="14" s="1"/>
  <c r="E83" i="14" s="1"/>
  <c r="D85" i="14" s="1"/>
  <c r="L81" i="14"/>
  <c r="L103" i="14" s="1"/>
  <c r="G52" i="9"/>
  <c r="I52" i="9" s="1"/>
  <c r="E52" i="9"/>
  <c r="E19" i="4"/>
  <c r="D20" i="4" s="1"/>
  <c r="H19" i="4"/>
  <c r="G19" i="4"/>
  <c r="G15" i="8"/>
  <c r="E15" i="8"/>
  <c r="D80" i="15"/>
  <c r="G75" i="15"/>
  <c r="E44" i="15"/>
  <c r="D45" i="15" s="1"/>
  <c r="G44" i="15"/>
  <c r="I44" i="15" s="1"/>
  <c r="E60" i="12"/>
  <c r="D61" i="12" s="1"/>
  <c r="G60" i="12"/>
  <c r="I60" i="12" s="1"/>
  <c r="I22" i="10"/>
  <c r="I21" i="9"/>
  <c r="G42" i="14"/>
  <c r="I42" i="14" s="1"/>
  <c r="E42" i="14"/>
  <c r="D43" i="14" s="1"/>
  <c r="E46" i="10"/>
  <c r="D47" i="10" s="1"/>
  <c r="G46" i="10"/>
  <c r="I46" i="10" s="1"/>
  <c r="A47" i="10" s="1"/>
  <c r="G39" i="12"/>
  <c r="I39" i="12" s="1"/>
  <c r="E40" i="12"/>
  <c r="G27" i="9"/>
  <c r="L27" i="9" s="1"/>
  <c r="E27" i="9"/>
  <c r="D28" i="9" s="1"/>
  <c r="E16" i="8"/>
  <c r="D17" i="8" s="1"/>
  <c r="G17" i="8" s="1"/>
  <c r="G16" i="8"/>
  <c r="K16" i="8" s="1"/>
  <c r="E38" i="7"/>
  <c r="D39" i="7" s="1"/>
  <c r="G39" i="7" s="1"/>
  <c r="I38" i="7"/>
  <c r="E34" i="5"/>
  <c r="D35" i="5" s="1"/>
  <c r="G35" i="5" s="1"/>
  <c r="I35" i="5" s="1"/>
  <c r="E19" i="6"/>
  <c r="D20" i="6" s="1"/>
  <c r="G20" i="6" s="1"/>
  <c r="I20" i="6" s="1"/>
  <c r="G19" i="5"/>
  <c r="H19" i="5"/>
  <c r="E19" i="5"/>
  <c r="D20" i="5" s="1"/>
  <c r="G20" i="5" s="1"/>
  <c r="I20" i="5" s="1"/>
  <c r="E121" i="16" l="1"/>
  <c r="D122" i="16" s="1"/>
  <c r="G121" i="16"/>
  <c r="I121" i="16" s="1"/>
  <c r="H46" i="16"/>
  <c r="G46" i="16"/>
  <c r="E46" i="16"/>
  <c r="D47" i="16" s="1"/>
  <c r="G214" i="14"/>
  <c r="G152" i="14"/>
  <c r="I152" i="14" s="1"/>
  <c r="H214" i="14"/>
  <c r="I212" i="14"/>
  <c r="L212" i="14"/>
  <c r="L225" i="14" s="1"/>
  <c r="L150" i="14"/>
  <c r="L174" i="14" s="1"/>
  <c r="I150" i="14"/>
  <c r="H83" i="14"/>
  <c r="J83" i="14" s="1"/>
  <c r="G83" i="14"/>
  <c r="I82" i="14"/>
  <c r="L82" i="14"/>
  <c r="L105" i="14" s="1"/>
  <c r="G215" i="14"/>
  <c r="H215" i="14"/>
  <c r="I19" i="4"/>
  <c r="E20" i="4"/>
  <c r="D21" i="4" s="1"/>
  <c r="G21" i="4" s="1"/>
  <c r="G20" i="4"/>
  <c r="K17" i="8"/>
  <c r="I16" i="8"/>
  <c r="E45" i="15"/>
  <c r="D46" i="15" s="1"/>
  <c r="G45" i="15"/>
  <c r="I45" i="15" s="1"/>
  <c r="L75" i="15"/>
  <c r="I75" i="15"/>
  <c r="G80" i="15"/>
  <c r="E80" i="15"/>
  <c r="D81" i="15" s="1"/>
  <c r="E61" i="12"/>
  <c r="D62" i="12" s="1"/>
  <c r="G61" i="12"/>
  <c r="I61" i="12" s="1"/>
  <c r="I27" i="9"/>
  <c r="E39" i="7"/>
  <c r="D40" i="7" s="1"/>
  <c r="G40" i="7" s="1"/>
  <c r="I39" i="7"/>
  <c r="E17" i="8"/>
  <c r="D18" i="8" s="1"/>
  <c r="E18" i="8" s="1"/>
  <c r="D19" i="8" s="1"/>
  <c r="E215" i="14"/>
  <c r="D216" i="14" s="1"/>
  <c r="G153" i="14"/>
  <c r="I153" i="14" s="1"/>
  <c r="E153" i="14"/>
  <c r="D154" i="14" s="1"/>
  <c r="G154" i="14" s="1"/>
  <c r="G43" i="14"/>
  <c r="I43" i="14" s="1"/>
  <c r="E43" i="14"/>
  <c r="D44" i="14" s="1"/>
  <c r="G85" i="14"/>
  <c r="I85" i="14" s="1"/>
  <c r="E85" i="14"/>
  <c r="G47" i="10"/>
  <c r="I47" i="10" s="1"/>
  <c r="E47" i="10"/>
  <c r="D48" i="10" s="1"/>
  <c r="G40" i="12"/>
  <c r="I40" i="12" s="1"/>
  <c r="L36" i="12" s="1"/>
  <c r="G28" i="9"/>
  <c r="I28" i="9" s="1"/>
  <c r="E28" i="9"/>
  <c r="D29" i="9" s="1"/>
  <c r="E35" i="5"/>
  <c r="D36" i="5" s="1"/>
  <c r="G36" i="5" s="1"/>
  <c r="I36" i="5" s="1"/>
  <c r="I19" i="5"/>
  <c r="E20" i="6"/>
  <c r="D21" i="6" s="1"/>
  <c r="G21" i="6" s="1"/>
  <c r="L21" i="6" s="1"/>
  <c r="E20" i="5"/>
  <c r="E122" i="16" l="1"/>
  <c r="D123" i="16" s="1"/>
  <c r="G122" i="16"/>
  <c r="I122" i="16" s="1"/>
  <c r="E47" i="16"/>
  <c r="D48" i="16" s="1"/>
  <c r="G47" i="16"/>
  <c r="I47" i="16" s="1"/>
  <c r="I46" i="16"/>
  <c r="I214" i="14"/>
  <c r="I215" i="14"/>
  <c r="I83" i="14"/>
  <c r="L83" i="14"/>
  <c r="L107" i="14" s="1"/>
  <c r="G216" i="14"/>
  <c r="H216" i="14"/>
  <c r="L20" i="4"/>
  <c r="I20" i="4"/>
  <c r="E21" i="4"/>
  <c r="D22" i="4" s="1"/>
  <c r="I21" i="4"/>
  <c r="L80" i="15"/>
  <c r="I80" i="15"/>
  <c r="G81" i="15"/>
  <c r="I81" i="15" s="1"/>
  <c r="E81" i="15"/>
  <c r="D82" i="15" s="1"/>
  <c r="E46" i="15"/>
  <c r="D47" i="15" s="1"/>
  <c r="G46" i="15"/>
  <c r="I46" i="15" s="1"/>
  <c r="E62" i="12"/>
  <c r="G62" i="12"/>
  <c r="I62" i="12" s="1"/>
  <c r="E40" i="7"/>
  <c r="D41" i="7" s="1"/>
  <c r="G41" i="7" s="1"/>
  <c r="I40" i="7"/>
  <c r="G18" i="8"/>
  <c r="K18" i="8" s="1"/>
  <c r="E216" i="14"/>
  <c r="D217" i="14" s="1"/>
  <c r="E44" i="14"/>
  <c r="D45" i="14" s="1"/>
  <c r="G44" i="14"/>
  <c r="I44" i="14" s="1"/>
  <c r="I154" i="14"/>
  <c r="E154" i="14"/>
  <c r="D155" i="14" s="1"/>
  <c r="D86" i="14"/>
  <c r="E48" i="10"/>
  <c r="D49" i="10" s="1"/>
  <c r="G48" i="10"/>
  <c r="I48" i="10" s="1"/>
  <c r="G29" i="9"/>
  <c r="I29" i="9" s="1"/>
  <c r="E29" i="9"/>
  <c r="D30" i="9" s="1"/>
  <c r="E19" i="8"/>
  <c r="D20" i="8" s="1"/>
  <c r="G19" i="8"/>
  <c r="E36" i="5"/>
  <c r="D37" i="5" s="1"/>
  <c r="G37" i="5" s="1"/>
  <c r="E21" i="6"/>
  <c r="D22" i="6" s="1"/>
  <c r="G22" i="6" s="1"/>
  <c r="I21" i="6"/>
  <c r="G22" i="4" l="1"/>
  <c r="I22" i="4" s="1"/>
  <c r="E22" i="4"/>
  <c r="D23" i="4" s="1"/>
  <c r="E123" i="16"/>
  <c r="D124" i="16" s="1"/>
  <c r="G123" i="16"/>
  <c r="I123" i="16" s="1"/>
  <c r="G48" i="16"/>
  <c r="I48" i="16" s="1"/>
  <c r="E48" i="16"/>
  <c r="D49" i="16" s="1"/>
  <c r="I216" i="14"/>
  <c r="G217" i="14"/>
  <c r="H217" i="14"/>
  <c r="E23" i="4"/>
  <c r="D24" i="4" s="1"/>
  <c r="G23" i="4"/>
  <c r="I23" i="4" s="1"/>
  <c r="I17" i="8"/>
  <c r="I18" i="8"/>
  <c r="K19" i="8"/>
  <c r="G82" i="15"/>
  <c r="I82" i="15" s="1"/>
  <c r="E82" i="15"/>
  <c r="D83" i="15" s="1"/>
  <c r="E47" i="15"/>
  <c r="G47" i="15"/>
  <c r="I47" i="15" s="1"/>
  <c r="L43" i="15" s="1"/>
  <c r="E41" i="7"/>
  <c r="E217" i="14"/>
  <c r="D218" i="14" s="1"/>
  <c r="E155" i="14"/>
  <c r="D156" i="14" s="1"/>
  <c r="G155" i="14"/>
  <c r="I155" i="14" s="1"/>
  <c r="E45" i="14"/>
  <c r="D46" i="14" s="1"/>
  <c r="G45" i="14"/>
  <c r="I45" i="14" s="1"/>
  <c r="E86" i="14"/>
  <c r="D87" i="14" s="1"/>
  <c r="G87" i="14" s="1"/>
  <c r="I87" i="14" s="1"/>
  <c r="G86" i="14"/>
  <c r="I86" i="14" s="1"/>
  <c r="E49" i="10"/>
  <c r="D50" i="10" s="1"/>
  <c r="G49" i="10"/>
  <c r="I49" i="10" s="1"/>
  <c r="E30" i="9"/>
  <c r="D31" i="9" s="1"/>
  <c r="G30" i="9"/>
  <c r="I30" i="9" s="1"/>
  <c r="E20" i="8"/>
  <c r="D21" i="8" s="1"/>
  <c r="G20" i="8"/>
  <c r="E37" i="5"/>
  <c r="I37" i="5"/>
  <c r="E22" i="6"/>
  <c r="I22" i="6"/>
  <c r="E124" i="16" l="1"/>
  <c r="D125" i="16" s="1"/>
  <c r="G124" i="16"/>
  <c r="I124" i="16" s="1"/>
  <c r="E49" i="16"/>
  <c r="D50" i="16" s="1"/>
  <c r="G49" i="16"/>
  <c r="I49" i="16" s="1"/>
  <c r="E87" i="14"/>
  <c r="D88" i="14" s="1"/>
  <c r="E88" i="14" s="1"/>
  <c r="D89" i="14" s="1"/>
  <c r="E89" i="14" s="1"/>
  <c r="D90" i="14" s="1"/>
  <c r="E90" i="14" s="1"/>
  <c r="D91" i="14" s="1"/>
  <c r="E91" i="14" s="1"/>
  <c r="D92" i="14" s="1"/>
  <c r="E92" i="14" s="1"/>
  <c r="D93" i="14" s="1"/>
  <c r="E93" i="14" s="1"/>
  <c r="D94" i="14" s="1"/>
  <c r="E94" i="14" s="1"/>
  <c r="D95" i="14" s="1"/>
  <c r="E95" i="14" s="1"/>
  <c r="D96" i="14" s="1"/>
  <c r="E96" i="14" s="1"/>
  <c r="D97" i="14" s="1"/>
  <c r="E97" i="14" s="1"/>
  <c r="D98" i="14" s="1"/>
  <c r="E98" i="14" s="1"/>
  <c r="D99" i="14" s="1"/>
  <c r="E99" i="14" s="1"/>
  <c r="D100" i="14" s="1"/>
  <c r="E100" i="14" s="1"/>
  <c r="D101" i="14" s="1"/>
  <c r="E101" i="14" s="1"/>
  <c r="D102" i="14" s="1"/>
  <c r="E102" i="14" s="1"/>
  <c r="D103" i="14" s="1"/>
  <c r="E103" i="14" s="1"/>
  <c r="D104" i="14" s="1"/>
  <c r="E104" i="14" s="1"/>
  <c r="D105" i="14" s="1"/>
  <c r="H218" i="14"/>
  <c r="G218" i="14"/>
  <c r="I217" i="14"/>
  <c r="E24" i="4"/>
  <c r="D30" i="4" s="1"/>
  <c r="G24" i="4"/>
  <c r="I24" i="4" s="1"/>
  <c r="L21" i="4" s="1"/>
  <c r="I19" i="8"/>
  <c r="K20" i="8"/>
  <c r="G83" i="15"/>
  <c r="I83" i="15" s="1"/>
  <c r="E83" i="15"/>
  <c r="D84" i="15" s="1"/>
  <c r="L41" i="7"/>
  <c r="I41" i="7"/>
  <c r="E218" i="14"/>
  <c r="D219" i="14" s="1"/>
  <c r="G46" i="14"/>
  <c r="I46" i="14" s="1"/>
  <c r="E46" i="14"/>
  <c r="D47" i="14" s="1"/>
  <c r="E156" i="14"/>
  <c r="D157" i="14" s="1"/>
  <c r="G156" i="14"/>
  <c r="I156" i="14" s="1"/>
  <c r="E50" i="10"/>
  <c r="D51" i="10" s="1"/>
  <c r="G50" i="10"/>
  <c r="I50" i="10" s="1"/>
  <c r="E31" i="9"/>
  <c r="D32" i="9" s="1"/>
  <c r="G31" i="9"/>
  <c r="I31" i="9" s="1"/>
  <c r="E21" i="8"/>
  <c r="D22" i="8" s="1"/>
  <c r="G21" i="8"/>
  <c r="D23" i="6"/>
  <c r="E125" i="16" l="1"/>
  <c r="D126" i="16" s="1"/>
  <c r="G125" i="16"/>
  <c r="I125" i="16" s="1"/>
  <c r="G50" i="16"/>
  <c r="I50" i="16" s="1"/>
  <c r="E50" i="16"/>
  <c r="D51" i="16" s="1"/>
  <c r="E105" i="14"/>
  <c r="D106" i="14" s="1"/>
  <c r="G105" i="14"/>
  <c r="I105" i="14" s="1"/>
  <c r="I218" i="14"/>
  <c r="G219" i="14"/>
  <c r="H219" i="14"/>
  <c r="E30" i="4"/>
  <c r="D31" i="4" s="1"/>
  <c r="G30" i="4"/>
  <c r="I30" i="4" s="1"/>
  <c r="I20" i="8"/>
  <c r="K21" i="8"/>
  <c r="G84" i="15"/>
  <c r="I84" i="15" s="1"/>
  <c r="E84" i="15"/>
  <c r="D85" i="15" s="1"/>
  <c r="E219" i="14"/>
  <c r="D220" i="14" s="1"/>
  <c r="E157" i="14"/>
  <c r="D158" i="14" s="1"/>
  <c r="G157" i="14"/>
  <c r="I157" i="14" s="1"/>
  <c r="E47" i="14"/>
  <c r="D48" i="14" s="1"/>
  <c r="G47" i="14"/>
  <c r="I47" i="14" s="1"/>
  <c r="G88" i="14"/>
  <c r="I88" i="14" s="1"/>
  <c r="G89" i="14"/>
  <c r="I89" i="14" s="1"/>
  <c r="E51" i="10"/>
  <c r="D52" i="10" s="1"/>
  <c r="G51" i="10"/>
  <c r="I51" i="10" s="1"/>
  <c r="E32" i="9"/>
  <c r="G32" i="9"/>
  <c r="I32" i="9" s="1"/>
  <c r="G22" i="8"/>
  <c r="E22" i="8"/>
  <c r="D23" i="8" s="1"/>
  <c r="E23" i="6"/>
  <c r="D24" i="6" s="1"/>
  <c r="G23" i="6"/>
  <c r="I23" i="6" s="1"/>
  <c r="E126" i="16" l="1"/>
  <c r="D127" i="16" s="1"/>
  <c r="G126" i="16"/>
  <c r="I126" i="16" s="1"/>
  <c r="G51" i="16"/>
  <c r="I51" i="16" s="1"/>
  <c r="E51" i="16"/>
  <c r="D52" i="16" s="1"/>
  <c r="E106" i="14"/>
  <c r="D107" i="14" s="1"/>
  <c r="G106" i="14"/>
  <c r="I106" i="14" s="1"/>
  <c r="I219" i="14"/>
  <c r="H220" i="14"/>
  <c r="G220" i="14"/>
  <c r="G31" i="4"/>
  <c r="I31" i="4" s="1"/>
  <c r="E31" i="4"/>
  <c r="D32" i="4" s="1"/>
  <c r="I21" i="8"/>
  <c r="K22" i="8"/>
  <c r="G85" i="15"/>
  <c r="I85" i="15" s="1"/>
  <c r="E85" i="15"/>
  <c r="E220" i="14"/>
  <c r="D221" i="14" s="1"/>
  <c r="G48" i="14"/>
  <c r="I48" i="14" s="1"/>
  <c r="E48" i="14"/>
  <c r="D49" i="14" s="1"/>
  <c r="E158" i="14"/>
  <c r="D159" i="14" s="1"/>
  <c r="G158" i="14"/>
  <c r="I158" i="14" s="1"/>
  <c r="E52" i="10"/>
  <c r="D53" i="10" s="1"/>
  <c r="G52" i="10"/>
  <c r="I52" i="10" s="1"/>
  <c r="A53" i="10" s="1"/>
  <c r="K42" i="10" s="1"/>
  <c r="E23" i="8"/>
  <c r="D24" i="8" s="1"/>
  <c r="G23" i="8"/>
  <c r="E24" i="6"/>
  <c r="D25" i="6" s="1"/>
  <c r="G24" i="6"/>
  <c r="I24" i="6" s="1"/>
  <c r="E127" i="16" l="1"/>
  <c r="D128" i="16" s="1"/>
  <c r="G127" i="16"/>
  <c r="I127" i="16" s="1"/>
  <c r="G52" i="16"/>
  <c r="I52" i="16" s="1"/>
  <c r="H52" i="16"/>
  <c r="E52" i="16"/>
  <c r="D53" i="16" s="1"/>
  <c r="E107" i="14"/>
  <c r="D108" i="14" s="1"/>
  <c r="G107" i="14"/>
  <c r="I107" i="14" s="1"/>
  <c r="I220" i="14"/>
  <c r="G221" i="14"/>
  <c r="H221" i="14"/>
  <c r="G32" i="4"/>
  <c r="I32" i="4" s="1"/>
  <c r="E32" i="4"/>
  <c r="D33" i="4" s="1"/>
  <c r="N43" i="10"/>
  <c r="I22" i="8"/>
  <c r="K23" i="8"/>
  <c r="E221" i="14"/>
  <c r="D222" i="14" s="1"/>
  <c r="G49" i="14"/>
  <c r="I49" i="14" s="1"/>
  <c r="E49" i="14"/>
  <c r="D50" i="14" s="1"/>
  <c r="E159" i="14"/>
  <c r="D160" i="14" s="1"/>
  <c r="G159" i="14"/>
  <c r="I159" i="14" s="1"/>
  <c r="G91" i="14"/>
  <c r="I91" i="14" s="1"/>
  <c r="G90" i="14"/>
  <c r="I90" i="14" s="1"/>
  <c r="E53" i="10"/>
  <c r="D54" i="10" s="1"/>
  <c r="G53" i="10"/>
  <c r="I53" i="10" s="1"/>
  <c r="E24" i="8"/>
  <c r="D25" i="8" s="1"/>
  <c r="G24" i="8"/>
  <c r="E25" i="6"/>
  <c r="D26" i="6" s="1"/>
  <c r="G25" i="6"/>
  <c r="I25" i="6" s="1"/>
  <c r="E53" i="16" l="1"/>
  <c r="D54" i="16" s="1"/>
  <c r="G53" i="16"/>
  <c r="I53" i="16" s="1"/>
  <c r="E128" i="16"/>
  <c r="D129" i="16" s="1"/>
  <c r="G128" i="16"/>
  <c r="I128" i="16" s="1"/>
  <c r="E108" i="14"/>
  <c r="G108" i="14"/>
  <c r="I108" i="14" s="1"/>
  <c r="G222" i="14"/>
  <c r="H222" i="14"/>
  <c r="I221" i="14"/>
  <c r="G33" i="4"/>
  <c r="I33" i="4" s="1"/>
  <c r="E33" i="4"/>
  <c r="D34" i="4" s="1"/>
  <c r="I23" i="8"/>
  <c r="K24" i="8"/>
  <c r="E222" i="14"/>
  <c r="D223" i="14" s="1"/>
  <c r="G50" i="14"/>
  <c r="E50" i="14"/>
  <c r="H50" i="14"/>
  <c r="E160" i="14"/>
  <c r="D161" i="14" s="1"/>
  <c r="G160" i="14"/>
  <c r="I160" i="14" s="1"/>
  <c r="E54" i="10"/>
  <c r="D55" i="10" s="1"/>
  <c r="G55" i="10" s="1"/>
  <c r="I55" i="10" s="1"/>
  <c r="G54" i="10"/>
  <c r="I54" i="10" s="1"/>
  <c r="E25" i="8"/>
  <c r="D26" i="8" s="1"/>
  <c r="G25" i="8"/>
  <c r="E26" i="6"/>
  <c r="D32" i="6" s="1"/>
  <c r="G26" i="6"/>
  <c r="I26" i="6" s="1"/>
  <c r="L22" i="6" s="1"/>
  <c r="E32" i="6" l="1"/>
  <c r="D33" i="6" s="1"/>
  <c r="G32" i="6"/>
  <c r="I32" i="6" s="1"/>
  <c r="G54" i="16"/>
  <c r="I54" i="16" s="1"/>
  <c r="E54" i="16"/>
  <c r="D55" i="16" s="1"/>
  <c r="E129" i="16"/>
  <c r="D130" i="16" s="1"/>
  <c r="G129" i="16"/>
  <c r="I129" i="16" s="1"/>
  <c r="G223" i="14"/>
  <c r="H223" i="14"/>
  <c r="I222" i="14"/>
  <c r="G34" i="4"/>
  <c r="I34" i="4" s="1"/>
  <c r="E34" i="4"/>
  <c r="D35" i="4" s="1"/>
  <c r="I50" i="14"/>
  <c r="I24" i="8"/>
  <c r="K25" i="8"/>
  <c r="E223" i="14"/>
  <c r="D224" i="14" s="1"/>
  <c r="E224" i="14" s="1"/>
  <c r="D225" i="14" s="1"/>
  <c r="E225" i="14" s="1"/>
  <c r="D226" i="14" s="1"/>
  <c r="E226" i="14" s="1"/>
  <c r="E161" i="14"/>
  <c r="D162" i="14" s="1"/>
  <c r="G161" i="14"/>
  <c r="I161" i="14" s="1"/>
  <c r="G92" i="14"/>
  <c r="I92" i="14" s="1"/>
  <c r="G93" i="14"/>
  <c r="I93" i="14" s="1"/>
  <c r="E55" i="10"/>
  <c r="D56" i="10" s="1"/>
  <c r="E26" i="8"/>
  <c r="D27" i="8" s="1"/>
  <c r="G26" i="8"/>
  <c r="E55" i="16" l="1"/>
  <c r="D56" i="16" s="1"/>
  <c r="G55" i="16"/>
  <c r="I55" i="16" s="1"/>
  <c r="E33" i="6"/>
  <c r="D34" i="6" s="1"/>
  <c r="G33" i="6"/>
  <c r="I33" i="6" s="1"/>
  <c r="E130" i="16"/>
  <c r="D131" i="16" s="1"/>
  <c r="G130" i="16"/>
  <c r="I130" i="16" s="1"/>
  <c r="G225" i="14"/>
  <c r="I225" i="14" s="1"/>
  <c r="H225" i="14"/>
  <c r="I223" i="14"/>
  <c r="E35" i="4"/>
  <c r="D36" i="4" s="1"/>
  <c r="G35" i="4"/>
  <c r="I35" i="4" s="1"/>
  <c r="I25" i="8"/>
  <c r="K26" i="8"/>
  <c r="E162" i="14"/>
  <c r="D163" i="14" s="1"/>
  <c r="G162" i="14"/>
  <c r="I162" i="14" s="1"/>
  <c r="E56" i="10"/>
  <c r="G56" i="10"/>
  <c r="I56" i="10" s="1"/>
  <c r="E27" i="8"/>
  <c r="D28" i="8" s="1"/>
  <c r="G27" i="8"/>
  <c r="E34" i="6" l="1"/>
  <c r="D35" i="6" s="1"/>
  <c r="G34" i="6"/>
  <c r="I34" i="6" s="1"/>
  <c r="E56" i="16"/>
  <c r="D57" i="16" s="1"/>
  <c r="G56" i="16"/>
  <c r="I56" i="16" s="1"/>
  <c r="E131" i="16"/>
  <c r="D132" i="16" s="1"/>
  <c r="G131" i="16"/>
  <c r="I131" i="16" s="1"/>
  <c r="G226" i="14"/>
  <c r="I226" i="14" s="1"/>
  <c r="H226" i="14"/>
  <c r="E36" i="4"/>
  <c r="D37" i="4" s="1"/>
  <c r="G36" i="4"/>
  <c r="I36" i="4" s="1"/>
  <c r="G60" i="10"/>
  <c r="I60" i="10" s="1"/>
  <c r="G65" i="10"/>
  <c r="I65" i="10" s="1"/>
  <c r="G58" i="10"/>
  <c r="I58" i="10" s="1"/>
  <c r="G66" i="10"/>
  <c r="I66" i="10" s="1"/>
  <c r="G61" i="10"/>
  <c r="I61" i="10" s="1"/>
  <c r="G62" i="10"/>
  <c r="I62" i="10" s="1"/>
  <c r="G59" i="10"/>
  <c r="I59" i="10" s="1"/>
  <c r="G64" i="10"/>
  <c r="I64" i="10" s="1"/>
  <c r="G63" i="10"/>
  <c r="I63" i="10" s="1"/>
  <c r="I26" i="8"/>
  <c r="K27" i="8"/>
  <c r="E163" i="14"/>
  <c r="D164" i="14" s="1"/>
  <c r="G163" i="14"/>
  <c r="I163" i="14" s="1"/>
  <c r="G95" i="14"/>
  <c r="I95" i="14" s="1"/>
  <c r="G94" i="14"/>
  <c r="I94" i="14" s="1"/>
  <c r="D57" i="10"/>
  <c r="G28" i="8"/>
  <c r="E28" i="8"/>
  <c r="D29" i="8" s="1"/>
  <c r="E57" i="16" l="1"/>
  <c r="D58" i="16" s="1"/>
  <c r="G57" i="16"/>
  <c r="I57" i="16" s="1"/>
  <c r="E35" i="6"/>
  <c r="D36" i="6" s="1"/>
  <c r="G35" i="6"/>
  <c r="I35" i="6" s="1"/>
  <c r="E132" i="16"/>
  <c r="D133" i="16" s="1"/>
  <c r="G132" i="16"/>
  <c r="I132" i="16" s="1"/>
  <c r="E37" i="4"/>
  <c r="D38" i="4" s="1"/>
  <c r="G37" i="4"/>
  <c r="I37" i="4" s="1"/>
  <c r="I27" i="8"/>
  <c r="K28" i="8"/>
  <c r="O43" i="10"/>
  <c r="N44" i="10" s="1"/>
  <c r="Q43" i="10"/>
  <c r="S43" i="10" s="1"/>
  <c r="E164" i="14"/>
  <c r="D165" i="14" s="1"/>
  <c r="G164" i="14"/>
  <c r="I164" i="14" s="1"/>
  <c r="E57" i="10"/>
  <c r="D58" i="10" s="1"/>
  <c r="G29" i="8"/>
  <c r="E29" i="8"/>
  <c r="D30" i="8" s="1"/>
  <c r="G36" i="6" l="1"/>
  <c r="I36" i="6" s="1"/>
  <c r="E36" i="6"/>
  <c r="D37" i="6" s="1"/>
  <c r="E58" i="16"/>
  <c r="D59" i="16" s="1"/>
  <c r="H58" i="16"/>
  <c r="G58" i="16"/>
  <c r="I58" i="16" s="1"/>
  <c r="E133" i="16"/>
  <c r="D134" i="16" s="1"/>
  <c r="G133" i="16"/>
  <c r="I133" i="16" s="1"/>
  <c r="E38" i="4"/>
  <c r="D39" i="4" s="1"/>
  <c r="G38" i="4"/>
  <c r="I38" i="4" s="1"/>
  <c r="I28" i="8"/>
  <c r="K29" i="8"/>
  <c r="O44" i="10"/>
  <c r="N45" i="10" s="1"/>
  <c r="Q44" i="10"/>
  <c r="S44" i="10" s="1"/>
  <c r="E165" i="14"/>
  <c r="D166" i="14" s="1"/>
  <c r="G165" i="14"/>
  <c r="I165" i="14" s="1"/>
  <c r="G97" i="14"/>
  <c r="I97" i="14" s="1"/>
  <c r="G96" i="14"/>
  <c r="I96" i="14" s="1"/>
  <c r="E58" i="10"/>
  <c r="D59" i="10" s="1"/>
  <c r="G30" i="8"/>
  <c r="E30" i="8"/>
  <c r="D31" i="8" s="1"/>
  <c r="E59" i="16" l="1"/>
  <c r="D60" i="16" s="1"/>
  <c r="G59" i="16"/>
  <c r="H59" i="16"/>
  <c r="E37" i="6"/>
  <c r="D38" i="6" s="1"/>
  <c r="G37" i="6"/>
  <c r="I37" i="6" s="1"/>
  <c r="E134" i="16"/>
  <c r="D135" i="16" s="1"/>
  <c r="G134" i="16"/>
  <c r="I134" i="16" s="1"/>
  <c r="G39" i="4"/>
  <c r="I39" i="4" s="1"/>
  <c r="E39" i="4"/>
  <c r="D40" i="4" s="1"/>
  <c r="I29" i="8"/>
  <c r="K30" i="8"/>
  <c r="Q45" i="10"/>
  <c r="S45" i="10" s="1"/>
  <c r="O45" i="10"/>
  <c r="N46" i="10" s="1"/>
  <c r="E166" i="14"/>
  <c r="D167" i="14" s="1"/>
  <c r="G166" i="14"/>
  <c r="I166" i="14" s="1"/>
  <c r="E59" i="10"/>
  <c r="D60" i="10" s="1"/>
  <c r="E60" i="10" s="1"/>
  <c r="D61" i="10" s="1"/>
  <c r="E61" i="10" s="1"/>
  <c r="D62" i="10" s="1"/>
  <c r="E62" i="10" s="1"/>
  <c r="D63" i="10" s="1"/>
  <c r="E63" i="10" s="1"/>
  <c r="D64" i="10" s="1"/>
  <c r="E64" i="10" s="1"/>
  <c r="D65" i="10" s="1"/>
  <c r="E65" i="10" s="1"/>
  <c r="D66" i="10" s="1"/>
  <c r="E66" i="10" s="1"/>
  <c r="G31" i="8"/>
  <c r="E31" i="8"/>
  <c r="D32" i="8" s="1"/>
  <c r="E38" i="6" l="1"/>
  <c r="D39" i="6" s="1"/>
  <c r="G38" i="6"/>
  <c r="I38" i="6" s="1"/>
  <c r="I59" i="16"/>
  <c r="E60" i="16"/>
  <c r="H60" i="16"/>
  <c r="G60" i="16"/>
  <c r="E135" i="16"/>
  <c r="D136" i="16" s="1"/>
  <c r="G135" i="16"/>
  <c r="I135" i="16" s="1"/>
  <c r="E40" i="4"/>
  <c r="D41" i="4" s="1"/>
  <c r="G40" i="4"/>
  <c r="I40" i="4" s="1"/>
  <c r="I30" i="8"/>
  <c r="K31" i="8"/>
  <c r="Q46" i="10"/>
  <c r="S46" i="10" s="1"/>
  <c r="K47" i="10" s="1"/>
  <c r="O46" i="10"/>
  <c r="E167" i="14"/>
  <c r="D168" i="14" s="1"/>
  <c r="G167" i="14"/>
  <c r="I167" i="14" s="1"/>
  <c r="G99" i="14"/>
  <c r="I99" i="14" s="1"/>
  <c r="G98" i="14"/>
  <c r="I98" i="14" s="1"/>
  <c r="G32" i="8"/>
  <c r="E32" i="8"/>
  <c r="D33" i="8" s="1"/>
  <c r="I60" i="16" l="1"/>
  <c r="E39" i="6"/>
  <c r="D40" i="6" s="1"/>
  <c r="G39" i="6"/>
  <c r="I39" i="6" s="1"/>
  <c r="E136" i="16"/>
  <c r="D137" i="16" s="1"/>
  <c r="G136" i="16"/>
  <c r="I136" i="16" s="1"/>
  <c r="E41" i="4"/>
  <c r="D42" i="4" s="1"/>
  <c r="G41" i="4"/>
  <c r="I41" i="4" s="1"/>
  <c r="N47" i="10"/>
  <c r="I31" i="8"/>
  <c r="K32" i="8"/>
  <c r="E168" i="14"/>
  <c r="D169" i="14" s="1"/>
  <c r="G168" i="14"/>
  <c r="I168" i="14" s="1"/>
  <c r="G33" i="8"/>
  <c r="E33" i="8"/>
  <c r="D34" i="8" s="1"/>
  <c r="G40" i="6" l="1"/>
  <c r="I40" i="6" s="1"/>
  <c r="E40" i="6"/>
  <c r="D41" i="6" s="1"/>
  <c r="E137" i="16"/>
  <c r="D138" i="16" s="1"/>
  <c r="G137" i="16"/>
  <c r="I137" i="16" s="1"/>
  <c r="G42" i="4"/>
  <c r="I42" i="4" s="1"/>
  <c r="E42" i="4"/>
  <c r="D43" i="4" s="1"/>
  <c r="I32" i="8"/>
  <c r="K33" i="8"/>
  <c r="Q47" i="10"/>
  <c r="S47" i="10" s="1"/>
  <c r="O47" i="10"/>
  <c r="N48" i="10" s="1"/>
  <c r="E169" i="14"/>
  <c r="D170" i="14" s="1"/>
  <c r="G169" i="14"/>
  <c r="I169" i="14" s="1"/>
  <c r="G101" i="14"/>
  <c r="I101" i="14" s="1"/>
  <c r="G100" i="14"/>
  <c r="I100" i="14" s="1"/>
  <c r="G34" i="8"/>
  <c r="E34" i="8"/>
  <c r="D35" i="8" s="1"/>
  <c r="G41" i="6" l="1"/>
  <c r="I41" i="6" s="1"/>
  <c r="E41" i="6"/>
  <c r="D42" i="6" s="1"/>
  <c r="E138" i="16"/>
  <c r="D139" i="16" s="1"/>
  <c r="G138" i="16"/>
  <c r="I138" i="16" s="1"/>
  <c r="G43" i="4"/>
  <c r="I43" i="4" s="1"/>
  <c r="E43" i="4"/>
  <c r="D44" i="4" s="1"/>
  <c r="I33" i="8"/>
  <c r="K34" i="8"/>
  <c r="O48" i="10"/>
  <c r="N49" i="10" s="1"/>
  <c r="Q48" i="10"/>
  <c r="S48" i="10" s="1"/>
  <c r="E170" i="14"/>
  <c r="D171" i="14" s="1"/>
  <c r="G170" i="14"/>
  <c r="I170" i="14" s="1"/>
  <c r="G35" i="8"/>
  <c r="E35" i="8"/>
  <c r="D36" i="8" s="1"/>
  <c r="G42" i="6" l="1"/>
  <c r="I42" i="6" s="1"/>
  <c r="E42" i="6"/>
  <c r="D43" i="6" s="1"/>
  <c r="E139" i="16"/>
  <c r="D140" i="16" s="1"/>
  <c r="G139" i="16"/>
  <c r="I139" i="16" s="1"/>
  <c r="G44" i="4"/>
  <c r="I44" i="4" s="1"/>
  <c r="E44" i="4"/>
  <c r="D45" i="4" s="1"/>
  <c r="I34" i="8"/>
  <c r="K35" i="8"/>
  <c r="O49" i="10"/>
  <c r="N50" i="10" s="1"/>
  <c r="Q49" i="10"/>
  <c r="S49" i="10" s="1"/>
  <c r="E171" i="14"/>
  <c r="D172" i="14" s="1"/>
  <c r="G171" i="14"/>
  <c r="I171" i="14" s="1"/>
  <c r="G103" i="14"/>
  <c r="I103" i="14" s="1"/>
  <c r="G102" i="14"/>
  <c r="I102" i="14" s="1"/>
  <c r="G36" i="8"/>
  <c r="E36" i="8"/>
  <c r="D37" i="8" s="1"/>
  <c r="G43" i="6" l="1"/>
  <c r="I43" i="6" s="1"/>
  <c r="E43" i="6"/>
  <c r="D44" i="6" s="1"/>
  <c r="E140" i="16"/>
  <c r="G140" i="16"/>
  <c r="I140" i="16" s="1"/>
  <c r="E172" i="14"/>
  <c r="D173" i="14" s="1"/>
  <c r="G172" i="14"/>
  <c r="I172" i="14" s="1"/>
  <c r="G45" i="4"/>
  <c r="I45" i="4" s="1"/>
  <c r="E45" i="4"/>
  <c r="D46" i="4" s="1"/>
  <c r="K36" i="8"/>
  <c r="I35" i="8"/>
  <c r="Q50" i="10"/>
  <c r="S50" i="10" s="1"/>
  <c r="O50" i="10"/>
  <c r="N51" i="10" s="1"/>
  <c r="G37" i="8"/>
  <c r="E37" i="8"/>
  <c r="D38" i="8" s="1"/>
  <c r="G44" i="6" l="1"/>
  <c r="I44" i="6" s="1"/>
  <c r="E44" i="6"/>
  <c r="D45" i="6" s="1"/>
  <c r="G173" i="14"/>
  <c r="I173" i="14" s="1"/>
  <c r="E173" i="14"/>
  <c r="D174" i="14" s="1"/>
  <c r="E46" i="4"/>
  <c r="D47" i="4" s="1"/>
  <c r="G46" i="4"/>
  <c r="I46" i="4" s="1"/>
  <c r="K37" i="8"/>
  <c r="I36" i="8"/>
  <c r="Q51" i="10"/>
  <c r="S51" i="10" s="1"/>
  <c r="O51" i="10"/>
  <c r="N52" i="10" s="1"/>
  <c r="G104" i="14"/>
  <c r="I104" i="14" s="1"/>
  <c r="G38" i="8"/>
  <c r="E38" i="8"/>
  <c r="D39" i="8" s="1"/>
  <c r="G45" i="6" l="1"/>
  <c r="I45" i="6" s="1"/>
  <c r="E45" i="6"/>
  <c r="D46" i="6" s="1"/>
  <c r="G174" i="14"/>
  <c r="I174" i="14" s="1"/>
  <c r="E174" i="14"/>
  <c r="D175" i="14" s="1"/>
  <c r="E47" i="4"/>
  <c r="D48" i="4" s="1"/>
  <c r="G47" i="4"/>
  <c r="I47" i="4" s="1"/>
  <c r="K38" i="8"/>
  <c r="I37" i="8"/>
  <c r="O52" i="10"/>
  <c r="Q52" i="10"/>
  <c r="S52" i="10" s="1"/>
  <c r="K53" i="10" s="1"/>
  <c r="U42" i="10" s="1"/>
  <c r="D110" i="14"/>
  <c r="G39" i="8"/>
  <c r="E39" i="8"/>
  <c r="D40" i="8" s="1"/>
  <c r="G46" i="6" l="1"/>
  <c r="I46" i="6" s="1"/>
  <c r="E46" i="6"/>
  <c r="D47" i="6" s="1"/>
  <c r="E175" i="14"/>
  <c r="D177" i="14" s="1"/>
  <c r="G175" i="14"/>
  <c r="I175" i="14" s="1"/>
  <c r="U53" i="10"/>
  <c r="AA65" i="10"/>
  <c r="AC65" i="10" s="1"/>
  <c r="AA64" i="10"/>
  <c r="AC64" i="10" s="1"/>
  <c r="AA55" i="10"/>
  <c r="AC55" i="10" s="1"/>
  <c r="X43" i="10"/>
  <c r="Y43" i="10" s="1"/>
  <c r="X44" i="10" s="1"/>
  <c r="Y44" i="10" s="1"/>
  <c r="X45" i="10" s="1"/>
  <c r="Y45" i="10" s="1"/>
  <c r="X46" i="10" s="1"/>
  <c r="Y46" i="10" s="1"/>
  <c r="AA53" i="10"/>
  <c r="AC53" i="10" s="1"/>
  <c r="AA54" i="10"/>
  <c r="AC54" i="10" s="1"/>
  <c r="U47" i="10"/>
  <c r="X47" i="10" s="1"/>
  <c r="Y47" i="10" s="1"/>
  <c r="X48" i="10" s="1"/>
  <c r="Y48" i="10" s="1"/>
  <c r="X49" i="10" s="1"/>
  <c r="Y49" i="10" s="1"/>
  <c r="X50" i="10" s="1"/>
  <c r="Y50" i="10" s="1"/>
  <c r="X51" i="10" s="1"/>
  <c r="Y51" i="10" s="1"/>
  <c r="X52" i="10" s="1"/>
  <c r="Y52" i="10" s="1"/>
  <c r="AA63" i="10"/>
  <c r="AC63" i="10" s="1"/>
  <c r="AA47" i="10"/>
  <c r="AC47" i="10" s="1"/>
  <c r="AA56" i="10"/>
  <c r="AC56" i="10" s="1"/>
  <c r="AA66" i="10"/>
  <c r="AC66" i="10" s="1"/>
  <c r="AA43" i="10"/>
  <c r="AC43" i="10" s="1"/>
  <c r="AA57" i="10"/>
  <c r="AC57" i="10" s="1"/>
  <c r="AA44" i="10"/>
  <c r="AC44" i="10" s="1"/>
  <c r="AE42" i="10"/>
  <c r="AA61" i="10"/>
  <c r="AC61" i="10" s="1"/>
  <c r="AA59" i="10"/>
  <c r="AC59" i="10" s="1"/>
  <c r="AA60" i="10"/>
  <c r="AC60" i="10" s="1"/>
  <c r="AA62" i="10"/>
  <c r="AC62" i="10" s="1"/>
  <c r="AA48" i="10"/>
  <c r="AC48" i="10" s="1"/>
  <c r="AA58" i="10"/>
  <c r="AC58" i="10" s="1"/>
  <c r="AA49" i="10"/>
  <c r="AC49" i="10" s="1"/>
  <c r="AA45" i="10"/>
  <c r="AC45" i="10" s="1"/>
  <c r="AA50" i="10"/>
  <c r="AC50" i="10" s="1"/>
  <c r="AA46" i="10"/>
  <c r="AC46" i="10" s="1"/>
  <c r="AA51" i="10"/>
  <c r="AC51" i="10" s="1"/>
  <c r="AA52" i="10"/>
  <c r="AC52" i="10" s="1"/>
  <c r="E48" i="4"/>
  <c r="D49" i="4" s="1"/>
  <c r="G48" i="4"/>
  <c r="I48" i="4" s="1"/>
  <c r="N53" i="10"/>
  <c r="K39" i="8"/>
  <c r="I38" i="8"/>
  <c r="G40" i="8"/>
  <c r="E40" i="8"/>
  <c r="D41" i="8" s="1"/>
  <c r="G47" i="6" l="1"/>
  <c r="I47" i="6" s="1"/>
  <c r="E47" i="6"/>
  <c r="D48" i="6" s="1"/>
  <c r="G177" i="14"/>
  <c r="I177" i="14" s="1"/>
  <c r="E177" i="14"/>
  <c r="D178" i="14" s="1"/>
  <c r="AE47" i="10"/>
  <c r="AH47" i="10" s="1"/>
  <c r="AI47" i="10" s="1"/>
  <c r="AH48" i="10" s="1"/>
  <c r="AI48" i="10" s="1"/>
  <c r="AH49" i="10" s="1"/>
  <c r="AI49" i="10" s="1"/>
  <c r="AH50" i="10" s="1"/>
  <c r="AI50" i="10" s="1"/>
  <c r="AH51" i="10" s="1"/>
  <c r="AI51" i="10" s="1"/>
  <c r="AH52" i="10" s="1"/>
  <c r="AI52" i="10" s="1"/>
  <c r="AH43" i="10"/>
  <c r="AI43" i="10" s="1"/>
  <c r="AH44" i="10" s="1"/>
  <c r="AI44" i="10" s="1"/>
  <c r="AH45" i="10" s="1"/>
  <c r="AI45" i="10" s="1"/>
  <c r="AH46" i="10" s="1"/>
  <c r="AI46" i="10" s="1"/>
  <c r="AK47" i="10"/>
  <c r="AM47" i="10" s="1"/>
  <c r="AK48" i="10"/>
  <c r="AM48" i="10" s="1"/>
  <c r="AK44" i="10"/>
  <c r="AM44" i="10" s="1"/>
  <c r="AK49" i="10"/>
  <c r="AM49" i="10" s="1"/>
  <c r="AE53" i="10"/>
  <c r="AK52" i="10"/>
  <c r="AM52" i="10" s="1"/>
  <c r="AK51" i="10"/>
  <c r="AM51" i="10" s="1"/>
  <c r="AK43" i="10"/>
  <c r="AM43" i="10" s="1"/>
  <c r="AK46" i="10"/>
  <c r="AM46" i="10" s="1"/>
  <c r="AK50" i="10"/>
  <c r="AM50" i="10" s="1"/>
  <c r="AK45" i="10"/>
  <c r="AM45" i="10" s="1"/>
  <c r="AK53" i="10"/>
  <c r="AM53" i="10" s="1"/>
  <c r="AK54" i="10"/>
  <c r="AM54" i="10" s="1"/>
  <c r="AK55" i="10"/>
  <c r="AM55" i="10" s="1"/>
  <c r="AK56" i="10"/>
  <c r="AM56" i="10" s="1"/>
  <c r="AK66" i="10"/>
  <c r="AM66" i="10" s="1"/>
  <c r="AK64" i="10"/>
  <c r="AM64" i="10" s="1"/>
  <c r="AK60" i="10"/>
  <c r="AM60" i="10" s="1"/>
  <c r="AK63" i="10"/>
  <c r="AM63" i="10" s="1"/>
  <c r="AK59" i="10"/>
  <c r="AM59" i="10" s="1"/>
  <c r="AK61" i="10"/>
  <c r="AM61" i="10" s="1"/>
  <c r="AK62" i="10"/>
  <c r="AM62" i="10" s="1"/>
  <c r="AK65" i="10"/>
  <c r="AM65" i="10" s="1"/>
  <c r="AK57" i="10"/>
  <c r="AM57" i="10" s="1"/>
  <c r="AK58" i="10"/>
  <c r="AM58" i="10" s="1"/>
  <c r="X53" i="10"/>
  <c r="Y53" i="10" s="1"/>
  <c r="X54" i="10" s="1"/>
  <c r="Y54" i="10" s="1"/>
  <c r="X55" i="10" s="1"/>
  <c r="Y55" i="10" s="1"/>
  <c r="X56" i="10" s="1"/>
  <c r="Y56" i="10" s="1"/>
  <c r="X57" i="10" s="1"/>
  <c r="Y57" i="10" s="1"/>
  <c r="X58" i="10" s="1"/>
  <c r="Y58" i="10" s="1"/>
  <c r="X59" i="10" s="1"/>
  <c r="Y59" i="10" s="1"/>
  <c r="X60" i="10" s="1"/>
  <c r="Y60" i="10" s="1"/>
  <c r="X61" i="10" s="1"/>
  <c r="Y61" i="10" s="1"/>
  <c r="X62" i="10" s="1"/>
  <c r="Y62" i="10" s="1"/>
  <c r="X63" i="10" s="1"/>
  <c r="Y63" i="10" s="1"/>
  <c r="X64" i="10" s="1"/>
  <c r="Y64" i="10" s="1"/>
  <c r="X65" i="10" s="1"/>
  <c r="Y65" i="10" s="1"/>
  <c r="X66" i="10" s="1"/>
  <c r="Y66" i="10" s="1"/>
  <c r="E49" i="4"/>
  <c r="D50" i="4" s="1"/>
  <c r="G49" i="4"/>
  <c r="I49" i="4" s="1"/>
  <c r="K40" i="8"/>
  <c r="I39" i="8"/>
  <c r="Q53" i="10"/>
  <c r="S53" i="10" s="1"/>
  <c r="O53" i="10"/>
  <c r="N54" i="10" s="1"/>
  <c r="G41" i="8"/>
  <c r="E41" i="8"/>
  <c r="D42" i="8" s="1"/>
  <c r="AO42" i="10" l="1"/>
  <c r="AR43" i="10" s="1"/>
  <c r="AS43" i="10" s="1"/>
  <c r="AR44" i="10" s="1"/>
  <c r="AS44" i="10" s="1"/>
  <c r="AR45" i="10" s="1"/>
  <c r="AS45" i="10" s="1"/>
  <c r="AR46" i="10" s="1"/>
  <c r="AS46" i="10" s="1"/>
  <c r="G48" i="6"/>
  <c r="I48" i="6" s="1"/>
  <c r="E48" i="6"/>
  <c r="D49" i="6" s="1"/>
  <c r="G178" i="14"/>
  <c r="I178" i="14" s="1"/>
  <c r="E178" i="14"/>
  <c r="D179" i="14" s="1"/>
  <c r="AH53" i="10"/>
  <c r="AI53" i="10" s="1"/>
  <c r="AH54" i="10" s="1"/>
  <c r="AI54" i="10" s="1"/>
  <c r="AH55" i="10" s="1"/>
  <c r="AI55" i="10" s="1"/>
  <c r="AH56" i="10" s="1"/>
  <c r="AI56" i="10" s="1"/>
  <c r="AH57" i="10" s="1"/>
  <c r="AI57" i="10" s="1"/>
  <c r="AH58" i="10" s="1"/>
  <c r="AI58" i="10" s="1"/>
  <c r="AH59" i="10" s="1"/>
  <c r="AI59" i="10" s="1"/>
  <c r="AH60" i="10" s="1"/>
  <c r="AI60" i="10" s="1"/>
  <c r="AH61" i="10" s="1"/>
  <c r="AI61" i="10" s="1"/>
  <c r="AH62" i="10" s="1"/>
  <c r="AI62" i="10" s="1"/>
  <c r="AH63" i="10" s="1"/>
  <c r="AI63" i="10" s="1"/>
  <c r="AH64" i="10" s="1"/>
  <c r="AI64" i="10" s="1"/>
  <c r="AH65" i="10" s="1"/>
  <c r="AI65" i="10" s="1"/>
  <c r="AH66" i="10" s="1"/>
  <c r="AI66" i="10" s="1"/>
  <c r="AU43" i="10"/>
  <c r="AW43" i="10" s="1"/>
  <c r="AU44" i="10"/>
  <c r="AW44" i="10" s="1"/>
  <c r="AU45" i="10"/>
  <c r="AW45" i="10" s="1"/>
  <c r="AU47" i="10"/>
  <c r="AW47" i="10" s="1"/>
  <c r="AU48" i="10"/>
  <c r="AW48" i="10" s="1"/>
  <c r="AU49" i="10"/>
  <c r="AW49" i="10" s="1"/>
  <c r="AU51" i="10"/>
  <c r="AW51" i="10" s="1"/>
  <c r="AU52" i="10"/>
  <c r="AW52" i="10" s="1"/>
  <c r="AO53" i="10" s="1"/>
  <c r="AU53" i="10"/>
  <c r="AW53" i="10" s="1"/>
  <c r="AU54" i="10"/>
  <c r="AW54" i="10" s="1"/>
  <c r="AU55" i="10"/>
  <c r="AW55" i="10" s="1"/>
  <c r="AU56" i="10"/>
  <c r="AW56" i="10" s="1"/>
  <c r="AU64" i="10"/>
  <c r="AW64" i="10" s="1"/>
  <c r="AU63" i="10"/>
  <c r="AW63" i="10" s="1"/>
  <c r="AU62" i="10"/>
  <c r="AW62" i="10" s="1"/>
  <c r="AU60" i="10"/>
  <c r="AW60" i="10" s="1"/>
  <c r="AU66" i="10"/>
  <c r="AW66" i="10" s="1"/>
  <c r="AU61" i="10"/>
  <c r="AW61" i="10" s="1"/>
  <c r="AU65" i="10"/>
  <c r="AW65" i="10" s="1"/>
  <c r="AU57" i="10"/>
  <c r="AW57" i="10" s="1"/>
  <c r="AU58" i="10"/>
  <c r="AW58" i="10" s="1"/>
  <c r="AU59" i="10"/>
  <c r="AW59" i="10" s="1"/>
  <c r="E50" i="4"/>
  <c r="D51" i="4" s="1"/>
  <c r="G50" i="4"/>
  <c r="I50" i="4" s="1"/>
  <c r="K41" i="8"/>
  <c r="I40" i="8"/>
  <c r="O54" i="10"/>
  <c r="N55" i="10" s="1"/>
  <c r="Q54" i="10"/>
  <c r="S54" i="10" s="1"/>
  <c r="E110" i="14"/>
  <c r="D111" i="14" s="1"/>
  <c r="G110" i="14"/>
  <c r="I110" i="14" s="1"/>
  <c r="G42" i="8"/>
  <c r="E42" i="8"/>
  <c r="D43" i="8" s="1"/>
  <c r="AU50" i="10" l="1"/>
  <c r="AW50" i="10" s="1"/>
  <c r="AU46" i="10"/>
  <c r="AW46" i="10" s="1"/>
  <c r="AO47" i="10" s="1"/>
  <c r="AR47" i="10" s="1"/>
  <c r="AS47" i="10" s="1"/>
  <c r="AR48" i="10" s="1"/>
  <c r="AS48" i="10" s="1"/>
  <c r="AR49" i="10" s="1"/>
  <c r="AS49" i="10" s="1"/>
  <c r="AR50" i="10" s="1"/>
  <c r="AS50" i="10" s="1"/>
  <c r="AR51" i="10" s="1"/>
  <c r="AS51" i="10" s="1"/>
  <c r="AR52" i="10" s="1"/>
  <c r="AS52" i="10" s="1"/>
  <c r="G49" i="6"/>
  <c r="I49" i="6" s="1"/>
  <c r="E49" i="6"/>
  <c r="D50" i="6" s="1"/>
  <c r="G179" i="14"/>
  <c r="I179" i="14" s="1"/>
  <c r="E179" i="14"/>
  <c r="D180" i="14" s="1"/>
  <c r="AY42" i="10"/>
  <c r="BE50" i="10" s="1"/>
  <c r="BG50" i="10" s="1"/>
  <c r="AY53" i="10"/>
  <c r="BE49" i="10"/>
  <c r="BG49" i="10" s="1"/>
  <c r="BE52" i="10"/>
  <c r="BG52" i="10" s="1"/>
  <c r="BE51" i="10"/>
  <c r="BG51" i="10" s="1"/>
  <c r="BE44" i="10"/>
  <c r="BG44" i="10" s="1"/>
  <c r="BE46" i="10"/>
  <c r="BG46" i="10" s="1"/>
  <c r="BE43" i="10"/>
  <c r="BG43" i="10" s="1"/>
  <c r="BE54" i="10"/>
  <c r="BG54" i="10" s="1"/>
  <c r="BE56" i="10"/>
  <c r="BG56" i="10" s="1"/>
  <c r="BE64" i="10"/>
  <c r="BG64" i="10" s="1"/>
  <c r="BE65" i="10"/>
  <c r="BG65" i="10" s="1"/>
  <c r="BE63" i="10"/>
  <c r="BG63" i="10" s="1"/>
  <c r="BE57" i="10"/>
  <c r="BG57" i="10" s="1"/>
  <c r="BE59" i="10"/>
  <c r="BG59" i="10" s="1"/>
  <c r="E51" i="4"/>
  <c r="D52" i="4" s="1"/>
  <c r="G51" i="4"/>
  <c r="I51" i="4" s="1"/>
  <c r="K42" i="8"/>
  <c r="I41" i="8"/>
  <c r="O55" i="10"/>
  <c r="N56" i="10" s="1"/>
  <c r="Q55" i="10"/>
  <c r="S55" i="10" s="1"/>
  <c r="E111" i="14"/>
  <c r="D113" i="14" s="1"/>
  <c r="H111" i="14"/>
  <c r="G111" i="14"/>
  <c r="G43" i="8"/>
  <c r="E43" i="8"/>
  <c r="D44" i="8" s="1"/>
  <c r="BE66" i="10" l="1"/>
  <c r="BG66" i="10" s="1"/>
  <c r="BE60" i="10"/>
  <c r="BG60" i="10" s="1"/>
  <c r="BE55" i="10"/>
  <c r="BG55" i="10" s="1"/>
  <c r="BE47" i="10"/>
  <c r="BG47" i="10" s="1"/>
  <c r="BE45" i="10"/>
  <c r="BG45" i="10" s="1"/>
  <c r="AY47" i="10"/>
  <c r="BB47" i="10" s="1"/>
  <c r="BC47" i="10" s="1"/>
  <c r="BB48" i="10" s="1"/>
  <c r="BC48" i="10" s="1"/>
  <c r="BB49" i="10" s="1"/>
  <c r="BC49" i="10" s="1"/>
  <c r="BB50" i="10" s="1"/>
  <c r="BC50" i="10" s="1"/>
  <c r="BB51" i="10" s="1"/>
  <c r="BC51" i="10" s="1"/>
  <c r="BB52" i="10" s="1"/>
  <c r="BC52" i="10" s="1"/>
  <c r="AR53" i="10"/>
  <c r="AS53" i="10" s="1"/>
  <c r="AR54" i="10" s="1"/>
  <c r="AS54" i="10" s="1"/>
  <c r="AR55" i="10" s="1"/>
  <c r="AS55" i="10" s="1"/>
  <c r="AR56" i="10" s="1"/>
  <c r="AS56" i="10" s="1"/>
  <c r="AR57" i="10" s="1"/>
  <c r="AS57" i="10" s="1"/>
  <c r="AR58" i="10" s="1"/>
  <c r="AS58" i="10" s="1"/>
  <c r="AR59" i="10" s="1"/>
  <c r="AS59" i="10" s="1"/>
  <c r="AR60" i="10" s="1"/>
  <c r="AS60" i="10" s="1"/>
  <c r="AR61" i="10" s="1"/>
  <c r="AS61" i="10" s="1"/>
  <c r="AR62" i="10" s="1"/>
  <c r="AS62" i="10" s="1"/>
  <c r="AR63" i="10" s="1"/>
  <c r="AS63" i="10" s="1"/>
  <c r="AR64" i="10" s="1"/>
  <c r="AS64" i="10" s="1"/>
  <c r="AR65" i="10" s="1"/>
  <c r="AS65" i="10" s="1"/>
  <c r="AR66" i="10" s="1"/>
  <c r="AS66" i="10" s="1"/>
  <c r="G50" i="6"/>
  <c r="I50" i="6" s="1"/>
  <c r="E50" i="6"/>
  <c r="D51" i="6" s="1"/>
  <c r="BE58" i="10"/>
  <c r="BG58" i="10" s="1"/>
  <c r="BE62" i="10"/>
  <c r="BG62" i="10" s="1"/>
  <c r="BE61" i="10"/>
  <c r="BG61" i="10" s="1"/>
  <c r="BE53" i="10"/>
  <c r="BG53" i="10" s="1"/>
  <c r="BE48" i="10"/>
  <c r="BG48" i="10" s="1"/>
  <c r="BB43" i="10"/>
  <c r="BC43" i="10" s="1"/>
  <c r="BB44" i="10" s="1"/>
  <c r="BC44" i="10" s="1"/>
  <c r="BB45" i="10" s="1"/>
  <c r="BC45" i="10" s="1"/>
  <c r="BB46" i="10" s="1"/>
  <c r="BC46" i="10" s="1"/>
  <c r="E180" i="14"/>
  <c r="H180" i="14"/>
  <c r="G180" i="14"/>
  <c r="I180" i="14" s="1"/>
  <c r="I111" i="14"/>
  <c r="BI42" i="10"/>
  <c r="BB53" i="10"/>
  <c r="BC53" i="10" s="1"/>
  <c r="BB54" i="10" s="1"/>
  <c r="BC54" i="10" s="1"/>
  <c r="BB55" i="10" s="1"/>
  <c r="BC55" i="10" s="1"/>
  <c r="BB56" i="10" s="1"/>
  <c r="BC56" i="10" s="1"/>
  <c r="BB57" i="10" s="1"/>
  <c r="BC57" i="10" s="1"/>
  <c r="BB58" i="10" s="1"/>
  <c r="BC58" i="10" s="1"/>
  <c r="BB59" i="10" s="1"/>
  <c r="BC59" i="10" s="1"/>
  <c r="BB60" i="10" s="1"/>
  <c r="BC60" i="10" s="1"/>
  <c r="BB61" i="10" s="1"/>
  <c r="BC61" i="10" s="1"/>
  <c r="BB62" i="10" s="1"/>
  <c r="BC62" i="10" s="1"/>
  <c r="BB63" i="10" s="1"/>
  <c r="BC63" i="10" s="1"/>
  <c r="BB64" i="10" s="1"/>
  <c r="BC64" i="10" s="1"/>
  <c r="BB65" i="10" s="1"/>
  <c r="BC65" i="10" s="1"/>
  <c r="BB66" i="10" s="1"/>
  <c r="BC66" i="10" s="1"/>
  <c r="E52" i="4"/>
  <c r="D53" i="4" s="1"/>
  <c r="G52" i="4"/>
  <c r="I52" i="4" s="1"/>
  <c r="K43" i="8"/>
  <c r="I42" i="8"/>
  <c r="O56" i="10"/>
  <c r="Q56" i="10"/>
  <c r="S56" i="10" s="1"/>
  <c r="E113" i="14"/>
  <c r="D114" i="14" s="1"/>
  <c r="G113" i="14"/>
  <c r="I113" i="14" s="1"/>
  <c r="G44" i="8"/>
  <c r="E44" i="8"/>
  <c r="D45" i="8" s="1"/>
  <c r="G51" i="6" l="1"/>
  <c r="I51" i="6" s="1"/>
  <c r="E51" i="6"/>
  <c r="D52" i="6" s="1"/>
  <c r="BO50" i="10"/>
  <c r="BQ50" i="10" s="1"/>
  <c r="BI47" i="10"/>
  <c r="BL47" i="10" s="1"/>
  <c r="BM47" i="10" s="1"/>
  <c r="BL48" i="10" s="1"/>
  <c r="BM48" i="10" s="1"/>
  <c r="BL49" i="10" s="1"/>
  <c r="BM49" i="10" s="1"/>
  <c r="BL50" i="10" s="1"/>
  <c r="BM50" i="10" s="1"/>
  <c r="BL51" i="10" s="1"/>
  <c r="BM51" i="10" s="1"/>
  <c r="BL52" i="10" s="1"/>
  <c r="BM52" i="10" s="1"/>
  <c r="BI53" i="10"/>
  <c r="BO51" i="10"/>
  <c r="BQ51" i="10" s="1"/>
  <c r="BL43" i="10"/>
  <c r="BM43" i="10" s="1"/>
  <c r="BL44" i="10" s="1"/>
  <c r="BM44" i="10" s="1"/>
  <c r="BL45" i="10" s="1"/>
  <c r="BM45" i="10" s="1"/>
  <c r="BL46" i="10" s="1"/>
  <c r="BM46" i="10" s="1"/>
  <c r="BO48" i="10"/>
  <c r="BQ48" i="10" s="1"/>
  <c r="BO44" i="10"/>
  <c r="BQ44" i="10" s="1"/>
  <c r="BO43" i="10"/>
  <c r="BQ43" i="10" s="1"/>
  <c r="BO46" i="10"/>
  <c r="BQ46" i="10" s="1"/>
  <c r="BO49" i="10"/>
  <c r="BQ49" i="10" s="1"/>
  <c r="BO47" i="10"/>
  <c r="BQ47" i="10" s="1"/>
  <c r="BO45" i="10"/>
  <c r="BQ45" i="10" s="1"/>
  <c r="BO52" i="10"/>
  <c r="BQ52" i="10" s="1"/>
  <c r="BO53" i="10"/>
  <c r="BQ53" i="10" s="1"/>
  <c r="BO54" i="10"/>
  <c r="BQ54" i="10" s="1"/>
  <c r="BO55" i="10"/>
  <c r="BQ55" i="10" s="1"/>
  <c r="BO56" i="10"/>
  <c r="BQ56" i="10" s="1"/>
  <c r="BO60" i="10"/>
  <c r="BQ60" i="10" s="1"/>
  <c r="BO62" i="10"/>
  <c r="BQ62" i="10" s="1"/>
  <c r="BO63" i="10"/>
  <c r="BQ63" i="10" s="1"/>
  <c r="BO61" i="10"/>
  <c r="BQ61" i="10" s="1"/>
  <c r="BO65" i="10"/>
  <c r="BQ65" i="10" s="1"/>
  <c r="BO64" i="10"/>
  <c r="BQ64" i="10" s="1"/>
  <c r="BO66" i="10"/>
  <c r="BQ66" i="10" s="1"/>
  <c r="BO57" i="10"/>
  <c r="BQ57" i="10" s="1"/>
  <c r="BO58" i="10"/>
  <c r="BQ58" i="10" s="1"/>
  <c r="BO59" i="10"/>
  <c r="BQ59" i="10" s="1"/>
  <c r="E53" i="4"/>
  <c r="D54" i="4" s="1"/>
  <c r="G53" i="4"/>
  <c r="I53" i="4" s="1"/>
  <c r="K44" i="8"/>
  <c r="I43" i="8"/>
  <c r="N57" i="10"/>
  <c r="Q57" i="10" s="1"/>
  <c r="S57" i="10" s="1"/>
  <c r="E114" i="14"/>
  <c r="D115" i="14" s="1"/>
  <c r="G114" i="14"/>
  <c r="I114" i="14" s="1"/>
  <c r="G45" i="8"/>
  <c r="E45" i="8"/>
  <c r="D46" i="8" s="1"/>
  <c r="G52" i="6" l="1"/>
  <c r="I52" i="6" s="1"/>
  <c r="E52" i="6"/>
  <c r="D53" i="6" s="1"/>
  <c r="BS42" i="10"/>
  <c r="BY44" i="10" s="1"/>
  <c r="CA44" i="10" s="1"/>
  <c r="BL53" i="10"/>
  <c r="BM53" i="10" s="1"/>
  <c r="BL54" i="10" s="1"/>
  <c r="BM54" i="10" s="1"/>
  <c r="BL55" i="10" s="1"/>
  <c r="BM55" i="10" s="1"/>
  <c r="BL56" i="10" s="1"/>
  <c r="BM56" i="10" s="1"/>
  <c r="BL57" i="10" s="1"/>
  <c r="BM57" i="10" s="1"/>
  <c r="BL58" i="10" s="1"/>
  <c r="BM58" i="10" s="1"/>
  <c r="BL59" i="10" s="1"/>
  <c r="BM59" i="10" s="1"/>
  <c r="BL60" i="10" s="1"/>
  <c r="BM60" i="10" s="1"/>
  <c r="BL61" i="10" s="1"/>
  <c r="BM61" i="10" s="1"/>
  <c r="BL62" i="10" s="1"/>
  <c r="BM62" i="10" s="1"/>
  <c r="BL63" i="10" s="1"/>
  <c r="BM63" i="10" s="1"/>
  <c r="BL64" i="10" s="1"/>
  <c r="BM64" i="10" s="1"/>
  <c r="BL65" i="10" s="1"/>
  <c r="BM65" i="10" s="1"/>
  <c r="BL66" i="10" s="1"/>
  <c r="BM66" i="10" s="1"/>
  <c r="G54" i="4"/>
  <c r="I54" i="4" s="1"/>
  <c r="E54" i="4"/>
  <c r="D55" i="4" s="1"/>
  <c r="K45" i="8"/>
  <c r="I44" i="8"/>
  <c r="O57" i="10"/>
  <c r="N58" i="10" s="1"/>
  <c r="Q58" i="10" s="1"/>
  <c r="S58" i="10" s="1"/>
  <c r="E115" i="14"/>
  <c r="D116" i="14" s="1"/>
  <c r="G115" i="14"/>
  <c r="I115" i="14" s="1"/>
  <c r="G46" i="8"/>
  <c r="E46" i="8"/>
  <c r="D47" i="8" s="1"/>
  <c r="BY63" i="10" l="1"/>
  <c r="CA63" i="10" s="1"/>
  <c r="G53" i="6"/>
  <c r="I53" i="6" s="1"/>
  <c r="E53" i="6"/>
  <c r="D54" i="6" s="1"/>
  <c r="BY54" i="10"/>
  <c r="CA54" i="10" s="1"/>
  <c r="BY53" i="10"/>
  <c r="CA53" i="10" s="1"/>
  <c r="BV43" i="10"/>
  <c r="BW43" i="10" s="1"/>
  <c r="BV44" i="10" s="1"/>
  <c r="BW44" i="10" s="1"/>
  <c r="BV45" i="10" s="1"/>
  <c r="BW45" i="10" s="1"/>
  <c r="BV46" i="10" s="1"/>
  <c r="BW46" i="10" s="1"/>
  <c r="BY55" i="10"/>
  <c r="CA55" i="10" s="1"/>
  <c r="BY46" i="10"/>
  <c r="CA46" i="10" s="1"/>
  <c r="BY59" i="10"/>
  <c r="CA59" i="10" s="1"/>
  <c r="BY49" i="10"/>
  <c r="CA49" i="10" s="1"/>
  <c r="BY65" i="10"/>
  <c r="CA65" i="10" s="1"/>
  <c r="BY43" i="10"/>
  <c r="CA43" i="10" s="1"/>
  <c r="BY62" i="10"/>
  <c r="CA62" i="10" s="1"/>
  <c r="BY47" i="10"/>
  <c r="CA47" i="10" s="1"/>
  <c r="BY48" i="10"/>
  <c r="CA48" i="10" s="1"/>
  <c r="BY60" i="10"/>
  <c r="CA60" i="10" s="1"/>
  <c r="BY50" i="10"/>
  <c r="CA50" i="10" s="1"/>
  <c r="BY58" i="10"/>
  <c r="CA58" i="10" s="1"/>
  <c r="BY61" i="10"/>
  <c r="CA61" i="10" s="1"/>
  <c r="BY52" i="10"/>
  <c r="CA52" i="10" s="1"/>
  <c r="BS53" i="10"/>
  <c r="BY57" i="10"/>
  <c r="CA57" i="10" s="1"/>
  <c r="BY64" i="10"/>
  <c r="CA64" i="10" s="1"/>
  <c r="BS47" i="10"/>
  <c r="BV47" i="10" s="1"/>
  <c r="BW47" i="10" s="1"/>
  <c r="BV48" i="10" s="1"/>
  <c r="BW48" i="10" s="1"/>
  <c r="BV49" i="10" s="1"/>
  <c r="BW49" i="10" s="1"/>
  <c r="BV50" i="10" s="1"/>
  <c r="BW50" i="10" s="1"/>
  <c r="BV51" i="10" s="1"/>
  <c r="BW51" i="10" s="1"/>
  <c r="BV52" i="10" s="1"/>
  <c r="BW52" i="10" s="1"/>
  <c r="BY51" i="10"/>
  <c r="CA51" i="10" s="1"/>
  <c r="BY66" i="10"/>
  <c r="CA66" i="10" s="1"/>
  <c r="BY56" i="10"/>
  <c r="CA56" i="10" s="1"/>
  <c r="BY45" i="10"/>
  <c r="CA45" i="10" s="1"/>
  <c r="G55" i="4"/>
  <c r="I55" i="4" s="1"/>
  <c r="E55" i="4"/>
  <c r="D56" i="4" s="1"/>
  <c r="K46" i="8"/>
  <c r="I45" i="8"/>
  <c r="O58" i="10"/>
  <c r="N59" i="10" s="1"/>
  <c r="Q59" i="10" s="1"/>
  <c r="S59" i="10" s="1"/>
  <c r="E116" i="14"/>
  <c r="D117" i="14" s="1"/>
  <c r="G116" i="14"/>
  <c r="I116" i="14" s="1"/>
  <c r="G47" i="8"/>
  <c r="E47" i="8"/>
  <c r="D48" i="8" s="1"/>
  <c r="G54" i="6" l="1"/>
  <c r="I54" i="6" s="1"/>
  <c r="E54" i="6"/>
  <c r="D55" i="6" s="1"/>
  <c r="CC42" i="10"/>
  <c r="CI43" i="10" s="1"/>
  <c r="CK43" i="10" s="1"/>
  <c r="BV53" i="10"/>
  <c r="BW53" i="10" s="1"/>
  <c r="BV54" i="10" s="1"/>
  <c r="BW54" i="10" s="1"/>
  <c r="BV55" i="10" s="1"/>
  <c r="BW55" i="10" s="1"/>
  <c r="BV56" i="10" s="1"/>
  <c r="BW56" i="10" s="1"/>
  <c r="BV57" i="10" s="1"/>
  <c r="BW57" i="10" s="1"/>
  <c r="BV58" i="10" s="1"/>
  <c r="BW58" i="10" s="1"/>
  <c r="BV59" i="10" s="1"/>
  <c r="BW59" i="10" s="1"/>
  <c r="BV60" i="10" s="1"/>
  <c r="BW60" i="10" s="1"/>
  <c r="BV61" i="10" s="1"/>
  <c r="BW61" i="10" s="1"/>
  <c r="BV62" i="10" s="1"/>
  <c r="BW62" i="10" s="1"/>
  <c r="BV63" i="10" s="1"/>
  <c r="BW63" i="10" s="1"/>
  <c r="BV64" i="10" s="1"/>
  <c r="BW64" i="10" s="1"/>
  <c r="BV65" i="10" s="1"/>
  <c r="BW65" i="10" s="1"/>
  <c r="BV66" i="10" s="1"/>
  <c r="BW66" i="10" s="1"/>
  <c r="CF43" i="10"/>
  <c r="CG43" i="10" s="1"/>
  <c r="CF44" i="10" s="1"/>
  <c r="CG44" i="10" s="1"/>
  <c r="CF45" i="10" s="1"/>
  <c r="CG45" i="10" s="1"/>
  <c r="CF46" i="10" s="1"/>
  <c r="CG46" i="10" s="1"/>
  <c r="CI44" i="10"/>
  <c r="CK44" i="10" s="1"/>
  <c r="CI45" i="10"/>
  <c r="CK45" i="10" s="1"/>
  <c r="CI46" i="10"/>
  <c r="CK46" i="10" s="1"/>
  <c r="CC47" i="10" s="1"/>
  <c r="CF47" i="10" s="1"/>
  <c r="CG47" i="10" s="1"/>
  <c r="CF48" i="10" s="1"/>
  <c r="CG48" i="10" s="1"/>
  <c r="CF49" i="10" s="1"/>
  <c r="CG49" i="10" s="1"/>
  <c r="CF50" i="10" s="1"/>
  <c r="CG50" i="10" s="1"/>
  <c r="CF51" i="10" s="1"/>
  <c r="CG51" i="10" s="1"/>
  <c r="CF52" i="10" s="1"/>
  <c r="CG52" i="10" s="1"/>
  <c r="CI48" i="10"/>
  <c r="CK48" i="10" s="1"/>
  <c r="CI49" i="10"/>
  <c r="CK49" i="10" s="1"/>
  <c r="CI50" i="10"/>
  <c r="CK50" i="10" s="1"/>
  <c r="CI52" i="10"/>
  <c r="CK52" i="10" s="1"/>
  <c r="CC53" i="10" s="1"/>
  <c r="CI53" i="10"/>
  <c r="CK53" i="10" s="1"/>
  <c r="CI54" i="10"/>
  <c r="CK54" i="10" s="1"/>
  <c r="CI56" i="10"/>
  <c r="CK56" i="10" s="1"/>
  <c r="CI62" i="10"/>
  <c r="CK62" i="10" s="1"/>
  <c r="CI61" i="10"/>
  <c r="CK61" i="10" s="1"/>
  <c r="CI60" i="10"/>
  <c r="CK60" i="10" s="1"/>
  <c r="CI65" i="10"/>
  <c r="CK65" i="10" s="1"/>
  <c r="CI66" i="10"/>
  <c r="CK66" i="10" s="1"/>
  <c r="CI57" i="10"/>
  <c r="CK57" i="10" s="1"/>
  <c r="CI58" i="10"/>
  <c r="CK58" i="10" s="1"/>
  <c r="CI59" i="10"/>
  <c r="CK59" i="10" s="1"/>
  <c r="E56" i="4"/>
  <c r="D57" i="4" s="1"/>
  <c r="G56" i="4"/>
  <c r="I56" i="4" s="1"/>
  <c r="K47" i="8"/>
  <c r="I46" i="8"/>
  <c r="O59" i="10"/>
  <c r="N60" i="10" s="1"/>
  <c r="Q60" i="10" s="1"/>
  <c r="S60" i="10" s="1"/>
  <c r="E117" i="14"/>
  <c r="D118" i="14" s="1"/>
  <c r="G117" i="14"/>
  <c r="I117" i="14" s="1"/>
  <c r="G48" i="8"/>
  <c r="E48" i="8"/>
  <c r="D49" i="8" s="1"/>
  <c r="CI63" i="10" l="1"/>
  <c r="CK63" i="10" s="1"/>
  <c r="CI64" i="10"/>
  <c r="CK64" i="10" s="1"/>
  <c r="CI55" i="10"/>
  <c r="CK55" i="10" s="1"/>
  <c r="CI51" i="10"/>
  <c r="CK51" i="10" s="1"/>
  <c r="CI47" i="10"/>
  <c r="CK47" i="10" s="1"/>
  <c r="G55" i="6"/>
  <c r="I55" i="6" s="1"/>
  <c r="E55" i="6"/>
  <c r="D56" i="6" s="1"/>
  <c r="CM42" i="10"/>
  <c r="CS50" i="10" s="1"/>
  <c r="CU50" i="10" s="1"/>
  <c r="CF53" i="10"/>
  <c r="CG53" i="10" s="1"/>
  <c r="CF54" i="10" s="1"/>
  <c r="CG54" i="10" s="1"/>
  <c r="CF55" i="10" s="1"/>
  <c r="CG55" i="10" s="1"/>
  <c r="CF56" i="10" s="1"/>
  <c r="CG56" i="10" s="1"/>
  <c r="CF57" i="10" s="1"/>
  <c r="CG57" i="10" s="1"/>
  <c r="CF58" i="10" s="1"/>
  <c r="CG58" i="10" s="1"/>
  <c r="CF59" i="10" s="1"/>
  <c r="CG59" i="10" s="1"/>
  <c r="CF60" i="10" s="1"/>
  <c r="CG60" i="10" s="1"/>
  <c r="CF61" i="10" s="1"/>
  <c r="CG61" i="10" s="1"/>
  <c r="CF62" i="10" s="1"/>
  <c r="CG62" i="10" s="1"/>
  <c r="CF63" i="10" s="1"/>
  <c r="CG63" i="10" s="1"/>
  <c r="CF64" i="10" s="1"/>
  <c r="CG64" i="10" s="1"/>
  <c r="CF65" i="10" s="1"/>
  <c r="CG65" i="10" s="1"/>
  <c r="CF66" i="10" s="1"/>
  <c r="CG66" i="10" s="1"/>
  <c r="CP43" i="10"/>
  <c r="CQ43" i="10" s="1"/>
  <c r="CP44" i="10" s="1"/>
  <c r="CQ44" i="10" s="1"/>
  <c r="CP45" i="10" s="1"/>
  <c r="CQ45" i="10" s="1"/>
  <c r="CP46" i="10" s="1"/>
  <c r="CQ46" i="10" s="1"/>
  <c r="CS45" i="10"/>
  <c r="CU45" i="10" s="1"/>
  <c r="CM53" i="10"/>
  <c r="CS54" i="10"/>
  <c r="CU54" i="10" s="1"/>
  <c r="CS64" i="10"/>
  <c r="CU64" i="10" s="1"/>
  <c r="CS61" i="10"/>
  <c r="CU61" i="10" s="1"/>
  <c r="CS60" i="10"/>
  <c r="CU60" i="10" s="1"/>
  <c r="CS59" i="10"/>
  <c r="CU59" i="10" s="1"/>
  <c r="E57" i="4"/>
  <c r="D58" i="4" s="1"/>
  <c r="G57" i="4"/>
  <c r="I57" i="4" s="1"/>
  <c r="K48" i="8"/>
  <c r="I47" i="8"/>
  <c r="O60" i="10"/>
  <c r="N61" i="10" s="1"/>
  <c r="Q61" i="10" s="1"/>
  <c r="S61" i="10" s="1"/>
  <c r="E118" i="14"/>
  <c r="G118" i="14"/>
  <c r="I118" i="14" s="1"/>
  <c r="G49" i="8"/>
  <c r="E49" i="8"/>
  <c r="D50" i="8" s="1"/>
  <c r="CS58" i="10" l="1"/>
  <c r="CU58" i="10" s="1"/>
  <c r="CS66" i="10"/>
  <c r="CU66" i="10" s="1"/>
  <c r="CS65" i="10"/>
  <c r="CU65" i="10" s="1"/>
  <c r="CS53" i="10"/>
  <c r="CU53" i="10" s="1"/>
  <c r="CS49" i="10"/>
  <c r="CU49" i="10" s="1"/>
  <c r="CS46" i="10"/>
  <c r="CU46" i="10" s="1"/>
  <c r="CS51" i="10"/>
  <c r="CU51" i="10" s="1"/>
  <c r="G56" i="6"/>
  <c r="I56" i="6" s="1"/>
  <c r="E56" i="6"/>
  <c r="D57" i="6" s="1"/>
  <c r="CS57" i="10"/>
  <c r="CU57" i="10" s="1"/>
  <c r="CS63" i="10"/>
  <c r="CU63" i="10" s="1"/>
  <c r="CS56" i="10"/>
  <c r="CU56" i="10" s="1"/>
  <c r="CS48" i="10"/>
  <c r="CU48" i="10" s="1"/>
  <c r="CS52" i="10"/>
  <c r="CU52" i="10" s="1"/>
  <c r="CS43" i="10"/>
  <c r="CU43" i="10" s="1"/>
  <c r="CS47" i="10"/>
  <c r="CU47" i="10" s="1"/>
  <c r="CS62" i="10"/>
  <c r="CU62" i="10" s="1"/>
  <c r="CS55" i="10"/>
  <c r="CU55" i="10" s="1"/>
  <c r="CM47" i="10"/>
  <c r="CP47" i="10" s="1"/>
  <c r="CQ47" i="10" s="1"/>
  <c r="CP48" i="10" s="1"/>
  <c r="CQ48" i="10" s="1"/>
  <c r="CP49" i="10" s="1"/>
  <c r="CQ49" i="10" s="1"/>
  <c r="CP50" i="10" s="1"/>
  <c r="CQ50" i="10" s="1"/>
  <c r="CP51" i="10" s="1"/>
  <c r="CQ51" i="10" s="1"/>
  <c r="CP52" i="10" s="1"/>
  <c r="CQ52" i="10" s="1"/>
  <c r="CS44" i="10"/>
  <c r="CU44" i="10" s="1"/>
  <c r="CW42" i="10"/>
  <c r="E58" i="4"/>
  <c r="D59" i="4" s="1"/>
  <c r="G58" i="4"/>
  <c r="I58" i="4" s="1"/>
  <c r="K49" i="8"/>
  <c r="I48" i="8"/>
  <c r="O61" i="10"/>
  <c r="N62" i="10" s="1"/>
  <c r="Q62" i="10" s="1"/>
  <c r="S62" i="10" s="1"/>
  <c r="G50" i="8"/>
  <c r="E50" i="8"/>
  <c r="D51" i="8" s="1"/>
  <c r="CP53" i="10" l="1"/>
  <c r="CQ53" i="10" s="1"/>
  <c r="CP54" i="10" s="1"/>
  <c r="CQ54" i="10" s="1"/>
  <c r="CP55" i="10" s="1"/>
  <c r="CQ55" i="10" s="1"/>
  <c r="CP56" i="10" s="1"/>
  <c r="CQ56" i="10" s="1"/>
  <c r="CP57" i="10" s="1"/>
  <c r="CQ57" i="10" s="1"/>
  <c r="CP58" i="10" s="1"/>
  <c r="CQ58" i="10" s="1"/>
  <c r="CP59" i="10" s="1"/>
  <c r="CQ59" i="10" s="1"/>
  <c r="CP60" i="10" s="1"/>
  <c r="CQ60" i="10" s="1"/>
  <c r="CP61" i="10" s="1"/>
  <c r="CQ61" i="10" s="1"/>
  <c r="CP62" i="10" s="1"/>
  <c r="CQ62" i="10" s="1"/>
  <c r="CP63" i="10" s="1"/>
  <c r="CQ63" i="10" s="1"/>
  <c r="CP64" i="10" s="1"/>
  <c r="CQ64" i="10" s="1"/>
  <c r="CP65" i="10" s="1"/>
  <c r="CQ65" i="10" s="1"/>
  <c r="CP66" i="10" s="1"/>
  <c r="CQ66" i="10" s="1"/>
  <c r="G57" i="6"/>
  <c r="I57" i="6" s="1"/>
  <c r="E57" i="6"/>
  <c r="D58" i="6" s="1"/>
  <c r="DC51" i="10"/>
  <c r="DE51" i="10" s="1"/>
  <c r="CW53" i="10"/>
  <c r="CZ43" i="10"/>
  <c r="DA43" i="10" s="1"/>
  <c r="CZ44" i="10" s="1"/>
  <c r="DA44" i="10" s="1"/>
  <c r="CZ45" i="10" s="1"/>
  <c r="DA45" i="10" s="1"/>
  <c r="CZ46" i="10" s="1"/>
  <c r="DA46" i="10" s="1"/>
  <c r="DC49" i="10"/>
  <c r="DE49" i="10" s="1"/>
  <c r="DC43" i="10"/>
  <c r="DE43" i="10" s="1"/>
  <c r="CW47" i="10"/>
  <c r="CZ47" i="10" s="1"/>
  <c r="DA47" i="10" s="1"/>
  <c r="CZ48" i="10" s="1"/>
  <c r="DA48" i="10" s="1"/>
  <c r="CZ49" i="10" s="1"/>
  <c r="DA49" i="10" s="1"/>
  <c r="CZ50" i="10" s="1"/>
  <c r="DA50" i="10" s="1"/>
  <c r="CZ51" i="10" s="1"/>
  <c r="DA51" i="10" s="1"/>
  <c r="CZ52" i="10" s="1"/>
  <c r="DA52" i="10" s="1"/>
  <c r="DC47" i="10"/>
  <c r="DE47" i="10" s="1"/>
  <c r="DC45" i="10"/>
  <c r="DE45" i="10" s="1"/>
  <c r="DC52" i="10"/>
  <c r="DE52" i="10" s="1"/>
  <c r="DC50" i="10"/>
  <c r="DE50" i="10" s="1"/>
  <c r="DC48" i="10"/>
  <c r="DE48" i="10" s="1"/>
  <c r="DC46" i="10"/>
  <c r="DE46" i="10" s="1"/>
  <c r="DC44" i="10"/>
  <c r="DE44" i="10" s="1"/>
  <c r="DC53" i="10"/>
  <c r="DE53" i="10" s="1"/>
  <c r="DC54" i="10"/>
  <c r="DE54" i="10" s="1"/>
  <c r="DC55" i="10"/>
  <c r="DE55" i="10" s="1"/>
  <c r="DC56" i="10"/>
  <c r="DE56" i="10" s="1"/>
  <c r="DC64" i="10"/>
  <c r="DE64" i="10" s="1"/>
  <c r="DC61" i="10"/>
  <c r="DE61" i="10" s="1"/>
  <c r="DC60" i="10"/>
  <c r="DE60" i="10" s="1"/>
  <c r="DC62" i="10"/>
  <c r="DE62" i="10" s="1"/>
  <c r="DC65" i="10"/>
  <c r="DE65" i="10" s="1"/>
  <c r="DC66" i="10"/>
  <c r="DE66" i="10" s="1"/>
  <c r="DC63" i="10"/>
  <c r="DE63" i="10" s="1"/>
  <c r="DC57" i="10"/>
  <c r="DE57" i="10" s="1"/>
  <c r="DC58" i="10"/>
  <c r="DE58" i="10" s="1"/>
  <c r="DC59" i="10"/>
  <c r="DE59" i="10" s="1"/>
  <c r="G59" i="4"/>
  <c r="I59" i="4" s="1"/>
  <c r="E59" i="4"/>
  <c r="D60" i="4" s="1"/>
  <c r="K50" i="8"/>
  <c r="I49" i="8"/>
  <c r="O62" i="10"/>
  <c r="N63" i="10" s="1"/>
  <c r="Q63" i="10" s="1"/>
  <c r="S63" i="10" s="1"/>
  <c r="G51" i="8"/>
  <c r="E51" i="8"/>
  <c r="D52" i="8" s="1"/>
  <c r="G58" i="6" l="1"/>
  <c r="I58" i="6" s="1"/>
  <c r="E58" i="6"/>
  <c r="D59" i="6" s="1"/>
  <c r="DG42" i="10"/>
  <c r="DG53" i="10" s="1"/>
  <c r="CZ53" i="10"/>
  <c r="DA53" i="10" s="1"/>
  <c r="CZ54" i="10" s="1"/>
  <c r="DA54" i="10" s="1"/>
  <c r="CZ55" i="10" s="1"/>
  <c r="DA55" i="10" s="1"/>
  <c r="CZ56" i="10" s="1"/>
  <c r="DA56" i="10" s="1"/>
  <c r="CZ57" i="10" s="1"/>
  <c r="DA57" i="10" s="1"/>
  <c r="CZ58" i="10" s="1"/>
  <c r="DA58" i="10" s="1"/>
  <c r="CZ59" i="10" s="1"/>
  <c r="DA59" i="10" s="1"/>
  <c r="CZ60" i="10" s="1"/>
  <c r="DA60" i="10" s="1"/>
  <c r="CZ61" i="10" s="1"/>
  <c r="DA61" i="10" s="1"/>
  <c r="CZ62" i="10" s="1"/>
  <c r="DA62" i="10" s="1"/>
  <c r="CZ63" i="10" s="1"/>
  <c r="DA63" i="10" s="1"/>
  <c r="CZ64" i="10" s="1"/>
  <c r="DA64" i="10" s="1"/>
  <c r="CZ65" i="10" s="1"/>
  <c r="DA65" i="10" s="1"/>
  <c r="CZ66" i="10" s="1"/>
  <c r="DA66" i="10" s="1"/>
  <c r="DM45" i="10"/>
  <c r="DO45" i="10" s="1"/>
  <c r="DM44" i="10"/>
  <c r="DO44" i="10" s="1"/>
  <c r="DJ43" i="10"/>
  <c r="DK43" i="10" s="1"/>
  <c r="DJ44" i="10" s="1"/>
  <c r="DK44" i="10" s="1"/>
  <c r="DJ45" i="10" s="1"/>
  <c r="DK45" i="10" s="1"/>
  <c r="DJ46" i="10" s="1"/>
  <c r="DK46" i="10" s="1"/>
  <c r="DM51" i="10"/>
  <c r="DO51" i="10" s="1"/>
  <c r="DM50" i="10"/>
  <c r="DO50" i="10" s="1"/>
  <c r="DM49" i="10"/>
  <c r="DO49" i="10" s="1"/>
  <c r="DM47" i="10"/>
  <c r="DO47" i="10" s="1"/>
  <c r="DM55" i="10"/>
  <c r="DO55" i="10" s="1"/>
  <c r="DM56" i="10"/>
  <c r="DO56" i="10" s="1"/>
  <c r="DM63" i="10"/>
  <c r="DO63" i="10" s="1"/>
  <c r="DM66" i="10"/>
  <c r="DO66" i="10" s="1"/>
  <c r="DM59" i="10"/>
  <c r="DO59" i="10" s="1"/>
  <c r="DM62" i="10"/>
  <c r="DO62" i="10" s="1"/>
  <c r="DM61" i="10"/>
  <c r="DO61" i="10" s="1"/>
  <c r="DM64" i="10"/>
  <c r="DO64" i="10" s="1"/>
  <c r="DM58" i="10"/>
  <c r="DO58" i="10" s="1"/>
  <c r="G60" i="4"/>
  <c r="I60" i="4" s="1"/>
  <c r="E60" i="4"/>
  <c r="D61" i="4" s="1"/>
  <c r="K51" i="8"/>
  <c r="I50" i="8"/>
  <c r="O63" i="10"/>
  <c r="N64" i="10" s="1"/>
  <c r="Q64" i="10" s="1"/>
  <c r="S64" i="10" s="1"/>
  <c r="G52" i="8"/>
  <c r="E52" i="8"/>
  <c r="D53" i="8" s="1"/>
  <c r="DM54" i="10" l="1"/>
  <c r="DO54" i="10" s="1"/>
  <c r="DM52" i="10"/>
  <c r="DO52" i="10" s="1"/>
  <c r="DG47" i="10"/>
  <c r="DJ47" i="10" s="1"/>
  <c r="DK47" i="10" s="1"/>
  <c r="DJ48" i="10" s="1"/>
  <c r="DK48" i="10" s="1"/>
  <c r="DJ49" i="10" s="1"/>
  <c r="DK49" i="10" s="1"/>
  <c r="DJ50" i="10" s="1"/>
  <c r="DK50" i="10" s="1"/>
  <c r="DJ51" i="10" s="1"/>
  <c r="DK51" i="10" s="1"/>
  <c r="DJ52" i="10" s="1"/>
  <c r="DK52" i="10" s="1"/>
  <c r="DM43" i="10"/>
  <c r="DO43" i="10" s="1"/>
  <c r="DM57" i="10"/>
  <c r="DO57" i="10" s="1"/>
  <c r="DM60" i="10"/>
  <c r="DO60" i="10" s="1"/>
  <c r="DM65" i="10"/>
  <c r="DO65" i="10" s="1"/>
  <c r="DM53" i="10"/>
  <c r="DO53" i="10" s="1"/>
  <c r="DM48" i="10"/>
  <c r="DO48" i="10" s="1"/>
  <c r="DM46" i="10"/>
  <c r="DO46" i="10" s="1"/>
  <c r="G59" i="6"/>
  <c r="I59" i="6" s="1"/>
  <c r="E59" i="6"/>
  <c r="D60" i="6" s="1"/>
  <c r="DQ42" i="10"/>
  <c r="DW53" i="10" s="1"/>
  <c r="DY53" i="10" s="1"/>
  <c r="DJ53" i="10"/>
  <c r="DK53" i="10" s="1"/>
  <c r="DJ54" i="10" s="1"/>
  <c r="DK54" i="10" s="1"/>
  <c r="DJ55" i="10" s="1"/>
  <c r="DK55" i="10" s="1"/>
  <c r="DJ56" i="10" s="1"/>
  <c r="DK56" i="10" s="1"/>
  <c r="DJ57" i="10" s="1"/>
  <c r="DK57" i="10" s="1"/>
  <c r="DJ58" i="10" s="1"/>
  <c r="DK58" i="10" s="1"/>
  <c r="DJ59" i="10" s="1"/>
  <c r="DK59" i="10" s="1"/>
  <c r="DJ60" i="10" s="1"/>
  <c r="DK60" i="10" s="1"/>
  <c r="DJ61" i="10" s="1"/>
  <c r="DK61" i="10" s="1"/>
  <c r="DJ62" i="10" s="1"/>
  <c r="DK62" i="10" s="1"/>
  <c r="DJ63" i="10" s="1"/>
  <c r="DK63" i="10" s="1"/>
  <c r="DJ64" i="10" s="1"/>
  <c r="DK64" i="10" s="1"/>
  <c r="DJ65" i="10" s="1"/>
  <c r="DK65" i="10" s="1"/>
  <c r="DJ66" i="10" s="1"/>
  <c r="DK66" i="10" s="1"/>
  <c r="G61" i="4"/>
  <c r="I61" i="4" s="1"/>
  <c r="E61" i="4"/>
  <c r="K52" i="8"/>
  <c r="I51" i="8"/>
  <c r="O64" i="10"/>
  <c r="N65" i="10" s="1"/>
  <c r="Q65" i="10" s="1"/>
  <c r="S65" i="10" s="1"/>
  <c r="G53" i="8"/>
  <c r="E53" i="8"/>
  <c r="D54" i="8" s="1"/>
  <c r="G60" i="6" l="1"/>
  <c r="I60" i="6" s="1"/>
  <c r="E60" i="6"/>
  <c r="D61" i="6" s="1"/>
  <c r="DT43" i="10"/>
  <c r="DU43" i="10" s="1"/>
  <c r="DT44" i="10" s="1"/>
  <c r="DU44" i="10" s="1"/>
  <c r="DT45" i="10" s="1"/>
  <c r="DU45" i="10" s="1"/>
  <c r="DT46" i="10" s="1"/>
  <c r="DU46" i="10" s="1"/>
  <c r="DW43" i="10"/>
  <c r="DY43" i="10" s="1"/>
  <c r="DW44" i="10"/>
  <c r="DY44" i="10" s="1"/>
  <c r="DW45" i="10"/>
  <c r="DY45" i="10" s="1"/>
  <c r="DW46" i="10"/>
  <c r="DY46" i="10" s="1"/>
  <c r="DQ47" i="10" s="1"/>
  <c r="DT47" i="10" s="1"/>
  <c r="DU47" i="10" s="1"/>
  <c r="DT48" i="10" s="1"/>
  <c r="DU48" i="10" s="1"/>
  <c r="DT49" i="10" s="1"/>
  <c r="DU49" i="10" s="1"/>
  <c r="DT50" i="10" s="1"/>
  <c r="DU50" i="10" s="1"/>
  <c r="DT51" i="10" s="1"/>
  <c r="DU51" i="10" s="1"/>
  <c r="DT52" i="10" s="1"/>
  <c r="DU52" i="10" s="1"/>
  <c r="DW47" i="10"/>
  <c r="DY47" i="10" s="1"/>
  <c r="DW48" i="10"/>
  <c r="DY48" i="10" s="1"/>
  <c r="DW49" i="10"/>
  <c r="DY49" i="10" s="1"/>
  <c r="DW50" i="10"/>
  <c r="DY50" i="10" s="1"/>
  <c r="DW51" i="10"/>
  <c r="DY51" i="10" s="1"/>
  <c r="DW52" i="10"/>
  <c r="DY52" i="10" s="1"/>
  <c r="DQ53" i="10" s="1"/>
  <c r="DW54" i="10"/>
  <c r="DY54" i="10" s="1"/>
  <c r="K53" i="8"/>
  <c r="I52" i="8"/>
  <c r="O65" i="10"/>
  <c r="N66" i="10" s="1"/>
  <c r="Q66" i="10" s="1"/>
  <c r="S66" i="10" s="1"/>
  <c r="G54" i="8"/>
  <c r="E54" i="8"/>
  <c r="D55" i="8" s="1"/>
  <c r="G61" i="6" l="1"/>
  <c r="I61" i="6" s="1"/>
  <c r="E61" i="6"/>
  <c r="D62" i="6" s="1"/>
  <c r="EA42" i="10"/>
  <c r="DT53" i="10"/>
  <c r="DU53" i="10" s="1"/>
  <c r="DT54" i="10" s="1"/>
  <c r="DU54" i="10" s="1"/>
  <c r="DT55" i="10" s="1"/>
  <c r="DU55" i="10" s="1"/>
  <c r="DT56" i="10" s="1"/>
  <c r="DW55" i="10"/>
  <c r="DY55" i="10" s="1"/>
  <c r="K54" i="8"/>
  <c r="I53" i="8"/>
  <c r="O66" i="10"/>
  <c r="G55" i="8"/>
  <c r="E55" i="8"/>
  <c r="D56" i="8" s="1"/>
  <c r="E62" i="6" l="1"/>
  <c r="D63" i="6" s="1"/>
  <c r="G62" i="6"/>
  <c r="I62" i="6" s="1"/>
  <c r="EA53" i="10"/>
  <c r="EG51" i="10"/>
  <c r="EI51" i="10" s="1"/>
  <c r="EG50" i="10"/>
  <c r="EI50" i="10" s="1"/>
  <c r="EG47" i="10"/>
  <c r="EI47" i="10" s="1"/>
  <c r="EA47" i="10"/>
  <c r="ED47" i="10" s="1"/>
  <c r="EE47" i="10" s="1"/>
  <c r="ED48" i="10" s="1"/>
  <c r="EE48" i="10" s="1"/>
  <c r="ED49" i="10" s="1"/>
  <c r="EE49" i="10" s="1"/>
  <c r="ED50" i="10" s="1"/>
  <c r="EE50" i="10" s="1"/>
  <c r="ED51" i="10" s="1"/>
  <c r="EE51" i="10" s="1"/>
  <c r="ED52" i="10" s="1"/>
  <c r="EE52" i="10" s="1"/>
  <c r="EG49" i="10"/>
  <c r="EI49" i="10" s="1"/>
  <c r="EG52" i="10"/>
  <c r="EI52" i="10" s="1"/>
  <c r="ED43" i="10"/>
  <c r="EE43" i="10" s="1"/>
  <c r="ED44" i="10" s="1"/>
  <c r="EE44" i="10" s="1"/>
  <c r="ED45" i="10" s="1"/>
  <c r="EE45" i="10" s="1"/>
  <c r="ED46" i="10" s="1"/>
  <c r="EE46" i="10" s="1"/>
  <c r="EG48" i="10"/>
  <c r="EI48" i="10" s="1"/>
  <c r="EG45" i="10"/>
  <c r="EI45" i="10" s="1"/>
  <c r="EG44" i="10"/>
  <c r="EI44" i="10" s="1"/>
  <c r="EG43" i="10"/>
  <c r="EI43" i="10" s="1"/>
  <c r="EG46" i="10"/>
  <c r="EI46" i="10" s="1"/>
  <c r="DU56" i="10"/>
  <c r="DW56" i="10"/>
  <c r="DY56" i="10" s="1"/>
  <c r="K55" i="8"/>
  <c r="I54" i="8"/>
  <c r="G56" i="8"/>
  <c r="E56" i="8"/>
  <c r="D57" i="8" s="1"/>
  <c r="E63" i="6" l="1"/>
  <c r="D64" i="6" s="1"/>
  <c r="G63" i="6"/>
  <c r="I63" i="6" s="1"/>
  <c r="EK42" i="10"/>
  <c r="EQ46" i="10" s="1"/>
  <c r="ES46" i="10" s="1"/>
  <c r="EQ52" i="10"/>
  <c r="ES52" i="10" s="1"/>
  <c r="EN43" i="10"/>
  <c r="EO43" i="10" s="1"/>
  <c r="EN44" i="10" s="1"/>
  <c r="EO44" i="10" s="1"/>
  <c r="EN45" i="10" s="1"/>
  <c r="EO45" i="10" s="1"/>
  <c r="EN46" i="10" s="1"/>
  <c r="EO46" i="10" s="1"/>
  <c r="EQ51" i="10"/>
  <c r="ES51" i="10" s="1"/>
  <c r="EQ50" i="10"/>
  <c r="ES50" i="10" s="1"/>
  <c r="EQ43" i="10"/>
  <c r="ES43" i="10" s="1"/>
  <c r="DT57" i="10"/>
  <c r="ED53" i="10"/>
  <c r="DW63" i="10"/>
  <c r="DY63" i="10" s="1"/>
  <c r="DW66" i="10"/>
  <c r="DY66" i="10" s="1"/>
  <c r="DW62" i="10"/>
  <c r="DY62" i="10" s="1"/>
  <c r="DW61" i="10"/>
  <c r="DY61" i="10" s="1"/>
  <c r="DW65" i="10"/>
  <c r="DY65" i="10" s="1"/>
  <c r="DW60" i="10"/>
  <c r="DY60" i="10" s="1"/>
  <c r="DW64" i="10"/>
  <c r="DY64" i="10" s="1"/>
  <c r="K56" i="8"/>
  <c r="I55" i="8"/>
  <c r="G57" i="8"/>
  <c r="E57" i="8"/>
  <c r="D58" i="8" s="1"/>
  <c r="EQ44" i="10" l="1"/>
  <c r="ES44" i="10" s="1"/>
  <c r="EQ45" i="10"/>
  <c r="ES45" i="10" s="1"/>
  <c r="EK53" i="10"/>
  <c r="EU42" i="10" s="1"/>
  <c r="FA44" i="10" s="1"/>
  <c r="FC44" i="10" s="1"/>
  <c r="EQ47" i="10"/>
  <c r="ES47" i="10" s="1"/>
  <c r="EQ48" i="10"/>
  <c r="ES48" i="10" s="1"/>
  <c r="EK47" i="10"/>
  <c r="EN47" i="10" s="1"/>
  <c r="EO47" i="10" s="1"/>
  <c r="EN48" i="10" s="1"/>
  <c r="EO48" i="10" s="1"/>
  <c r="EN49" i="10" s="1"/>
  <c r="EO49" i="10" s="1"/>
  <c r="EN50" i="10" s="1"/>
  <c r="EO50" i="10" s="1"/>
  <c r="EN51" i="10" s="1"/>
  <c r="EO51" i="10" s="1"/>
  <c r="EN52" i="10" s="1"/>
  <c r="EO52" i="10" s="1"/>
  <c r="E64" i="6"/>
  <c r="D65" i="6" s="1"/>
  <c r="G64" i="6"/>
  <c r="I64" i="6" s="1"/>
  <c r="EQ49" i="10"/>
  <c r="ES49" i="10" s="1"/>
  <c r="EE53" i="10"/>
  <c r="ED54" i="10" s="1"/>
  <c r="EG53" i="10"/>
  <c r="EI53" i="10" s="1"/>
  <c r="DU57" i="10"/>
  <c r="DT58" i="10" s="1"/>
  <c r="DW57" i="10"/>
  <c r="DY57" i="10" s="1"/>
  <c r="K57" i="8"/>
  <c r="I56" i="8"/>
  <c r="G58" i="8"/>
  <c r="E58" i="8"/>
  <c r="D59" i="8" s="1"/>
  <c r="FA45" i="10" l="1"/>
  <c r="FC45" i="10" s="1"/>
  <c r="FA51" i="10"/>
  <c r="FC51" i="10" s="1"/>
  <c r="FA43" i="10"/>
  <c r="FC43" i="10" s="1"/>
  <c r="FA49" i="10"/>
  <c r="FC49" i="10" s="1"/>
  <c r="EU53" i="10"/>
  <c r="FA46" i="10"/>
  <c r="FC46" i="10" s="1"/>
  <c r="FA50" i="10"/>
  <c r="FC50" i="10" s="1"/>
  <c r="FA52" i="10"/>
  <c r="FC52" i="10" s="1"/>
  <c r="EX43" i="10"/>
  <c r="EY43" i="10" s="1"/>
  <c r="EX44" i="10" s="1"/>
  <c r="EY44" i="10" s="1"/>
  <c r="EX45" i="10" s="1"/>
  <c r="EY45" i="10" s="1"/>
  <c r="EX46" i="10" s="1"/>
  <c r="EY46" i="10" s="1"/>
  <c r="FA47" i="10"/>
  <c r="FC47" i="10" s="1"/>
  <c r="E65" i="6"/>
  <c r="D66" i="6" s="1"/>
  <c r="G65" i="6"/>
  <c r="I65" i="6" s="1"/>
  <c r="EU47" i="10"/>
  <c r="EX47" i="10" s="1"/>
  <c r="EY47" i="10" s="1"/>
  <c r="EX48" i="10" s="1"/>
  <c r="EY48" i="10" s="1"/>
  <c r="EX49" i="10" s="1"/>
  <c r="EY49" i="10" s="1"/>
  <c r="EX50" i="10" s="1"/>
  <c r="EY50" i="10" s="1"/>
  <c r="EX51" i="10" s="1"/>
  <c r="EY51" i="10" s="1"/>
  <c r="EX52" i="10" s="1"/>
  <c r="EY52" i="10" s="1"/>
  <c r="FA48" i="10"/>
  <c r="FC48" i="10" s="1"/>
  <c r="FE42" i="10"/>
  <c r="DU58" i="10"/>
  <c r="DT59" i="10" s="1"/>
  <c r="DW58" i="10"/>
  <c r="DY58" i="10" s="1"/>
  <c r="EE54" i="10"/>
  <c r="ED55" i="10" s="1"/>
  <c r="EG54" i="10"/>
  <c r="EI54" i="10" s="1"/>
  <c r="K58" i="8"/>
  <c r="I57" i="8"/>
  <c r="G59" i="8"/>
  <c r="E59" i="8"/>
  <c r="D60" i="8" s="1"/>
  <c r="E66" i="6" l="1"/>
  <c r="D67" i="6" s="1"/>
  <c r="G66" i="6"/>
  <c r="I66" i="6" s="1"/>
  <c r="EE55" i="10"/>
  <c r="ED56" i="10" s="1"/>
  <c r="EG55" i="10"/>
  <c r="EI55" i="10" s="1"/>
  <c r="DU59" i="10"/>
  <c r="DT60" i="10" s="1"/>
  <c r="DU60" i="10" s="1"/>
  <c r="DT61" i="10" s="1"/>
  <c r="DU61" i="10" s="1"/>
  <c r="DT62" i="10" s="1"/>
  <c r="DU62" i="10" s="1"/>
  <c r="DT63" i="10" s="1"/>
  <c r="DU63" i="10" s="1"/>
  <c r="DT64" i="10" s="1"/>
  <c r="DU64" i="10" s="1"/>
  <c r="DT65" i="10" s="1"/>
  <c r="DU65" i="10" s="1"/>
  <c r="DT66" i="10" s="1"/>
  <c r="DU66" i="10" s="1"/>
  <c r="DW59" i="10"/>
  <c r="DY59" i="10" s="1"/>
  <c r="K59" i="8"/>
  <c r="I58" i="8"/>
  <c r="G60" i="8"/>
  <c r="E60" i="8"/>
  <c r="D61" i="8" s="1"/>
  <c r="E67" i="6" l="1"/>
  <c r="D68" i="6" s="1"/>
  <c r="G67" i="6"/>
  <c r="I67" i="6" s="1"/>
  <c r="EE56" i="10"/>
  <c r="EG56" i="10"/>
  <c r="EI56" i="10" s="1"/>
  <c r="K60" i="8"/>
  <c r="I59" i="8"/>
  <c r="G61" i="8"/>
  <c r="E61" i="8"/>
  <c r="D62" i="8" s="1"/>
  <c r="E68" i="6" l="1"/>
  <c r="D69" i="6" s="1"/>
  <c r="G68" i="6"/>
  <c r="I68" i="6" s="1"/>
  <c r="EG62" i="10"/>
  <c r="EI62" i="10" s="1"/>
  <c r="EG61" i="10"/>
  <c r="EI61" i="10" s="1"/>
  <c r="EG65" i="10"/>
  <c r="EI65" i="10" s="1"/>
  <c r="EG63" i="10"/>
  <c r="EI63" i="10" s="1"/>
  <c r="EG64" i="10"/>
  <c r="EI64" i="10" s="1"/>
  <c r="EG66" i="10"/>
  <c r="EI66" i="10" s="1"/>
  <c r="EG60" i="10"/>
  <c r="EI60" i="10" s="1"/>
  <c r="ED57" i="10"/>
  <c r="EN53" i="10"/>
  <c r="K61" i="8"/>
  <c r="I60" i="8"/>
  <c r="G62" i="8"/>
  <c r="E62" i="8"/>
  <c r="D63" i="8" s="1"/>
  <c r="E69" i="6" l="1"/>
  <c r="D70" i="6" s="1"/>
  <c r="G69" i="6"/>
  <c r="I69" i="6" s="1"/>
  <c r="EO53" i="10"/>
  <c r="EN54" i="10" s="1"/>
  <c r="EQ53" i="10"/>
  <c r="ES53" i="10" s="1"/>
  <c r="EE57" i="10"/>
  <c r="ED58" i="10" s="1"/>
  <c r="EG57" i="10"/>
  <c r="EI57" i="10" s="1"/>
  <c r="K62" i="8"/>
  <c r="I61" i="8"/>
  <c r="G63" i="8"/>
  <c r="E63" i="8"/>
  <c r="D64" i="8" s="1"/>
  <c r="E70" i="6" l="1"/>
  <c r="D71" i="6" s="1"/>
  <c r="G70" i="6"/>
  <c r="I70" i="6" s="1"/>
  <c r="EE58" i="10"/>
  <c r="ED59" i="10" s="1"/>
  <c r="EG58" i="10"/>
  <c r="EI58" i="10" s="1"/>
  <c r="EO54" i="10"/>
  <c r="EN55" i="10" s="1"/>
  <c r="EQ54" i="10"/>
  <c r="ES54" i="10" s="1"/>
  <c r="K63" i="8"/>
  <c r="I62" i="8"/>
  <c r="G64" i="8"/>
  <c r="E64" i="8"/>
  <c r="D65" i="8" s="1"/>
  <c r="E71" i="6" l="1"/>
  <c r="D72" i="6" s="1"/>
  <c r="G71" i="6"/>
  <c r="I71" i="6" s="1"/>
  <c r="EO55" i="10"/>
  <c r="EN56" i="10" s="1"/>
  <c r="EQ55" i="10"/>
  <c r="ES55" i="10" s="1"/>
  <c r="EE59" i="10"/>
  <c r="ED60" i="10" s="1"/>
  <c r="EE60" i="10" s="1"/>
  <c r="ED61" i="10" s="1"/>
  <c r="EE61" i="10" s="1"/>
  <c r="ED62" i="10" s="1"/>
  <c r="EE62" i="10" s="1"/>
  <c r="ED63" i="10" s="1"/>
  <c r="EE63" i="10" s="1"/>
  <c r="ED64" i="10" s="1"/>
  <c r="EE64" i="10" s="1"/>
  <c r="ED65" i="10" s="1"/>
  <c r="EE65" i="10" s="1"/>
  <c r="ED66" i="10" s="1"/>
  <c r="EE66" i="10" s="1"/>
  <c r="EG59" i="10"/>
  <c r="EI59" i="10" s="1"/>
  <c r="K64" i="8"/>
  <c r="I63" i="8"/>
  <c r="G65" i="8"/>
  <c r="E65" i="8"/>
  <c r="D66" i="8" s="1"/>
  <c r="E72" i="6" l="1"/>
  <c r="D73" i="6" s="1"/>
  <c r="G72" i="6"/>
  <c r="I72" i="6" s="1"/>
  <c r="EO56" i="10"/>
  <c r="EQ56" i="10"/>
  <c r="ES56" i="10" s="1"/>
  <c r="K65" i="8"/>
  <c r="I64" i="8"/>
  <c r="G66" i="8"/>
  <c r="E66" i="8"/>
  <c r="D67" i="8" s="1"/>
  <c r="E73" i="6" l="1"/>
  <c r="D74" i="6" s="1"/>
  <c r="G73" i="6"/>
  <c r="I73" i="6" s="1"/>
  <c r="EQ60" i="10"/>
  <c r="ES60" i="10" s="1"/>
  <c r="EQ64" i="10"/>
  <c r="ES64" i="10" s="1"/>
  <c r="EQ66" i="10"/>
  <c r="ES66" i="10" s="1"/>
  <c r="EQ62" i="10"/>
  <c r="ES62" i="10" s="1"/>
  <c r="EQ63" i="10"/>
  <c r="ES63" i="10" s="1"/>
  <c r="EQ61" i="10"/>
  <c r="ES61" i="10" s="1"/>
  <c r="EQ65" i="10"/>
  <c r="ES65" i="10" s="1"/>
  <c r="EN57" i="10"/>
  <c r="EX53" i="10"/>
  <c r="K66" i="8"/>
  <c r="I65" i="8"/>
  <c r="G67" i="8"/>
  <c r="E67" i="8"/>
  <c r="D68" i="8" s="1"/>
  <c r="E74" i="6" l="1"/>
  <c r="D75" i="6" s="1"/>
  <c r="G74" i="6"/>
  <c r="I74" i="6" s="1"/>
  <c r="EY53" i="10"/>
  <c r="EX54" i="10" s="1"/>
  <c r="FA53" i="10"/>
  <c r="FC53" i="10" s="1"/>
  <c r="EO57" i="10"/>
  <c r="EN58" i="10" s="1"/>
  <c r="EQ57" i="10"/>
  <c r="ES57" i="10" s="1"/>
  <c r="K67" i="8"/>
  <c r="I66" i="8"/>
  <c r="G68" i="8"/>
  <c r="E68" i="8"/>
  <c r="D69" i="8" s="1"/>
  <c r="E75" i="6" l="1"/>
  <c r="D76" i="6" s="1"/>
  <c r="G75" i="6"/>
  <c r="I75" i="6" s="1"/>
  <c r="EO58" i="10"/>
  <c r="EN59" i="10" s="1"/>
  <c r="EQ58" i="10"/>
  <c r="ES58" i="10" s="1"/>
  <c r="EY54" i="10"/>
  <c r="EX55" i="10" s="1"/>
  <c r="FA54" i="10"/>
  <c r="FC54" i="10" s="1"/>
  <c r="K68" i="8"/>
  <c r="I67" i="8"/>
  <c r="G69" i="8"/>
  <c r="E69" i="8"/>
  <c r="D70" i="8" s="1"/>
  <c r="E76" i="6" l="1"/>
  <c r="D77" i="6" s="1"/>
  <c r="G76" i="6"/>
  <c r="I76" i="6" s="1"/>
  <c r="EY55" i="10"/>
  <c r="EX56" i="10" s="1"/>
  <c r="FA55" i="10"/>
  <c r="FC55" i="10" s="1"/>
  <c r="EO59" i="10"/>
  <c r="EN60" i="10" s="1"/>
  <c r="EO60" i="10" s="1"/>
  <c r="EN61" i="10" s="1"/>
  <c r="EO61" i="10" s="1"/>
  <c r="EN62" i="10" s="1"/>
  <c r="EO62" i="10" s="1"/>
  <c r="EN63" i="10" s="1"/>
  <c r="EO63" i="10" s="1"/>
  <c r="EN64" i="10" s="1"/>
  <c r="EO64" i="10" s="1"/>
  <c r="EN65" i="10" s="1"/>
  <c r="EO65" i="10" s="1"/>
  <c r="EN66" i="10" s="1"/>
  <c r="EO66" i="10" s="1"/>
  <c r="EQ59" i="10"/>
  <c r="ES59" i="10" s="1"/>
  <c r="K69" i="8"/>
  <c r="I68" i="8"/>
  <c r="G70" i="8"/>
  <c r="E70" i="8"/>
  <c r="D71" i="8" s="1"/>
  <c r="E77" i="6" l="1"/>
  <c r="D78" i="6" s="1"/>
  <c r="G77" i="6"/>
  <c r="I77" i="6" s="1"/>
  <c r="EY56" i="10"/>
  <c r="FA56" i="10"/>
  <c r="FC56" i="10" s="1"/>
  <c r="K70" i="8"/>
  <c r="I69" i="8"/>
  <c r="G71" i="8"/>
  <c r="E71" i="8"/>
  <c r="D72" i="8" s="1"/>
  <c r="E78" i="6" l="1"/>
  <c r="D79" i="6" s="1"/>
  <c r="G78" i="6"/>
  <c r="I78" i="6" s="1"/>
  <c r="FA63" i="10"/>
  <c r="FC63" i="10" s="1"/>
  <c r="FA65" i="10"/>
  <c r="FC65" i="10" s="1"/>
  <c r="FA60" i="10"/>
  <c r="FC60" i="10" s="1"/>
  <c r="FA62" i="10"/>
  <c r="FC62" i="10" s="1"/>
  <c r="FA64" i="10"/>
  <c r="FC64" i="10" s="1"/>
  <c r="FA61" i="10"/>
  <c r="FC61" i="10" s="1"/>
  <c r="FA59" i="10"/>
  <c r="FC59" i="10" s="1"/>
  <c r="FA66" i="10"/>
  <c r="FC66" i="10" s="1"/>
  <c r="EX57" i="10"/>
  <c r="FH43" i="10"/>
  <c r="K71" i="8"/>
  <c r="I70" i="8"/>
  <c r="G72" i="8"/>
  <c r="E72" i="8"/>
  <c r="D73" i="8" s="1"/>
  <c r="E79" i="6" l="1"/>
  <c r="D80" i="6" s="1"/>
  <c r="G79" i="6"/>
  <c r="I79" i="6" s="1"/>
  <c r="FI43" i="10"/>
  <c r="FH44" i="10" s="1"/>
  <c r="FK43" i="10"/>
  <c r="FM43" i="10" s="1"/>
  <c r="EY57" i="10"/>
  <c r="EX58" i="10" s="1"/>
  <c r="FA57" i="10"/>
  <c r="FC57" i="10" s="1"/>
  <c r="K72" i="8"/>
  <c r="I71" i="8"/>
  <c r="G73" i="8"/>
  <c r="E73" i="8"/>
  <c r="D74" i="8" s="1"/>
  <c r="E80" i="6" l="1"/>
  <c r="D81" i="6" s="1"/>
  <c r="G80" i="6"/>
  <c r="I80" i="6" s="1"/>
  <c r="EY58" i="10"/>
  <c r="EX59" i="10" s="1"/>
  <c r="EY59" i="10" s="1"/>
  <c r="EX60" i="10" s="1"/>
  <c r="EY60" i="10" s="1"/>
  <c r="EX61" i="10" s="1"/>
  <c r="EY61" i="10" s="1"/>
  <c r="EX62" i="10" s="1"/>
  <c r="EY62" i="10" s="1"/>
  <c r="EX63" i="10" s="1"/>
  <c r="EY63" i="10" s="1"/>
  <c r="EX64" i="10" s="1"/>
  <c r="EY64" i="10" s="1"/>
  <c r="EX65" i="10" s="1"/>
  <c r="EY65" i="10" s="1"/>
  <c r="EX66" i="10" s="1"/>
  <c r="EY66" i="10" s="1"/>
  <c r="FA58" i="10"/>
  <c r="FC58" i="10" s="1"/>
  <c r="FI44" i="10"/>
  <c r="FH45" i="10" s="1"/>
  <c r="FK44" i="10"/>
  <c r="FM44" i="10" s="1"/>
  <c r="K73" i="8"/>
  <c r="I72" i="8"/>
  <c r="G74" i="8"/>
  <c r="E74" i="8"/>
  <c r="D75" i="8" s="1"/>
  <c r="E81" i="6" l="1"/>
  <c r="D82" i="6" s="1"/>
  <c r="G81" i="6"/>
  <c r="I81" i="6" s="1"/>
  <c r="FI45" i="10"/>
  <c r="FH46" i="10" s="1"/>
  <c r="FK45" i="10"/>
  <c r="FM45" i="10" s="1"/>
  <c r="E75" i="8"/>
  <c r="D76" i="8" s="1"/>
  <c r="G75" i="8"/>
  <c r="K74" i="8"/>
  <c r="I73" i="8"/>
  <c r="E82" i="6" l="1"/>
  <c r="D83" i="6" s="1"/>
  <c r="G82" i="6"/>
  <c r="I82" i="6" s="1"/>
  <c r="FI46" i="10"/>
  <c r="FK46" i="10"/>
  <c r="FM46" i="10" s="1"/>
  <c r="FE47" i="10" s="1"/>
  <c r="K75" i="8"/>
  <c r="I74" i="8"/>
  <c r="G76" i="8"/>
  <c r="E76" i="8"/>
  <c r="D77" i="8" s="1"/>
  <c r="E83" i="6" l="1"/>
  <c r="D84" i="6" s="1"/>
  <c r="G83" i="6"/>
  <c r="I83" i="6" s="1"/>
  <c r="FH47" i="10"/>
  <c r="G77" i="8"/>
  <c r="E77" i="8"/>
  <c r="D78" i="8" s="1"/>
  <c r="K76" i="8"/>
  <c r="I75" i="8"/>
  <c r="E84" i="6" l="1"/>
  <c r="D85" i="6" s="1"/>
  <c r="G84" i="6"/>
  <c r="I84" i="6" s="1"/>
  <c r="FI47" i="10"/>
  <c r="FH48" i="10" s="1"/>
  <c r="FK47" i="10"/>
  <c r="FM47" i="10" s="1"/>
  <c r="K77" i="8"/>
  <c r="I76" i="8"/>
  <c r="G78" i="8"/>
  <c r="E78" i="8"/>
  <c r="D79" i="8" s="1"/>
  <c r="E85" i="6" l="1"/>
  <c r="D86" i="6" s="1"/>
  <c r="G85" i="6"/>
  <c r="I85" i="6" s="1"/>
  <c r="FI48" i="10"/>
  <c r="FH49" i="10" s="1"/>
  <c r="FK48" i="10"/>
  <c r="FM48" i="10" s="1"/>
  <c r="G79" i="8"/>
  <c r="E79" i="8"/>
  <c r="D80" i="8" s="1"/>
  <c r="K78" i="8"/>
  <c r="I77" i="8"/>
  <c r="E86" i="6" l="1"/>
  <c r="D87" i="6" s="1"/>
  <c r="G86" i="6"/>
  <c r="I86" i="6" s="1"/>
  <c r="FI49" i="10"/>
  <c r="FH50" i="10" s="1"/>
  <c r="FK49" i="10"/>
  <c r="FM49" i="10" s="1"/>
  <c r="K79" i="8"/>
  <c r="I78" i="8"/>
  <c r="G80" i="8"/>
  <c r="E80" i="8"/>
  <c r="D81" i="8" s="1"/>
  <c r="E87" i="6" l="1"/>
  <c r="D88" i="6" s="1"/>
  <c r="G87" i="6"/>
  <c r="I87" i="6" s="1"/>
  <c r="FI50" i="10"/>
  <c r="FH51" i="10" s="1"/>
  <c r="FK50" i="10"/>
  <c r="FM50" i="10" s="1"/>
  <c r="E81" i="8"/>
  <c r="D82" i="8" s="1"/>
  <c r="G81" i="8"/>
  <c r="K80" i="8"/>
  <c r="I79" i="8"/>
  <c r="E88" i="6" l="1"/>
  <c r="D89" i="6" s="1"/>
  <c r="G88" i="6"/>
  <c r="I88" i="6" s="1"/>
  <c r="FI51" i="10"/>
  <c r="FH52" i="10" s="1"/>
  <c r="FK51" i="10"/>
  <c r="FM51" i="10" s="1"/>
  <c r="G82" i="8"/>
  <c r="E82" i="8"/>
  <c r="D83" i="8" s="1"/>
  <c r="K81" i="8"/>
  <c r="I80" i="8"/>
  <c r="E89" i="6" l="1"/>
  <c r="D90" i="6" s="1"/>
  <c r="G89" i="6"/>
  <c r="I89" i="6" s="1"/>
  <c r="FI52" i="10"/>
  <c r="FK52" i="10"/>
  <c r="FM52" i="10" s="1"/>
  <c r="FE53" i="10" s="1"/>
  <c r="E83" i="8"/>
  <c r="D84" i="8" s="1"/>
  <c r="G83" i="8"/>
  <c r="K82" i="8"/>
  <c r="I81" i="8"/>
  <c r="E90" i="6" l="1"/>
  <c r="D91" i="6" s="1"/>
  <c r="G90" i="6"/>
  <c r="I90" i="6" s="1"/>
  <c r="FH53" i="10"/>
  <c r="FO42" i="10"/>
  <c r="K83" i="8"/>
  <c r="I82" i="8"/>
  <c r="G84" i="8"/>
  <c r="E84" i="8"/>
  <c r="D85" i="8" s="1"/>
  <c r="E91" i="6" l="1"/>
  <c r="D92" i="6" s="1"/>
  <c r="G91" i="6"/>
  <c r="I91" i="6" s="1"/>
  <c r="FR43" i="10"/>
  <c r="FS43" i="10" s="1"/>
  <c r="FR44" i="10" s="1"/>
  <c r="FS44" i="10" s="1"/>
  <c r="FR45" i="10" s="1"/>
  <c r="FS45" i="10" s="1"/>
  <c r="FR46" i="10" s="1"/>
  <c r="FS46" i="10" s="1"/>
  <c r="FU44" i="10"/>
  <c r="FW44" i="10" s="1"/>
  <c r="FU43" i="10"/>
  <c r="FW43" i="10" s="1"/>
  <c r="FU46" i="10"/>
  <c r="FW46" i="10" s="1"/>
  <c r="FO47" i="10"/>
  <c r="FR47" i="10" s="1"/>
  <c r="FS47" i="10" s="1"/>
  <c r="FR48" i="10" s="1"/>
  <c r="FS48" i="10" s="1"/>
  <c r="FR49" i="10" s="1"/>
  <c r="FS49" i="10" s="1"/>
  <c r="FR50" i="10" s="1"/>
  <c r="FS50" i="10" s="1"/>
  <c r="FR51" i="10" s="1"/>
  <c r="FS51" i="10" s="1"/>
  <c r="FR52" i="10" s="1"/>
  <c r="FS52" i="10" s="1"/>
  <c r="FU45" i="10"/>
  <c r="FW45" i="10" s="1"/>
  <c r="FO53" i="10"/>
  <c r="FI53" i="10"/>
  <c r="FH54" i="10" s="1"/>
  <c r="FK53" i="10"/>
  <c r="FM53" i="10" s="1"/>
  <c r="E85" i="8"/>
  <c r="D86" i="8" s="1"/>
  <c r="G85" i="8"/>
  <c r="K84" i="8"/>
  <c r="I83" i="8"/>
  <c r="E92" i="6" l="1"/>
  <c r="D93" i="6" s="1"/>
  <c r="G92" i="6"/>
  <c r="I92" i="6" s="1"/>
  <c r="FI54" i="10"/>
  <c r="FH55" i="10" s="1"/>
  <c r="FK54" i="10"/>
  <c r="FM54" i="10" s="1"/>
  <c r="FU47" i="10"/>
  <c r="FW47" i="10" s="1"/>
  <c r="FU49" i="10"/>
  <c r="FW49" i="10" s="1"/>
  <c r="FU52" i="10"/>
  <c r="FW52" i="10" s="1"/>
  <c r="FU50" i="10"/>
  <c r="FW50" i="10" s="1"/>
  <c r="FU51" i="10"/>
  <c r="FW51" i="10" s="1"/>
  <c r="FU48" i="10"/>
  <c r="FW48" i="10" s="1"/>
  <c r="FY42" i="10"/>
  <c r="K85" i="8"/>
  <c r="I84" i="8"/>
  <c r="G86" i="8"/>
  <c r="E86" i="8"/>
  <c r="D87" i="8" s="1"/>
  <c r="E93" i="6" l="1"/>
  <c r="D94" i="6" s="1"/>
  <c r="G93" i="6"/>
  <c r="I93" i="6" s="1"/>
  <c r="GB43" i="10"/>
  <c r="GC43" i="10" s="1"/>
  <c r="GB44" i="10" s="1"/>
  <c r="GC44" i="10" s="1"/>
  <c r="GB45" i="10" s="1"/>
  <c r="GC45" i="10" s="1"/>
  <c r="GB46" i="10" s="1"/>
  <c r="GC46" i="10" s="1"/>
  <c r="GE44" i="10"/>
  <c r="GG44" i="10" s="1"/>
  <c r="GE45" i="10"/>
  <c r="GG45" i="10" s="1"/>
  <c r="GE43" i="10"/>
  <c r="GG43" i="10" s="1"/>
  <c r="GE47" i="10"/>
  <c r="GG47" i="10" s="1"/>
  <c r="GE46" i="10"/>
  <c r="GG46" i="10" s="1"/>
  <c r="GE49" i="10"/>
  <c r="GG49" i="10" s="1"/>
  <c r="FY47" i="10"/>
  <c r="GB47" i="10" s="1"/>
  <c r="GC47" i="10" s="1"/>
  <c r="GB48" i="10" s="1"/>
  <c r="GC48" i="10" s="1"/>
  <c r="GB49" i="10" s="1"/>
  <c r="GC49" i="10" s="1"/>
  <c r="GB50" i="10" s="1"/>
  <c r="GC50" i="10" s="1"/>
  <c r="GB51" i="10" s="1"/>
  <c r="GC51" i="10" s="1"/>
  <c r="GB52" i="10" s="1"/>
  <c r="GC52" i="10" s="1"/>
  <c r="GE52" i="10"/>
  <c r="GG52" i="10" s="1"/>
  <c r="GE51" i="10"/>
  <c r="GG51" i="10" s="1"/>
  <c r="GE50" i="10"/>
  <c r="GG50" i="10" s="1"/>
  <c r="GE48" i="10"/>
  <c r="GG48" i="10" s="1"/>
  <c r="FY53" i="10"/>
  <c r="FI55" i="10"/>
  <c r="FH56" i="10" s="1"/>
  <c r="FK55" i="10"/>
  <c r="FM55" i="10" s="1"/>
  <c r="G87" i="8"/>
  <c r="E87" i="8"/>
  <c r="D88" i="8" s="1"/>
  <c r="K86" i="8"/>
  <c r="I85" i="8"/>
  <c r="E94" i="6" l="1"/>
  <c r="D95" i="6" s="1"/>
  <c r="G94" i="6"/>
  <c r="I94" i="6" s="1"/>
  <c r="FI56" i="10"/>
  <c r="FK56" i="10"/>
  <c r="FM56" i="10" s="1"/>
  <c r="GI42" i="10"/>
  <c r="K87" i="8"/>
  <c r="I86" i="8"/>
  <c r="G88" i="8"/>
  <c r="E88" i="8"/>
  <c r="D89" i="8" s="1"/>
  <c r="E95" i="6" l="1"/>
  <c r="G95" i="6"/>
  <c r="I95" i="6" s="1"/>
  <c r="GO46" i="10"/>
  <c r="GQ46" i="10" s="1"/>
  <c r="GI47" i="10"/>
  <c r="GL47" i="10" s="1"/>
  <c r="GM47" i="10" s="1"/>
  <c r="GL48" i="10" s="1"/>
  <c r="GM48" i="10" s="1"/>
  <c r="GL49" i="10" s="1"/>
  <c r="GM49" i="10" s="1"/>
  <c r="GL50" i="10" s="1"/>
  <c r="GM50" i="10" s="1"/>
  <c r="GL51" i="10" s="1"/>
  <c r="GM51" i="10" s="1"/>
  <c r="GL52" i="10" s="1"/>
  <c r="GM52" i="10" s="1"/>
  <c r="GO45" i="10"/>
  <c r="GQ45" i="10" s="1"/>
  <c r="GI53" i="10"/>
  <c r="GL43" i="10"/>
  <c r="GM43" i="10" s="1"/>
  <c r="GL44" i="10" s="1"/>
  <c r="GM44" i="10" s="1"/>
  <c r="GL45" i="10" s="1"/>
  <c r="GM45" i="10" s="1"/>
  <c r="GL46" i="10" s="1"/>
  <c r="GM46" i="10" s="1"/>
  <c r="FK61" i="10"/>
  <c r="FM61" i="10" s="1"/>
  <c r="FK63" i="10"/>
  <c r="FM63" i="10" s="1"/>
  <c r="FK62" i="10"/>
  <c r="FM62" i="10" s="1"/>
  <c r="FK64" i="10"/>
  <c r="FM64" i="10" s="1"/>
  <c r="FK65" i="10"/>
  <c r="FM65" i="10" s="1"/>
  <c r="FK60" i="10"/>
  <c r="FM60" i="10" s="1"/>
  <c r="FK66" i="10"/>
  <c r="FM66" i="10" s="1"/>
  <c r="FH57" i="10"/>
  <c r="FR53" i="10"/>
  <c r="E89" i="8"/>
  <c r="D90" i="8" s="1"/>
  <c r="G89" i="8"/>
  <c r="K88" i="8"/>
  <c r="I87" i="8"/>
  <c r="FS53" i="10" l="1"/>
  <c r="FR54" i="10" s="1"/>
  <c r="FU53" i="10"/>
  <c r="FW53" i="10" s="1"/>
  <c r="GO48" i="10"/>
  <c r="GQ48" i="10" s="1"/>
  <c r="GO51" i="10"/>
  <c r="GQ51" i="10" s="1"/>
  <c r="GO44" i="10"/>
  <c r="GQ44" i="10" s="1"/>
  <c r="FI57" i="10"/>
  <c r="FH58" i="10" s="1"/>
  <c r="FK57" i="10"/>
  <c r="FM57" i="10" s="1"/>
  <c r="GO47" i="10"/>
  <c r="GQ47" i="10" s="1"/>
  <c r="GO50" i="10"/>
  <c r="GQ50" i="10" s="1"/>
  <c r="GO49" i="10"/>
  <c r="GQ49" i="10" s="1"/>
  <c r="GS42" i="10"/>
  <c r="GO52" i="10"/>
  <c r="GQ52" i="10" s="1"/>
  <c r="GO43" i="10"/>
  <c r="GQ43" i="10" s="1"/>
  <c r="K89" i="8"/>
  <c r="I88" i="8"/>
  <c r="G90" i="8"/>
  <c r="E90" i="8"/>
  <c r="D91" i="8" s="1"/>
  <c r="FI58" i="10" l="1"/>
  <c r="FH59" i="10" s="1"/>
  <c r="FK58" i="10"/>
  <c r="FM58" i="10" s="1"/>
  <c r="FS54" i="10"/>
  <c r="FR55" i="10" s="1"/>
  <c r="FU54" i="10"/>
  <c r="FW54" i="10" s="1"/>
  <c r="K90" i="8"/>
  <c r="I89" i="8"/>
  <c r="E91" i="8"/>
  <c r="D92" i="8" s="1"/>
  <c r="G91" i="8"/>
  <c r="FS55" i="10" l="1"/>
  <c r="FR56" i="10" s="1"/>
  <c r="FU55" i="10"/>
  <c r="FW55" i="10" s="1"/>
  <c r="FI59" i="10"/>
  <c r="FH60" i="10" s="1"/>
  <c r="FI60" i="10" s="1"/>
  <c r="FH61" i="10" s="1"/>
  <c r="FI61" i="10" s="1"/>
  <c r="FH62" i="10" s="1"/>
  <c r="FI62" i="10" s="1"/>
  <c r="FH63" i="10" s="1"/>
  <c r="FI63" i="10" s="1"/>
  <c r="FH64" i="10" s="1"/>
  <c r="FI64" i="10" s="1"/>
  <c r="FH65" i="10" s="1"/>
  <c r="FI65" i="10" s="1"/>
  <c r="FH66" i="10" s="1"/>
  <c r="FI66" i="10" s="1"/>
  <c r="FK59" i="10"/>
  <c r="FM59" i="10" s="1"/>
  <c r="G92" i="8"/>
  <c r="E92" i="8"/>
  <c r="D93" i="8" s="1"/>
  <c r="K91" i="8"/>
  <c r="I90" i="8"/>
  <c r="FS56" i="10" l="1"/>
  <c r="FU56" i="10"/>
  <c r="FW56" i="10" s="1"/>
  <c r="K92" i="8"/>
  <c r="I91" i="8"/>
  <c r="E93" i="8"/>
  <c r="D94" i="8" s="1"/>
  <c r="G93" i="8"/>
  <c r="FU66" i="10" l="1"/>
  <c r="FW66" i="10" s="1"/>
  <c r="FU62" i="10"/>
  <c r="FW62" i="10" s="1"/>
  <c r="FU65" i="10"/>
  <c r="FW65" i="10" s="1"/>
  <c r="FU60" i="10"/>
  <c r="FW60" i="10" s="1"/>
  <c r="FU64" i="10"/>
  <c r="FW64" i="10" s="1"/>
  <c r="FU63" i="10"/>
  <c r="FW63" i="10" s="1"/>
  <c r="FU61" i="10"/>
  <c r="FW61" i="10" s="1"/>
  <c r="FR57" i="10"/>
  <c r="GB53" i="10"/>
  <c r="G94" i="8"/>
  <c r="E94" i="8"/>
  <c r="D95" i="8" s="1"/>
  <c r="K93" i="8"/>
  <c r="I92" i="8"/>
  <c r="GC53" i="10" l="1"/>
  <c r="GB54" i="10" s="1"/>
  <c r="GE53" i="10"/>
  <c r="GG53" i="10" s="1"/>
  <c r="FS57" i="10"/>
  <c r="FR58" i="10" s="1"/>
  <c r="FU57" i="10"/>
  <c r="FW57" i="10" s="1"/>
  <c r="K94" i="8"/>
  <c r="I93" i="8"/>
  <c r="E95" i="8"/>
  <c r="D96" i="8" s="1"/>
  <c r="G95" i="8"/>
  <c r="FS58" i="10" l="1"/>
  <c r="FR59" i="10" s="1"/>
  <c r="FU58" i="10"/>
  <c r="FW58" i="10" s="1"/>
  <c r="GC54" i="10"/>
  <c r="GB55" i="10" s="1"/>
  <c r="GE54" i="10"/>
  <c r="GG54" i="10" s="1"/>
  <c r="E96" i="8"/>
  <c r="D97" i="8" s="1"/>
  <c r="G96" i="8"/>
  <c r="K95" i="8"/>
  <c r="I94" i="8"/>
  <c r="GC55" i="10" l="1"/>
  <c r="GB56" i="10" s="1"/>
  <c r="GE55" i="10"/>
  <c r="GG55" i="10" s="1"/>
  <c r="FS59" i="10"/>
  <c r="FR60" i="10" s="1"/>
  <c r="FS60" i="10" s="1"/>
  <c r="FR61" i="10" s="1"/>
  <c r="FS61" i="10" s="1"/>
  <c r="FR62" i="10" s="1"/>
  <c r="FS62" i="10" s="1"/>
  <c r="FR63" i="10" s="1"/>
  <c r="FS63" i="10" s="1"/>
  <c r="FR64" i="10" s="1"/>
  <c r="FS64" i="10" s="1"/>
  <c r="FR65" i="10" s="1"/>
  <c r="FS65" i="10" s="1"/>
  <c r="FR66" i="10" s="1"/>
  <c r="FS66" i="10" s="1"/>
  <c r="FU59" i="10"/>
  <c r="FW59" i="10" s="1"/>
  <c r="E97" i="8"/>
  <c r="D98" i="8" s="1"/>
  <c r="G97" i="8"/>
  <c r="K96" i="8"/>
  <c r="I95" i="8"/>
  <c r="GC56" i="10" l="1"/>
  <c r="GE56" i="10"/>
  <c r="GG56" i="10" s="1"/>
  <c r="K97" i="8"/>
  <c r="I96" i="8"/>
  <c r="E98" i="8"/>
  <c r="D99" i="8" s="1"/>
  <c r="G98" i="8"/>
  <c r="GE64" i="10" l="1"/>
  <c r="GG64" i="10" s="1"/>
  <c r="GE66" i="10"/>
  <c r="GG66" i="10" s="1"/>
  <c r="GE65" i="10"/>
  <c r="GG65" i="10" s="1"/>
  <c r="GE62" i="10"/>
  <c r="GG62" i="10" s="1"/>
  <c r="GE61" i="10"/>
  <c r="GG61" i="10" s="1"/>
  <c r="GE60" i="10"/>
  <c r="GG60" i="10" s="1"/>
  <c r="GE63" i="10"/>
  <c r="GG63" i="10" s="1"/>
  <c r="GB57" i="10"/>
  <c r="GL53" i="10"/>
  <c r="K98" i="8"/>
  <c r="I97" i="8"/>
  <c r="E99" i="8"/>
  <c r="D100" i="8" s="1"/>
  <c r="G99" i="8"/>
  <c r="GM53" i="10" l="1"/>
  <c r="GL54" i="10" s="1"/>
  <c r="GO53" i="10"/>
  <c r="GQ53" i="10" s="1"/>
  <c r="GC57" i="10"/>
  <c r="GB58" i="10" s="1"/>
  <c r="GE57" i="10"/>
  <c r="GG57" i="10" s="1"/>
  <c r="G100" i="8"/>
  <c r="E100" i="8"/>
  <c r="D101" i="8" s="1"/>
  <c r="K99" i="8"/>
  <c r="I98" i="8"/>
  <c r="GC58" i="10" l="1"/>
  <c r="GB59" i="10" s="1"/>
  <c r="GE58" i="10"/>
  <c r="GG58" i="10" s="1"/>
  <c r="GM54" i="10"/>
  <c r="GL55" i="10" s="1"/>
  <c r="GO54" i="10"/>
  <c r="GQ54" i="10" s="1"/>
  <c r="K100" i="8"/>
  <c r="I99" i="8"/>
  <c r="E101" i="8"/>
  <c r="D102" i="8" s="1"/>
  <c r="G101" i="8"/>
  <c r="GM55" i="10" l="1"/>
  <c r="GL56" i="10" s="1"/>
  <c r="GO55" i="10"/>
  <c r="GQ55" i="10" s="1"/>
  <c r="GC59" i="10"/>
  <c r="GB60" i="10" s="1"/>
  <c r="GC60" i="10" s="1"/>
  <c r="GB61" i="10" s="1"/>
  <c r="GC61" i="10" s="1"/>
  <c r="GB62" i="10" s="1"/>
  <c r="GC62" i="10" s="1"/>
  <c r="GB63" i="10" s="1"/>
  <c r="GC63" i="10" s="1"/>
  <c r="GB64" i="10" s="1"/>
  <c r="GC64" i="10" s="1"/>
  <c r="GB65" i="10" s="1"/>
  <c r="GC65" i="10" s="1"/>
  <c r="GB66" i="10" s="1"/>
  <c r="GC66" i="10" s="1"/>
  <c r="GE59" i="10"/>
  <c r="GG59" i="10" s="1"/>
  <c r="G102" i="8"/>
  <c r="E102" i="8"/>
  <c r="D103" i="8" s="1"/>
  <c r="K101" i="8"/>
  <c r="I100" i="8"/>
  <c r="GM56" i="10" l="1"/>
  <c r="GO56" i="10"/>
  <c r="GQ56" i="10" s="1"/>
  <c r="K102" i="8"/>
  <c r="I101" i="8"/>
  <c r="E103" i="8"/>
  <c r="D104" i="8" s="1"/>
  <c r="G103" i="8"/>
  <c r="GO63" i="10" l="1"/>
  <c r="GQ63" i="10" s="1"/>
  <c r="GO64" i="10"/>
  <c r="GQ64" i="10" s="1"/>
  <c r="GO66" i="10"/>
  <c r="GQ66" i="10" s="1"/>
  <c r="GO62" i="10"/>
  <c r="GQ62" i="10" s="1"/>
  <c r="GO65" i="10"/>
  <c r="GQ65" i="10" s="1"/>
  <c r="GO59" i="10"/>
  <c r="GQ59" i="10" s="1"/>
  <c r="GO61" i="10"/>
  <c r="GQ61" i="10" s="1"/>
  <c r="GO60" i="10"/>
  <c r="GQ60" i="10" s="1"/>
  <c r="GL57" i="10"/>
  <c r="GV43" i="10"/>
  <c r="G104" i="8"/>
  <c r="E104" i="8"/>
  <c r="D105" i="8" s="1"/>
  <c r="K103" i="8"/>
  <c r="I102" i="8"/>
  <c r="GW43" i="10" l="1"/>
  <c r="GV44" i="10" s="1"/>
  <c r="GY43" i="10"/>
  <c r="HA43" i="10" s="1"/>
  <c r="GM57" i="10"/>
  <c r="GL58" i="10" s="1"/>
  <c r="GO57" i="10"/>
  <c r="GQ57" i="10" s="1"/>
  <c r="K104" i="8"/>
  <c r="I103" i="8"/>
  <c r="E105" i="8"/>
  <c r="D106" i="8" s="1"/>
  <c r="G105" i="8"/>
  <c r="GM58" i="10" l="1"/>
  <c r="GL59" i="10" s="1"/>
  <c r="GM59" i="10" s="1"/>
  <c r="GL60" i="10" s="1"/>
  <c r="GM60" i="10" s="1"/>
  <c r="GL61" i="10" s="1"/>
  <c r="GM61" i="10" s="1"/>
  <c r="GL62" i="10" s="1"/>
  <c r="GM62" i="10" s="1"/>
  <c r="GL63" i="10" s="1"/>
  <c r="GM63" i="10" s="1"/>
  <c r="GL64" i="10" s="1"/>
  <c r="GM64" i="10" s="1"/>
  <c r="GL65" i="10" s="1"/>
  <c r="GM65" i="10" s="1"/>
  <c r="GL66" i="10" s="1"/>
  <c r="GM66" i="10" s="1"/>
  <c r="GO58" i="10"/>
  <c r="GQ58" i="10" s="1"/>
  <c r="GW44" i="10"/>
  <c r="GV45" i="10" s="1"/>
  <c r="GY44" i="10"/>
  <c r="HA44" i="10" s="1"/>
  <c r="G106" i="8"/>
  <c r="E106" i="8"/>
  <c r="D107" i="8" s="1"/>
  <c r="K105" i="8"/>
  <c r="I104" i="8"/>
  <c r="GW45" i="10" l="1"/>
  <c r="GV46" i="10" s="1"/>
  <c r="GY45" i="10"/>
  <c r="HA45" i="10" s="1"/>
  <c r="K106" i="8"/>
  <c r="I105" i="8"/>
  <c r="E107" i="8"/>
  <c r="D108" i="8" s="1"/>
  <c r="G107" i="8"/>
  <c r="GW46" i="10" l="1"/>
  <c r="GY46" i="10"/>
  <c r="HA46" i="10" s="1"/>
  <c r="GS47" i="10" s="1"/>
  <c r="G108" i="8"/>
  <c r="E108" i="8"/>
  <c r="D109" i="8" s="1"/>
  <c r="K107" i="8"/>
  <c r="I106" i="8"/>
  <c r="GV47" i="10" l="1"/>
  <c r="E109" i="8"/>
  <c r="D110" i="8" s="1"/>
  <c r="G109" i="8"/>
  <c r="K108" i="8"/>
  <c r="I107" i="8"/>
  <c r="GW47" i="10" l="1"/>
  <c r="GV48" i="10" s="1"/>
  <c r="GY47" i="10"/>
  <c r="HA47" i="10" s="1"/>
  <c r="K109" i="8"/>
  <c r="I108" i="8"/>
  <c r="G110" i="8"/>
  <c r="E110" i="8"/>
  <c r="D111" i="8" s="1"/>
  <c r="GW48" i="10" l="1"/>
  <c r="GV49" i="10" s="1"/>
  <c r="GY48" i="10"/>
  <c r="HA48" i="10" s="1"/>
  <c r="E111" i="8"/>
  <c r="D112" i="8" s="1"/>
  <c r="G111" i="8"/>
  <c r="K110" i="8"/>
  <c r="I109" i="8"/>
  <c r="GW49" i="10" l="1"/>
  <c r="GV50" i="10" s="1"/>
  <c r="GY49" i="10"/>
  <c r="HA49" i="10" s="1"/>
  <c r="K111" i="8"/>
  <c r="I110" i="8"/>
  <c r="G112" i="8"/>
  <c r="E112" i="8"/>
  <c r="D113" i="8" s="1"/>
  <c r="GW50" i="10" l="1"/>
  <c r="GV51" i="10" s="1"/>
  <c r="GY50" i="10"/>
  <c r="HA50" i="10" s="1"/>
  <c r="E113" i="8"/>
  <c r="D114" i="8" s="1"/>
  <c r="G113" i="8"/>
  <c r="K112" i="8"/>
  <c r="I111" i="8"/>
  <c r="GW51" i="10" l="1"/>
  <c r="GV52" i="10" s="1"/>
  <c r="GY51" i="10"/>
  <c r="HA51" i="10" s="1"/>
  <c r="K113" i="8"/>
  <c r="I112" i="8"/>
  <c r="G114" i="8"/>
  <c r="E114" i="8"/>
  <c r="D115" i="8" s="1"/>
  <c r="GW52" i="10" l="1"/>
  <c r="GY52" i="10"/>
  <c r="HA52" i="10" s="1"/>
  <c r="GS53" i="10" s="1"/>
  <c r="E115" i="8"/>
  <c r="D116" i="8" s="1"/>
  <c r="G115" i="8"/>
  <c r="K114" i="8"/>
  <c r="I113" i="8"/>
  <c r="GV53" i="10" l="1"/>
  <c r="HC42" i="10"/>
  <c r="K115" i="8"/>
  <c r="I114" i="8"/>
  <c r="G116" i="8"/>
  <c r="E116" i="8"/>
  <c r="D117" i="8" s="1"/>
  <c r="HC47" i="10" l="1"/>
  <c r="HF47" i="10" s="1"/>
  <c r="HG47" i="10" s="1"/>
  <c r="HF48" i="10" s="1"/>
  <c r="HG48" i="10" s="1"/>
  <c r="HF49" i="10" s="1"/>
  <c r="HG49" i="10" s="1"/>
  <c r="HF50" i="10" s="1"/>
  <c r="HG50" i="10" s="1"/>
  <c r="HF51" i="10" s="1"/>
  <c r="HG51" i="10" s="1"/>
  <c r="HF52" i="10" s="1"/>
  <c r="HG52" i="10" s="1"/>
  <c r="HF43" i="10"/>
  <c r="HG43" i="10" s="1"/>
  <c r="HF44" i="10" s="1"/>
  <c r="HG44" i="10" s="1"/>
  <c r="HF45" i="10" s="1"/>
  <c r="HG45" i="10" s="1"/>
  <c r="HF46" i="10" s="1"/>
  <c r="HG46" i="10" s="1"/>
  <c r="HI44" i="10"/>
  <c r="HK44" i="10" s="1"/>
  <c r="HI45" i="10"/>
  <c r="HK45" i="10" s="1"/>
  <c r="HI47" i="10"/>
  <c r="HK47" i="10" s="1"/>
  <c r="HI49" i="10"/>
  <c r="HK49" i="10" s="1"/>
  <c r="HC53" i="10"/>
  <c r="HI52" i="10"/>
  <c r="HK52" i="10" s="1"/>
  <c r="HI46" i="10"/>
  <c r="HK46" i="10" s="1"/>
  <c r="HI43" i="10"/>
  <c r="HK43" i="10" s="1"/>
  <c r="HI48" i="10"/>
  <c r="HK48" i="10" s="1"/>
  <c r="HI50" i="10"/>
  <c r="HK50" i="10" s="1"/>
  <c r="GW53" i="10"/>
  <c r="GV54" i="10" s="1"/>
  <c r="GY53" i="10"/>
  <c r="HA53" i="10" s="1"/>
  <c r="G117" i="8"/>
  <c r="E117" i="8"/>
  <c r="D118" i="8" s="1"/>
  <c r="K116" i="8"/>
  <c r="I115" i="8"/>
  <c r="GW54" i="10" l="1"/>
  <c r="GV55" i="10" s="1"/>
  <c r="GY54" i="10"/>
  <c r="HA54" i="10" s="1"/>
  <c r="HI51" i="10"/>
  <c r="HK51" i="10" s="1"/>
  <c r="HM42" i="10"/>
  <c r="K117" i="8"/>
  <c r="I116" i="8"/>
  <c r="G118" i="8"/>
  <c r="E118" i="8"/>
  <c r="D119" i="8" s="1"/>
  <c r="HS44" i="10" l="1"/>
  <c r="HU44" i="10" s="1"/>
  <c r="HM47" i="10"/>
  <c r="HP47" i="10" s="1"/>
  <c r="HQ47" i="10" s="1"/>
  <c r="HP48" i="10" s="1"/>
  <c r="HQ48" i="10" s="1"/>
  <c r="HP49" i="10" s="1"/>
  <c r="HQ49" i="10" s="1"/>
  <c r="HP50" i="10" s="1"/>
  <c r="HQ50" i="10" s="1"/>
  <c r="HP51" i="10" s="1"/>
  <c r="HQ51" i="10" s="1"/>
  <c r="HP52" i="10" s="1"/>
  <c r="HQ52" i="10" s="1"/>
  <c r="HS45" i="10"/>
  <c r="HU45" i="10" s="1"/>
  <c r="HS48" i="10"/>
  <c r="HU48" i="10" s="1"/>
  <c r="HS49" i="10"/>
  <c r="HU49" i="10" s="1"/>
  <c r="HS52" i="10"/>
  <c r="HU52" i="10" s="1"/>
  <c r="HM53" i="10"/>
  <c r="HS51" i="10"/>
  <c r="HU51" i="10" s="1"/>
  <c r="HP43" i="10"/>
  <c r="HQ43" i="10" s="1"/>
  <c r="HP44" i="10" s="1"/>
  <c r="HQ44" i="10" s="1"/>
  <c r="HP45" i="10" s="1"/>
  <c r="HQ45" i="10" s="1"/>
  <c r="HP46" i="10" s="1"/>
  <c r="HQ46" i="10" s="1"/>
  <c r="GW55" i="10"/>
  <c r="GV56" i="10" s="1"/>
  <c r="GY55" i="10"/>
  <c r="HA55" i="10" s="1"/>
  <c r="K118" i="8"/>
  <c r="I117" i="8"/>
  <c r="E119" i="8"/>
  <c r="D120" i="8" s="1"/>
  <c r="G119" i="8"/>
  <c r="HS46" i="10" l="1"/>
  <c r="HU46" i="10" s="1"/>
  <c r="HS47" i="10"/>
  <c r="HU47" i="10" s="1"/>
  <c r="GW56" i="10"/>
  <c r="GY56" i="10"/>
  <c r="HA56" i="10" s="1"/>
  <c r="HW42" i="10"/>
  <c r="HS50" i="10"/>
  <c r="HU50" i="10" s="1"/>
  <c r="HS43" i="10"/>
  <c r="HU43" i="10" s="1"/>
  <c r="G120" i="8"/>
  <c r="E120" i="8"/>
  <c r="D121" i="8" s="1"/>
  <c r="K119" i="8"/>
  <c r="I118" i="8"/>
  <c r="IC44" i="10" l="1"/>
  <c r="IE44" i="10" s="1"/>
  <c r="HZ43" i="10"/>
  <c r="IA43" i="10" s="1"/>
  <c r="HZ44" i="10" s="1"/>
  <c r="IA44" i="10" s="1"/>
  <c r="HZ45" i="10" s="1"/>
  <c r="IA45" i="10" s="1"/>
  <c r="HZ46" i="10" s="1"/>
  <c r="IA46" i="10" s="1"/>
  <c r="IC43" i="10"/>
  <c r="IE43" i="10" s="1"/>
  <c r="IC45" i="10"/>
  <c r="IE45" i="10" s="1"/>
  <c r="IC47" i="10"/>
  <c r="IE47" i="10" s="1"/>
  <c r="IC46" i="10"/>
  <c r="IE46" i="10" s="1"/>
  <c r="HW47" i="10"/>
  <c r="HZ47" i="10" s="1"/>
  <c r="IA47" i="10" s="1"/>
  <c r="HZ48" i="10" s="1"/>
  <c r="IA48" i="10" s="1"/>
  <c r="HZ49" i="10" s="1"/>
  <c r="IA49" i="10" s="1"/>
  <c r="HZ50" i="10" s="1"/>
  <c r="IA50" i="10" s="1"/>
  <c r="HZ51" i="10" s="1"/>
  <c r="IA51" i="10" s="1"/>
  <c r="HZ52" i="10" s="1"/>
  <c r="IA52" i="10" s="1"/>
  <c r="HW53" i="10"/>
  <c r="GY63" i="10"/>
  <c r="HA63" i="10" s="1"/>
  <c r="GY64" i="10"/>
  <c r="HA64" i="10" s="1"/>
  <c r="GY61" i="10"/>
  <c r="HA61" i="10" s="1"/>
  <c r="GY62" i="10"/>
  <c r="HA62" i="10" s="1"/>
  <c r="GY65" i="10"/>
  <c r="HA65" i="10" s="1"/>
  <c r="GY66" i="10"/>
  <c r="HA66" i="10" s="1"/>
  <c r="GY60" i="10"/>
  <c r="HA60" i="10" s="1"/>
  <c r="GV57" i="10"/>
  <c r="HF53" i="10"/>
  <c r="K120" i="8"/>
  <c r="I119" i="8"/>
  <c r="G121" i="8"/>
  <c r="E121" i="8"/>
  <c r="D122" i="8" s="1"/>
  <c r="IG42" i="10" l="1"/>
  <c r="HG53" i="10"/>
  <c r="HF54" i="10" s="1"/>
  <c r="HI53" i="10"/>
  <c r="HK53" i="10" s="1"/>
  <c r="IC48" i="10"/>
  <c r="IE48" i="10" s="1"/>
  <c r="GW57" i="10"/>
  <c r="GV58" i="10" s="1"/>
  <c r="GY57" i="10"/>
  <c r="HA57" i="10" s="1"/>
  <c r="IC50" i="10"/>
  <c r="IE50" i="10" s="1"/>
  <c r="IC52" i="10"/>
  <c r="IE52" i="10" s="1"/>
  <c r="IC49" i="10"/>
  <c r="IE49" i="10" s="1"/>
  <c r="IC51" i="10"/>
  <c r="IE51" i="10" s="1"/>
  <c r="E122" i="8"/>
  <c r="D123" i="8" s="1"/>
  <c r="G122" i="8"/>
  <c r="K121" i="8"/>
  <c r="I120" i="8"/>
  <c r="GW58" i="10" l="1"/>
  <c r="GV59" i="10" s="1"/>
  <c r="GY58" i="10"/>
  <c r="HA58" i="10" s="1"/>
  <c r="HG54" i="10"/>
  <c r="HF55" i="10" s="1"/>
  <c r="HI54" i="10"/>
  <c r="HK54" i="10" s="1"/>
  <c r="K122" i="8"/>
  <c r="I121" i="8"/>
  <c r="E123" i="8"/>
  <c r="D124" i="8" s="1"/>
  <c r="G123" i="8"/>
  <c r="HG55" i="10" l="1"/>
  <c r="HF56" i="10" s="1"/>
  <c r="HI55" i="10"/>
  <c r="HK55" i="10" s="1"/>
  <c r="GW59" i="10"/>
  <c r="GV60" i="10" s="1"/>
  <c r="GW60" i="10" s="1"/>
  <c r="GV61" i="10" s="1"/>
  <c r="GW61" i="10" s="1"/>
  <c r="GV62" i="10" s="1"/>
  <c r="GW62" i="10" s="1"/>
  <c r="GV63" i="10" s="1"/>
  <c r="GW63" i="10" s="1"/>
  <c r="GV64" i="10" s="1"/>
  <c r="GW64" i="10" s="1"/>
  <c r="GV65" i="10" s="1"/>
  <c r="GW65" i="10" s="1"/>
  <c r="GV66" i="10" s="1"/>
  <c r="GW66" i="10" s="1"/>
  <c r="GY59" i="10"/>
  <c r="HA59" i="10" s="1"/>
  <c r="E124" i="8"/>
  <c r="D125" i="8" s="1"/>
  <c r="G124" i="8"/>
  <c r="K123" i="8"/>
  <c r="I122" i="8"/>
  <c r="HG56" i="10" l="1"/>
  <c r="HI56" i="10"/>
  <c r="HK56" i="10" s="1"/>
  <c r="E125" i="8"/>
  <c r="D126" i="8" s="1"/>
  <c r="G125" i="8"/>
  <c r="K124" i="8"/>
  <c r="I123" i="8"/>
  <c r="HI63" i="10" l="1"/>
  <c r="HK63" i="10" s="1"/>
  <c r="HI65" i="10"/>
  <c r="HK65" i="10" s="1"/>
  <c r="HI66" i="10"/>
  <c r="HK66" i="10" s="1"/>
  <c r="HI62" i="10"/>
  <c r="HK62" i="10" s="1"/>
  <c r="HI64" i="10"/>
  <c r="HK64" i="10" s="1"/>
  <c r="HI60" i="10"/>
  <c r="HK60" i="10" s="1"/>
  <c r="HI61" i="10"/>
  <c r="HK61" i="10" s="1"/>
  <c r="HF57" i="10"/>
  <c r="HP53" i="10"/>
  <c r="K125" i="8"/>
  <c r="I124" i="8"/>
  <c r="G126" i="8"/>
  <c r="E126" i="8"/>
  <c r="D127" i="8" s="1"/>
  <c r="HQ53" i="10" l="1"/>
  <c r="HP54" i="10" s="1"/>
  <c r="HS53" i="10"/>
  <c r="HU53" i="10" s="1"/>
  <c r="HG57" i="10"/>
  <c r="HF58" i="10" s="1"/>
  <c r="HI57" i="10"/>
  <c r="HK57" i="10" s="1"/>
  <c r="G127" i="8"/>
  <c r="E127" i="8"/>
  <c r="D128" i="8" s="1"/>
  <c r="K126" i="8"/>
  <c r="I125" i="8"/>
  <c r="HG58" i="10" l="1"/>
  <c r="HF59" i="10" s="1"/>
  <c r="HI58" i="10"/>
  <c r="HK58" i="10" s="1"/>
  <c r="HQ54" i="10"/>
  <c r="HP55" i="10" s="1"/>
  <c r="HS54" i="10"/>
  <c r="HU54" i="10" s="1"/>
  <c r="K127" i="8"/>
  <c r="I126" i="8"/>
  <c r="G128" i="8"/>
  <c r="E128" i="8"/>
  <c r="D129" i="8" s="1"/>
  <c r="HQ55" i="10" l="1"/>
  <c r="HP56" i="10" s="1"/>
  <c r="HS55" i="10"/>
  <c r="HU55" i="10" s="1"/>
  <c r="HG59" i="10"/>
  <c r="HF60" i="10" s="1"/>
  <c r="HG60" i="10" s="1"/>
  <c r="HF61" i="10" s="1"/>
  <c r="HG61" i="10" s="1"/>
  <c r="HF62" i="10" s="1"/>
  <c r="HG62" i="10" s="1"/>
  <c r="HF63" i="10" s="1"/>
  <c r="HG63" i="10" s="1"/>
  <c r="HF64" i="10" s="1"/>
  <c r="HG64" i="10" s="1"/>
  <c r="HF65" i="10" s="1"/>
  <c r="HG65" i="10" s="1"/>
  <c r="HF66" i="10" s="1"/>
  <c r="HG66" i="10" s="1"/>
  <c r="HI59" i="10"/>
  <c r="HK59" i="10" s="1"/>
  <c r="G129" i="8"/>
  <c r="E129" i="8"/>
  <c r="D130" i="8" s="1"/>
  <c r="K128" i="8"/>
  <c r="I127" i="8"/>
  <c r="HQ56" i="10" l="1"/>
  <c r="HS56" i="10"/>
  <c r="HU56" i="10" s="1"/>
  <c r="K129" i="8"/>
  <c r="I128" i="8"/>
  <c r="E130" i="8"/>
  <c r="D131" i="8" s="1"/>
  <c r="G130" i="8"/>
  <c r="HS64" i="10" l="1"/>
  <c r="HU64" i="10" s="1"/>
  <c r="HS66" i="10"/>
  <c r="HU66" i="10" s="1"/>
  <c r="HS63" i="10"/>
  <c r="HU63" i="10" s="1"/>
  <c r="HS60" i="10"/>
  <c r="HU60" i="10" s="1"/>
  <c r="HS65" i="10"/>
  <c r="HU65" i="10" s="1"/>
  <c r="HS62" i="10"/>
  <c r="HU62" i="10" s="1"/>
  <c r="HS61" i="10"/>
  <c r="HU61" i="10" s="1"/>
  <c r="HP57" i="10"/>
  <c r="HZ53" i="10"/>
  <c r="K130" i="8"/>
  <c r="I129" i="8"/>
  <c r="G131" i="8"/>
  <c r="E131" i="8"/>
  <c r="D132" i="8" s="1"/>
  <c r="IA53" i="10" l="1"/>
  <c r="HZ54" i="10" s="1"/>
  <c r="IC53" i="10"/>
  <c r="IE53" i="10" s="1"/>
  <c r="HQ57" i="10"/>
  <c r="HP58" i="10" s="1"/>
  <c r="HS57" i="10"/>
  <c r="HU57" i="10" s="1"/>
  <c r="K131" i="8"/>
  <c r="I130" i="8"/>
  <c r="G132" i="8"/>
  <c r="E132" i="8"/>
  <c r="D133" i="8" s="1"/>
  <c r="HQ58" i="10" l="1"/>
  <c r="HP59" i="10" s="1"/>
  <c r="HS58" i="10"/>
  <c r="HU58" i="10" s="1"/>
  <c r="IA54" i="10"/>
  <c r="HZ55" i="10" s="1"/>
  <c r="IC54" i="10"/>
  <c r="IE54" i="10" s="1"/>
  <c r="G133" i="8"/>
  <c r="E133" i="8"/>
  <c r="D134" i="8" s="1"/>
  <c r="K132" i="8"/>
  <c r="I131" i="8"/>
  <c r="IA55" i="10" l="1"/>
  <c r="HZ56" i="10" s="1"/>
  <c r="IC55" i="10"/>
  <c r="IE55" i="10" s="1"/>
  <c r="HQ59" i="10"/>
  <c r="HP60" i="10" s="1"/>
  <c r="HQ60" i="10" s="1"/>
  <c r="HP61" i="10" s="1"/>
  <c r="HQ61" i="10" s="1"/>
  <c r="HP62" i="10" s="1"/>
  <c r="HQ62" i="10" s="1"/>
  <c r="HP63" i="10" s="1"/>
  <c r="HQ63" i="10" s="1"/>
  <c r="HP64" i="10" s="1"/>
  <c r="HQ64" i="10" s="1"/>
  <c r="HP65" i="10" s="1"/>
  <c r="HQ65" i="10" s="1"/>
  <c r="HP66" i="10" s="1"/>
  <c r="HQ66" i="10" s="1"/>
  <c r="HS59" i="10"/>
  <c r="HU59" i="10" s="1"/>
  <c r="K133" i="8"/>
  <c r="I132" i="8"/>
  <c r="E134" i="8"/>
  <c r="D135" i="8" s="1"/>
  <c r="G134" i="8"/>
  <c r="IA56" i="10" l="1"/>
  <c r="IC56" i="10"/>
  <c r="IE56" i="10" s="1"/>
  <c r="E135" i="8"/>
  <c r="D136" i="8" s="1"/>
  <c r="G135" i="8"/>
  <c r="K134" i="8"/>
  <c r="I133" i="8"/>
  <c r="IC66" i="10" l="1"/>
  <c r="IE66" i="10" s="1"/>
  <c r="IC63" i="10"/>
  <c r="IE63" i="10" s="1"/>
  <c r="IC64" i="10"/>
  <c r="IE64" i="10" s="1"/>
  <c r="IC60" i="10"/>
  <c r="IE60" i="10" s="1"/>
  <c r="IC59" i="10"/>
  <c r="IE59" i="10" s="1"/>
  <c r="IC65" i="10"/>
  <c r="IE65" i="10" s="1"/>
  <c r="IC61" i="10"/>
  <c r="IE61" i="10" s="1"/>
  <c r="IC62" i="10"/>
  <c r="IE62" i="10" s="1"/>
  <c r="HZ57" i="10"/>
  <c r="IJ43" i="10"/>
  <c r="K135" i="8"/>
  <c r="I134" i="8"/>
  <c r="E136" i="8"/>
  <c r="D137" i="8" s="1"/>
  <c r="G136" i="8"/>
  <c r="IK43" i="10" l="1"/>
  <c r="IJ44" i="10" s="1"/>
  <c r="IM43" i="10"/>
  <c r="IO43" i="10" s="1"/>
  <c r="IA57" i="10"/>
  <c r="HZ58" i="10" s="1"/>
  <c r="IC57" i="10"/>
  <c r="IE57" i="10" s="1"/>
  <c r="E137" i="8"/>
  <c r="D138" i="8" s="1"/>
  <c r="G137" i="8"/>
  <c r="K136" i="8"/>
  <c r="I135" i="8"/>
  <c r="IA58" i="10" l="1"/>
  <c r="HZ59" i="10" s="1"/>
  <c r="IA59" i="10" s="1"/>
  <c r="HZ60" i="10" s="1"/>
  <c r="IA60" i="10" s="1"/>
  <c r="HZ61" i="10" s="1"/>
  <c r="IA61" i="10" s="1"/>
  <c r="HZ62" i="10" s="1"/>
  <c r="IA62" i="10" s="1"/>
  <c r="HZ63" i="10" s="1"/>
  <c r="IA63" i="10" s="1"/>
  <c r="HZ64" i="10" s="1"/>
  <c r="IA64" i="10" s="1"/>
  <c r="HZ65" i="10" s="1"/>
  <c r="IA65" i="10" s="1"/>
  <c r="HZ66" i="10" s="1"/>
  <c r="IA66" i="10" s="1"/>
  <c r="IC58" i="10"/>
  <c r="IE58" i="10" s="1"/>
  <c r="IK44" i="10"/>
  <c r="IJ45" i="10" s="1"/>
  <c r="IM44" i="10"/>
  <c r="IO44" i="10" s="1"/>
  <c r="K137" i="8"/>
  <c r="I136" i="8"/>
  <c r="G138" i="8"/>
  <c r="E138" i="8"/>
  <c r="D139" i="8" s="1"/>
  <c r="IK45" i="10" l="1"/>
  <c r="IJ46" i="10" s="1"/>
  <c r="IM45" i="10"/>
  <c r="IO45" i="10" s="1"/>
  <c r="K138" i="8"/>
  <c r="I137" i="8"/>
  <c r="E139" i="8"/>
  <c r="D140" i="8" s="1"/>
  <c r="G139" i="8"/>
  <c r="IK46" i="10" l="1"/>
  <c r="IM46" i="10"/>
  <c r="IO46" i="10" s="1"/>
  <c r="IG47" i="10" s="1"/>
  <c r="K139" i="8"/>
  <c r="I138" i="8"/>
  <c r="G140" i="8"/>
  <c r="E140" i="8"/>
  <c r="D141" i="8" s="1"/>
  <c r="IJ47" i="10" l="1"/>
  <c r="E141" i="8"/>
  <c r="D142" i="8" s="1"/>
  <c r="G141" i="8"/>
  <c r="K140" i="8"/>
  <c r="I139" i="8"/>
  <c r="IK47" i="10" l="1"/>
  <c r="IJ48" i="10" s="1"/>
  <c r="IM47" i="10"/>
  <c r="IO47" i="10" s="1"/>
  <c r="K141" i="8"/>
  <c r="I140" i="8"/>
  <c r="G142" i="8"/>
  <c r="E142" i="8"/>
  <c r="D143" i="8" s="1"/>
  <c r="IK48" i="10" l="1"/>
  <c r="IJ49" i="10" s="1"/>
  <c r="IM48" i="10"/>
  <c r="IO48" i="10" s="1"/>
  <c r="K142" i="8"/>
  <c r="I141" i="8"/>
  <c r="E143" i="8"/>
  <c r="D144" i="8" s="1"/>
  <c r="G143" i="8"/>
  <c r="IK49" i="10" l="1"/>
  <c r="IJ50" i="10" s="1"/>
  <c r="IM49" i="10"/>
  <c r="IO49" i="10" s="1"/>
  <c r="G144" i="8"/>
  <c r="E144" i="8"/>
  <c r="D145" i="8" s="1"/>
  <c r="K143" i="8"/>
  <c r="I142" i="8"/>
  <c r="IK50" i="10" l="1"/>
  <c r="IJ51" i="10" s="1"/>
  <c r="IM50" i="10"/>
  <c r="IO50" i="10" s="1"/>
  <c r="K144" i="8"/>
  <c r="I143" i="8"/>
  <c r="E145" i="8"/>
  <c r="D146" i="8" s="1"/>
  <c r="G145" i="8"/>
  <c r="IK51" i="10" l="1"/>
  <c r="IJ52" i="10" s="1"/>
  <c r="IM51" i="10"/>
  <c r="IO51" i="10" s="1"/>
  <c r="G146" i="8"/>
  <c r="E146" i="8"/>
  <c r="D147" i="8" s="1"/>
  <c r="K145" i="8"/>
  <c r="I144" i="8"/>
  <c r="IK52" i="10" l="1"/>
  <c r="IM52" i="10"/>
  <c r="IO52" i="10" s="1"/>
  <c r="IG53" i="10" s="1"/>
  <c r="E147" i="8"/>
  <c r="D148" i="8" s="1"/>
  <c r="G147" i="8"/>
  <c r="K146" i="8"/>
  <c r="I145" i="8"/>
  <c r="IJ53" i="10" l="1"/>
  <c r="IQ42" i="10"/>
  <c r="K147" i="8"/>
  <c r="I146" i="8"/>
  <c r="G148" i="8"/>
  <c r="E148" i="8"/>
  <c r="D149" i="8" s="1"/>
  <c r="IT43" i="10" l="1"/>
  <c r="IU43" i="10" s="1"/>
  <c r="IT44" i="10" s="1"/>
  <c r="IU44" i="10" s="1"/>
  <c r="IT45" i="10" s="1"/>
  <c r="IU45" i="10" s="1"/>
  <c r="IT46" i="10" s="1"/>
  <c r="IU46" i="10" s="1"/>
  <c r="IW43" i="10"/>
  <c r="IY43" i="10" s="1"/>
  <c r="IW44" i="10"/>
  <c r="IY44" i="10" s="1"/>
  <c r="IQ47" i="10"/>
  <c r="IT47" i="10" s="1"/>
  <c r="IU47" i="10" s="1"/>
  <c r="IT48" i="10" s="1"/>
  <c r="IU48" i="10" s="1"/>
  <c r="IT49" i="10" s="1"/>
  <c r="IU49" i="10" s="1"/>
  <c r="IT50" i="10" s="1"/>
  <c r="IU50" i="10" s="1"/>
  <c r="IT51" i="10" s="1"/>
  <c r="IU51" i="10" s="1"/>
  <c r="IT52" i="10" s="1"/>
  <c r="IU52" i="10" s="1"/>
  <c r="IW46" i="10"/>
  <c r="IY46" i="10" s="1"/>
  <c r="IW48" i="10"/>
  <c r="IY48" i="10" s="1"/>
  <c r="IW51" i="10"/>
  <c r="IY51" i="10" s="1"/>
  <c r="IW45" i="10"/>
  <c r="IY45" i="10" s="1"/>
  <c r="IQ53" i="10"/>
  <c r="IK53" i="10"/>
  <c r="IJ54" i="10" s="1"/>
  <c r="IM53" i="10"/>
  <c r="IO53" i="10" s="1"/>
  <c r="E149" i="8"/>
  <c r="D150" i="8" s="1"/>
  <c r="G149" i="8"/>
  <c r="K148" i="8"/>
  <c r="I147" i="8"/>
  <c r="IW47" i="10" l="1"/>
  <c r="IY47" i="10" s="1"/>
  <c r="IW49" i="10"/>
  <c r="IY49" i="10" s="1"/>
  <c r="IK54" i="10"/>
  <c r="IJ55" i="10" s="1"/>
  <c r="IM54" i="10"/>
  <c r="IO54" i="10" s="1"/>
  <c r="IW52" i="10"/>
  <c r="IY52" i="10" s="1"/>
  <c r="IW50" i="10"/>
  <c r="IY50" i="10" s="1"/>
  <c r="JA42" i="10"/>
  <c r="K149" i="8"/>
  <c r="I148" i="8"/>
  <c r="G150" i="8"/>
  <c r="E150" i="8"/>
  <c r="D151" i="8" s="1"/>
  <c r="JD43" i="10" l="1"/>
  <c r="JE43" i="10" s="1"/>
  <c r="JD44" i="10" s="1"/>
  <c r="JE44" i="10" s="1"/>
  <c r="JD45" i="10" s="1"/>
  <c r="JE45" i="10" s="1"/>
  <c r="JD46" i="10" s="1"/>
  <c r="JE46" i="10" s="1"/>
  <c r="JG45" i="10"/>
  <c r="JI45" i="10" s="1"/>
  <c r="JG44" i="10"/>
  <c r="JI44" i="10" s="1"/>
  <c r="JG47" i="10"/>
  <c r="JI47" i="10" s="1"/>
  <c r="JG43" i="10"/>
  <c r="JI43" i="10" s="1"/>
  <c r="JG46" i="10"/>
  <c r="JI46" i="10" s="1"/>
  <c r="JG48" i="10"/>
  <c r="JI48" i="10" s="1"/>
  <c r="JA47" i="10"/>
  <c r="JD47" i="10" s="1"/>
  <c r="JE47" i="10" s="1"/>
  <c r="JD48" i="10" s="1"/>
  <c r="JE48" i="10" s="1"/>
  <c r="JD49" i="10" s="1"/>
  <c r="JE49" i="10" s="1"/>
  <c r="JD50" i="10" s="1"/>
  <c r="JE50" i="10" s="1"/>
  <c r="JD51" i="10" s="1"/>
  <c r="JE51" i="10" s="1"/>
  <c r="JD52" i="10" s="1"/>
  <c r="JE52" i="10" s="1"/>
  <c r="JG50" i="10"/>
  <c r="JI50" i="10" s="1"/>
  <c r="JG49" i="10"/>
  <c r="JI49" i="10" s="1"/>
  <c r="JG52" i="10"/>
  <c r="JI52" i="10" s="1"/>
  <c r="JA53" i="10"/>
  <c r="IK55" i="10"/>
  <c r="IJ56" i="10" s="1"/>
  <c r="IM55" i="10"/>
  <c r="IO55" i="10" s="1"/>
  <c r="E151" i="8"/>
  <c r="D152" i="8" s="1"/>
  <c r="G151" i="8"/>
  <c r="K150" i="8"/>
  <c r="I149" i="8"/>
  <c r="IK56" i="10" l="1"/>
  <c r="IM56" i="10"/>
  <c r="IO56" i="10" s="1"/>
  <c r="JG51" i="10"/>
  <c r="JI51" i="10" s="1"/>
  <c r="JK42" i="10"/>
  <c r="K151" i="8"/>
  <c r="I150" i="8"/>
  <c r="G152" i="8"/>
  <c r="E152" i="8"/>
  <c r="D153" i="8" s="1"/>
  <c r="IM65" i="10" l="1"/>
  <c r="IO65" i="10" s="1"/>
  <c r="IM60" i="10"/>
  <c r="IO60" i="10" s="1"/>
  <c r="IM62" i="10"/>
  <c r="IO62" i="10" s="1"/>
  <c r="IM64" i="10"/>
  <c r="IO64" i="10" s="1"/>
  <c r="IM63" i="10"/>
  <c r="IO63" i="10" s="1"/>
  <c r="IM66" i="10"/>
  <c r="IO66" i="10" s="1"/>
  <c r="IM61" i="10"/>
  <c r="IO61" i="10" s="1"/>
  <c r="IJ57" i="10"/>
  <c r="IT53" i="10"/>
  <c r="JN43" i="10"/>
  <c r="JO43" i="10" s="1"/>
  <c r="JN44" i="10" s="1"/>
  <c r="JO44" i="10" s="1"/>
  <c r="JN45" i="10" s="1"/>
  <c r="JO45" i="10" s="1"/>
  <c r="JN46" i="10" s="1"/>
  <c r="JO46" i="10" s="1"/>
  <c r="JQ47" i="10"/>
  <c r="JS47" i="10" s="1"/>
  <c r="JK47" i="10"/>
  <c r="JN47" i="10" s="1"/>
  <c r="JO47" i="10" s="1"/>
  <c r="JN48" i="10" s="1"/>
  <c r="JO48" i="10" s="1"/>
  <c r="JN49" i="10" s="1"/>
  <c r="JO49" i="10" s="1"/>
  <c r="JN50" i="10" s="1"/>
  <c r="JO50" i="10" s="1"/>
  <c r="JN51" i="10" s="1"/>
  <c r="JO51" i="10" s="1"/>
  <c r="JN52" i="10" s="1"/>
  <c r="JO52" i="10" s="1"/>
  <c r="JQ48" i="10"/>
  <c r="JS48" i="10" s="1"/>
  <c r="JK53" i="10"/>
  <c r="JQ49" i="10"/>
  <c r="JS49" i="10" s="1"/>
  <c r="JQ50" i="10"/>
  <c r="JS50" i="10" s="1"/>
  <c r="JQ51" i="10"/>
  <c r="JS51" i="10" s="1"/>
  <c r="JQ52" i="10"/>
  <c r="JS52" i="10" s="1"/>
  <c r="G153" i="8"/>
  <c r="E153" i="8"/>
  <c r="D154" i="8" s="1"/>
  <c r="K152" i="8"/>
  <c r="I151" i="8"/>
  <c r="JQ43" i="10" l="1"/>
  <c r="JS43" i="10" s="1"/>
  <c r="JU42" i="10"/>
  <c r="IU53" i="10"/>
  <c r="IT54" i="10" s="1"/>
  <c r="IW53" i="10"/>
  <c r="IY53" i="10" s="1"/>
  <c r="JQ44" i="10"/>
  <c r="JS44" i="10" s="1"/>
  <c r="IK57" i="10"/>
  <c r="IJ58" i="10" s="1"/>
  <c r="IM57" i="10"/>
  <c r="IO57" i="10" s="1"/>
  <c r="JQ45" i="10"/>
  <c r="JS45" i="10" s="1"/>
  <c r="JQ46" i="10"/>
  <c r="JS46" i="10" s="1"/>
  <c r="K153" i="8"/>
  <c r="I152" i="8"/>
  <c r="G154" i="8"/>
  <c r="E154" i="8"/>
  <c r="D155" i="8" s="1"/>
  <c r="IU54" i="10" l="1"/>
  <c r="IT55" i="10" s="1"/>
  <c r="IW54" i="10"/>
  <c r="IY54" i="10" s="1"/>
  <c r="IK58" i="10"/>
  <c r="IJ59" i="10" s="1"/>
  <c r="IM58" i="10"/>
  <c r="IO58" i="10" s="1"/>
  <c r="E155" i="8"/>
  <c r="D156" i="8" s="1"/>
  <c r="G155" i="8"/>
  <c r="K154" i="8"/>
  <c r="I153" i="8"/>
  <c r="IK59" i="10" l="1"/>
  <c r="IJ60" i="10" s="1"/>
  <c r="IK60" i="10" s="1"/>
  <c r="IJ61" i="10" s="1"/>
  <c r="IK61" i="10" s="1"/>
  <c r="IJ62" i="10" s="1"/>
  <c r="IK62" i="10" s="1"/>
  <c r="IJ63" i="10" s="1"/>
  <c r="IK63" i="10" s="1"/>
  <c r="IJ64" i="10" s="1"/>
  <c r="IK64" i="10" s="1"/>
  <c r="IJ65" i="10" s="1"/>
  <c r="IK65" i="10" s="1"/>
  <c r="IJ66" i="10" s="1"/>
  <c r="IK66" i="10" s="1"/>
  <c r="IM59" i="10"/>
  <c r="IO59" i="10" s="1"/>
  <c r="IU55" i="10"/>
  <c r="IT56" i="10" s="1"/>
  <c r="IW55" i="10"/>
  <c r="IY55" i="10" s="1"/>
  <c r="K155" i="8"/>
  <c r="I154" i="8"/>
  <c r="G156" i="8"/>
  <c r="E156" i="8"/>
  <c r="D157" i="8" s="1"/>
  <c r="IU56" i="10" l="1"/>
  <c r="IW56" i="10"/>
  <c r="IY56" i="10" s="1"/>
  <c r="G157" i="8"/>
  <c r="E157" i="8"/>
  <c r="D158" i="8" s="1"/>
  <c r="K156" i="8"/>
  <c r="I155" i="8"/>
  <c r="IW64" i="10" l="1"/>
  <c r="IY64" i="10" s="1"/>
  <c r="IW65" i="10"/>
  <c r="IY65" i="10" s="1"/>
  <c r="IW66" i="10"/>
  <c r="IY66" i="10" s="1"/>
  <c r="IW62" i="10"/>
  <c r="IY62" i="10" s="1"/>
  <c r="IW60" i="10"/>
  <c r="IY60" i="10" s="1"/>
  <c r="IW61" i="10"/>
  <c r="IY61" i="10" s="1"/>
  <c r="IW63" i="10"/>
  <c r="IY63" i="10" s="1"/>
  <c r="IT57" i="10"/>
  <c r="JD53" i="10"/>
  <c r="K157" i="8"/>
  <c r="I156" i="8"/>
  <c r="E158" i="8"/>
  <c r="D159" i="8" s="1"/>
  <c r="G158" i="8"/>
  <c r="JE53" i="10" l="1"/>
  <c r="JD54" i="10" s="1"/>
  <c r="JG53" i="10"/>
  <c r="JI53" i="10" s="1"/>
  <c r="IU57" i="10"/>
  <c r="IT58" i="10" s="1"/>
  <c r="IW57" i="10"/>
  <c r="IY57" i="10" s="1"/>
  <c r="E159" i="8"/>
  <c r="D160" i="8" s="1"/>
  <c r="G159" i="8"/>
  <c r="K158" i="8"/>
  <c r="I157" i="8"/>
  <c r="IU58" i="10" l="1"/>
  <c r="IT59" i="10" s="1"/>
  <c r="IW58" i="10"/>
  <c r="IY58" i="10" s="1"/>
  <c r="JE54" i="10"/>
  <c r="JD55" i="10" s="1"/>
  <c r="JG54" i="10"/>
  <c r="JI54" i="10" s="1"/>
  <c r="K159" i="8"/>
  <c r="I158" i="8"/>
  <c r="G160" i="8"/>
  <c r="E160" i="8"/>
  <c r="D161" i="8" s="1"/>
  <c r="JE55" i="10" l="1"/>
  <c r="JD56" i="10" s="1"/>
  <c r="JG55" i="10"/>
  <c r="JI55" i="10" s="1"/>
  <c r="IU59" i="10"/>
  <c r="IT60" i="10" s="1"/>
  <c r="IU60" i="10" s="1"/>
  <c r="IT61" i="10" s="1"/>
  <c r="IU61" i="10" s="1"/>
  <c r="IT62" i="10" s="1"/>
  <c r="IU62" i="10" s="1"/>
  <c r="IT63" i="10" s="1"/>
  <c r="IU63" i="10" s="1"/>
  <c r="IT64" i="10" s="1"/>
  <c r="IU64" i="10" s="1"/>
  <c r="IT65" i="10" s="1"/>
  <c r="IU65" i="10" s="1"/>
  <c r="IT66" i="10" s="1"/>
  <c r="IU66" i="10" s="1"/>
  <c r="IW59" i="10"/>
  <c r="IY59" i="10" s="1"/>
  <c r="K160" i="8"/>
  <c r="I159" i="8"/>
  <c r="E161" i="8"/>
  <c r="D162" i="8" s="1"/>
  <c r="G161" i="8"/>
  <c r="JE56" i="10" l="1"/>
  <c r="JG56" i="10"/>
  <c r="JI56" i="10" s="1"/>
  <c r="K161" i="8"/>
  <c r="I160" i="8"/>
  <c r="G162" i="8"/>
  <c r="E162" i="8"/>
  <c r="D163" i="8" s="1"/>
  <c r="JG63" i="10" l="1"/>
  <c r="JI63" i="10" s="1"/>
  <c r="JG60" i="10"/>
  <c r="JI60" i="10" s="1"/>
  <c r="JG65" i="10"/>
  <c r="JI65" i="10" s="1"/>
  <c r="JG62" i="10"/>
  <c r="JI62" i="10" s="1"/>
  <c r="JG61" i="10"/>
  <c r="JI61" i="10" s="1"/>
  <c r="JG66" i="10"/>
  <c r="JI66" i="10" s="1"/>
  <c r="JG64" i="10"/>
  <c r="JI64" i="10" s="1"/>
  <c r="JD57" i="10"/>
  <c r="JN53" i="10"/>
  <c r="K162" i="8"/>
  <c r="I161" i="8"/>
  <c r="E163" i="8"/>
  <c r="D164" i="8" s="1"/>
  <c r="G163" i="8"/>
  <c r="JO53" i="10" l="1"/>
  <c r="JN54" i="10" s="1"/>
  <c r="JQ53" i="10"/>
  <c r="JS53" i="10" s="1"/>
  <c r="JE57" i="10"/>
  <c r="JD58" i="10" s="1"/>
  <c r="JG57" i="10"/>
  <c r="JI57" i="10" s="1"/>
  <c r="G164" i="8"/>
  <c r="E164" i="8"/>
  <c r="D165" i="8" s="1"/>
  <c r="K163" i="8"/>
  <c r="I162" i="8"/>
  <c r="JE58" i="10" l="1"/>
  <c r="JD59" i="10" s="1"/>
  <c r="JG58" i="10"/>
  <c r="JI58" i="10" s="1"/>
  <c r="JO54" i="10"/>
  <c r="JN55" i="10" s="1"/>
  <c r="JQ54" i="10"/>
  <c r="JS54" i="10" s="1"/>
  <c r="E165" i="8"/>
  <c r="D166" i="8" s="1"/>
  <c r="G165" i="8"/>
  <c r="K164" i="8"/>
  <c r="I163" i="8"/>
  <c r="JO55" i="10" l="1"/>
  <c r="JN56" i="10" s="1"/>
  <c r="JQ55" i="10"/>
  <c r="JS55" i="10" s="1"/>
  <c r="JE59" i="10"/>
  <c r="JD60" i="10" s="1"/>
  <c r="JE60" i="10" s="1"/>
  <c r="JD61" i="10" s="1"/>
  <c r="JE61" i="10" s="1"/>
  <c r="JD62" i="10" s="1"/>
  <c r="JE62" i="10" s="1"/>
  <c r="JD63" i="10" s="1"/>
  <c r="JE63" i="10" s="1"/>
  <c r="JD64" i="10" s="1"/>
  <c r="JE64" i="10" s="1"/>
  <c r="JD65" i="10" s="1"/>
  <c r="JE65" i="10" s="1"/>
  <c r="JD66" i="10" s="1"/>
  <c r="JE66" i="10" s="1"/>
  <c r="JG59" i="10"/>
  <c r="JI59" i="10" s="1"/>
  <c r="K165" i="8"/>
  <c r="I164" i="8"/>
  <c r="G166" i="8"/>
  <c r="E166" i="8"/>
  <c r="D167" i="8" s="1"/>
  <c r="JO56" i="10" l="1"/>
  <c r="JQ56" i="10"/>
  <c r="JS56" i="10" s="1"/>
  <c r="K166" i="8"/>
  <c r="I165" i="8"/>
  <c r="E167" i="8"/>
  <c r="D168" i="8" s="1"/>
  <c r="G167" i="8"/>
  <c r="JQ61" i="10" l="1"/>
  <c r="JS61" i="10" s="1"/>
  <c r="JQ60" i="10"/>
  <c r="JS60" i="10" s="1"/>
  <c r="JQ66" i="10"/>
  <c r="JS66" i="10" s="1"/>
  <c r="JQ63" i="10"/>
  <c r="JS63" i="10" s="1"/>
  <c r="JQ64" i="10"/>
  <c r="JS64" i="10" s="1"/>
  <c r="JQ62" i="10"/>
  <c r="JS62" i="10" s="1"/>
  <c r="JQ65" i="10"/>
  <c r="JS65" i="10" s="1"/>
  <c r="JQ59" i="10"/>
  <c r="JS59" i="10" s="1"/>
  <c r="JN57" i="10"/>
  <c r="JX43" i="10"/>
  <c r="G168" i="8"/>
  <c r="E168" i="8"/>
  <c r="D169" i="8" s="1"/>
  <c r="K167" i="8"/>
  <c r="I166" i="8"/>
  <c r="JO57" i="10" l="1"/>
  <c r="JN58" i="10" s="1"/>
  <c r="JQ57" i="10"/>
  <c r="JS57" i="10" s="1"/>
  <c r="JY43" i="10"/>
  <c r="JX44" i="10" s="1"/>
  <c r="KA43" i="10"/>
  <c r="KC43" i="10" s="1"/>
  <c r="K168" i="8"/>
  <c r="I167" i="8"/>
  <c r="E169" i="8"/>
  <c r="D170" i="8" s="1"/>
  <c r="G169" i="8"/>
  <c r="JY44" i="10" l="1"/>
  <c r="JX45" i="10" s="1"/>
  <c r="KA44" i="10"/>
  <c r="KC44" i="10" s="1"/>
  <c r="JO58" i="10"/>
  <c r="JN59" i="10" s="1"/>
  <c r="JO59" i="10" s="1"/>
  <c r="JN60" i="10" s="1"/>
  <c r="JO60" i="10" s="1"/>
  <c r="JN61" i="10" s="1"/>
  <c r="JO61" i="10" s="1"/>
  <c r="JN62" i="10" s="1"/>
  <c r="JO62" i="10" s="1"/>
  <c r="JN63" i="10" s="1"/>
  <c r="JO63" i="10" s="1"/>
  <c r="JN64" i="10" s="1"/>
  <c r="JO64" i="10" s="1"/>
  <c r="JN65" i="10" s="1"/>
  <c r="JO65" i="10" s="1"/>
  <c r="JN66" i="10" s="1"/>
  <c r="JO66" i="10" s="1"/>
  <c r="JQ58" i="10"/>
  <c r="JS58" i="10" s="1"/>
  <c r="G170" i="8"/>
  <c r="E170" i="8"/>
  <c r="D171" i="8" s="1"/>
  <c r="K169" i="8"/>
  <c r="I168" i="8"/>
  <c r="JY45" i="10" l="1"/>
  <c r="JX46" i="10" s="1"/>
  <c r="KA45" i="10"/>
  <c r="KC45" i="10" s="1"/>
  <c r="K170" i="8"/>
  <c r="I169" i="8"/>
  <c r="E171" i="8"/>
  <c r="D172" i="8" s="1"/>
  <c r="G171" i="8"/>
  <c r="JY46" i="10" l="1"/>
  <c r="KA46" i="10"/>
  <c r="KC46" i="10" s="1"/>
  <c r="JU47" i="10" s="1"/>
  <c r="G172" i="8"/>
  <c r="E172" i="8"/>
  <c r="D173" i="8" s="1"/>
  <c r="K171" i="8"/>
  <c r="I170" i="8"/>
  <c r="JX47" i="10" l="1"/>
  <c r="E173" i="8"/>
  <c r="D174" i="8" s="1"/>
  <c r="G173" i="8"/>
  <c r="K172" i="8"/>
  <c r="I171" i="8"/>
  <c r="JY47" i="10" l="1"/>
  <c r="JX48" i="10" s="1"/>
  <c r="KA47" i="10"/>
  <c r="KC47" i="10" s="1"/>
  <c r="K173" i="8"/>
  <c r="I172" i="8"/>
  <c r="G174" i="8"/>
  <c r="E174" i="8"/>
  <c r="D175" i="8" s="1"/>
  <c r="JY48" i="10" l="1"/>
  <c r="JX49" i="10" s="1"/>
  <c r="KA48" i="10"/>
  <c r="KC48" i="10" s="1"/>
  <c r="E175" i="8"/>
  <c r="D176" i="8" s="1"/>
  <c r="G175" i="8"/>
  <c r="K174" i="8"/>
  <c r="I173" i="8"/>
  <c r="JY49" i="10" l="1"/>
  <c r="JX50" i="10" s="1"/>
  <c r="KA49" i="10"/>
  <c r="KC49" i="10" s="1"/>
  <c r="K175" i="8"/>
  <c r="I174" i="8"/>
  <c r="E176" i="8"/>
  <c r="D177" i="8" s="1"/>
  <c r="G176" i="8"/>
  <c r="JY50" i="10" l="1"/>
  <c r="JX51" i="10" s="1"/>
  <c r="KA50" i="10"/>
  <c r="KC50" i="10" s="1"/>
  <c r="E177" i="8"/>
  <c r="D178" i="8" s="1"/>
  <c r="G177" i="8"/>
  <c r="K176" i="8"/>
  <c r="I175" i="8"/>
  <c r="JY51" i="10" l="1"/>
  <c r="JX52" i="10" s="1"/>
  <c r="KA51" i="10"/>
  <c r="KC51" i="10" s="1"/>
  <c r="K177" i="8"/>
  <c r="I176" i="8"/>
  <c r="G178" i="8"/>
  <c r="E178" i="8"/>
  <c r="D179" i="8" s="1"/>
  <c r="JY52" i="10" l="1"/>
  <c r="KA52" i="10"/>
  <c r="KC52" i="10" s="1"/>
  <c r="JU53" i="10" s="1"/>
  <c r="E179" i="8"/>
  <c r="D180" i="8" s="1"/>
  <c r="G179" i="8"/>
  <c r="K178" i="8"/>
  <c r="I177" i="8"/>
  <c r="JX53" i="10" l="1"/>
  <c r="KE42" i="10"/>
  <c r="K179" i="8"/>
  <c r="I178" i="8"/>
  <c r="G180" i="8"/>
  <c r="E180" i="8"/>
  <c r="D181" i="8" s="1"/>
  <c r="KE47" i="10" l="1"/>
  <c r="KH47" i="10" s="1"/>
  <c r="KI47" i="10" s="1"/>
  <c r="KH48" i="10" s="1"/>
  <c r="KI48" i="10" s="1"/>
  <c r="KH49" i="10" s="1"/>
  <c r="KI49" i="10" s="1"/>
  <c r="KH50" i="10" s="1"/>
  <c r="KI50" i="10" s="1"/>
  <c r="KH51" i="10" s="1"/>
  <c r="KI51" i="10" s="1"/>
  <c r="KH52" i="10" s="1"/>
  <c r="KI52" i="10" s="1"/>
  <c r="KH43" i="10"/>
  <c r="KI43" i="10" s="1"/>
  <c r="KH44" i="10" s="1"/>
  <c r="KI44" i="10" s="1"/>
  <c r="KH45" i="10" s="1"/>
  <c r="KI45" i="10" s="1"/>
  <c r="KH46" i="10" s="1"/>
  <c r="KI46" i="10" s="1"/>
  <c r="KK43" i="10"/>
  <c r="KM43" i="10" s="1"/>
  <c r="KK44" i="10"/>
  <c r="KM44" i="10" s="1"/>
  <c r="KK45" i="10"/>
  <c r="KM45" i="10" s="1"/>
  <c r="KK47" i="10"/>
  <c r="KM47" i="10" s="1"/>
  <c r="KK46" i="10"/>
  <c r="KM46" i="10" s="1"/>
  <c r="KK48" i="10"/>
  <c r="KM48" i="10" s="1"/>
  <c r="KE53" i="10"/>
  <c r="KK52" i="10"/>
  <c r="KM52" i="10" s="1"/>
  <c r="KK49" i="10"/>
  <c r="KM49" i="10" s="1"/>
  <c r="KK50" i="10"/>
  <c r="KM50" i="10" s="1"/>
  <c r="KK51" i="10"/>
  <c r="KM51" i="10" s="1"/>
  <c r="JY53" i="10"/>
  <c r="JX54" i="10" s="1"/>
  <c r="KA53" i="10"/>
  <c r="KC53" i="10" s="1"/>
  <c r="E181" i="8"/>
  <c r="D182" i="8" s="1"/>
  <c r="G181" i="8"/>
  <c r="K180" i="8"/>
  <c r="I179" i="8"/>
  <c r="JY54" i="10" l="1"/>
  <c r="JX55" i="10" s="1"/>
  <c r="KA54" i="10"/>
  <c r="KC54" i="10" s="1"/>
  <c r="KO42" i="10"/>
  <c r="K181" i="8"/>
  <c r="I180" i="8"/>
  <c r="G182" i="8"/>
  <c r="E182" i="8"/>
  <c r="D183" i="8" s="1"/>
  <c r="KU43" i="10" l="1"/>
  <c r="KW43" i="10" s="1"/>
  <c r="KR43" i="10"/>
  <c r="KS43" i="10" s="1"/>
  <c r="KR44" i="10" s="1"/>
  <c r="KS44" i="10" s="1"/>
  <c r="KR45" i="10" s="1"/>
  <c r="KS45" i="10" s="1"/>
  <c r="KR46" i="10" s="1"/>
  <c r="KS46" i="10" s="1"/>
  <c r="KU46" i="10"/>
  <c r="KW46" i="10" s="1"/>
  <c r="KU44" i="10"/>
  <c r="KW44" i="10" s="1"/>
  <c r="KO47" i="10"/>
  <c r="KR47" i="10" s="1"/>
  <c r="KS47" i="10" s="1"/>
  <c r="KR48" i="10" s="1"/>
  <c r="KS48" i="10" s="1"/>
  <c r="KR49" i="10" s="1"/>
  <c r="KS49" i="10" s="1"/>
  <c r="KR50" i="10" s="1"/>
  <c r="KS50" i="10" s="1"/>
  <c r="KR51" i="10" s="1"/>
  <c r="KS51" i="10" s="1"/>
  <c r="KR52" i="10" s="1"/>
  <c r="KS52" i="10" s="1"/>
  <c r="KU48" i="10"/>
  <c r="KW48" i="10" s="1"/>
  <c r="KU45" i="10"/>
  <c r="KW45" i="10" s="1"/>
  <c r="KO53" i="10"/>
  <c r="JY55" i="10"/>
  <c r="JX56" i="10" s="1"/>
  <c r="KA55" i="10"/>
  <c r="KC55" i="10" s="1"/>
  <c r="E183" i="8"/>
  <c r="D184" i="8" s="1"/>
  <c r="G183" i="8"/>
  <c r="K182" i="8"/>
  <c r="I181" i="8"/>
  <c r="KU52" i="10" l="1"/>
  <c r="KW52" i="10" s="1"/>
  <c r="KU49" i="10"/>
  <c r="KW49" i="10" s="1"/>
  <c r="KU51" i="10"/>
  <c r="KW51" i="10" s="1"/>
  <c r="KU47" i="10"/>
  <c r="KW47" i="10" s="1"/>
  <c r="KU50" i="10"/>
  <c r="KW50" i="10" s="1"/>
  <c r="JY56" i="10"/>
  <c r="KA56" i="10"/>
  <c r="KC56" i="10" s="1"/>
  <c r="KY42" i="10"/>
  <c r="K183" i="8"/>
  <c r="I182" i="8"/>
  <c r="G184" i="8"/>
  <c r="E184" i="8"/>
  <c r="D185" i="8" s="1"/>
  <c r="KA60" i="10" l="1"/>
  <c r="KC60" i="10" s="1"/>
  <c r="KA62" i="10"/>
  <c r="KC62" i="10" s="1"/>
  <c r="KA66" i="10"/>
  <c r="KC66" i="10" s="1"/>
  <c r="KA65" i="10"/>
  <c r="KC65" i="10" s="1"/>
  <c r="KA64" i="10"/>
  <c r="KC64" i="10" s="1"/>
  <c r="KA61" i="10"/>
  <c r="KC61" i="10" s="1"/>
  <c r="KA63" i="10"/>
  <c r="KC63" i="10" s="1"/>
  <c r="JX57" i="10"/>
  <c r="KH53" i="10"/>
  <c r="LB43" i="10"/>
  <c r="LC43" i="10" s="1"/>
  <c r="LB44" i="10" s="1"/>
  <c r="LC44" i="10" s="1"/>
  <c r="LB45" i="10" s="1"/>
  <c r="LC45" i="10" s="1"/>
  <c r="LB46" i="10" s="1"/>
  <c r="LC46" i="10" s="1"/>
  <c r="LE45" i="10"/>
  <c r="LG45" i="10" s="1"/>
  <c r="LE44" i="10"/>
  <c r="LG44" i="10" s="1"/>
  <c r="KY47" i="10"/>
  <c r="LB47" i="10" s="1"/>
  <c r="LC47" i="10" s="1"/>
  <c r="LB48" i="10" s="1"/>
  <c r="LC48" i="10" s="1"/>
  <c r="LB49" i="10" s="1"/>
  <c r="LC49" i="10" s="1"/>
  <c r="LB50" i="10" s="1"/>
  <c r="LC50" i="10" s="1"/>
  <c r="LB51" i="10" s="1"/>
  <c r="LC51" i="10" s="1"/>
  <c r="LB52" i="10" s="1"/>
  <c r="LC52" i="10" s="1"/>
  <c r="LE47" i="10"/>
  <c r="LG47" i="10" s="1"/>
  <c r="LE49" i="10"/>
  <c r="LG49" i="10" s="1"/>
  <c r="LE48" i="10"/>
  <c r="LG48" i="10" s="1"/>
  <c r="LE50" i="10"/>
  <c r="LG50" i="10" s="1"/>
  <c r="KY53" i="10"/>
  <c r="LE51" i="10"/>
  <c r="LG51" i="10" s="1"/>
  <c r="LE52" i="10"/>
  <c r="LG52" i="10" s="1"/>
  <c r="E185" i="8"/>
  <c r="D186" i="8" s="1"/>
  <c r="G185" i="8"/>
  <c r="K184" i="8"/>
  <c r="I183" i="8"/>
  <c r="LI42" i="10" l="1"/>
  <c r="LE43" i="10"/>
  <c r="LG43" i="10" s="1"/>
  <c r="KI53" i="10"/>
  <c r="KH54" i="10" s="1"/>
  <c r="KK53" i="10"/>
  <c r="KM53" i="10" s="1"/>
  <c r="LE46" i="10"/>
  <c r="LG46" i="10" s="1"/>
  <c r="JY57" i="10"/>
  <c r="JX58" i="10" s="1"/>
  <c r="KA57" i="10"/>
  <c r="KC57" i="10" s="1"/>
  <c r="K185" i="8"/>
  <c r="I184" i="8"/>
  <c r="G186" i="8"/>
  <c r="E186" i="8"/>
  <c r="D187" i="8" s="1"/>
  <c r="JY58" i="10" l="1"/>
  <c r="JX59" i="10" s="1"/>
  <c r="KA58" i="10"/>
  <c r="KC58" i="10" s="1"/>
  <c r="KI54" i="10"/>
  <c r="KH55" i="10" s="1"/>
  <c r="KK54" i="10"/>
  <c r="KM54" i="10" s="1"/>
  <c r="E187" i="8"/>
  <c r="D188" i="8" s="1"/>
  <c r="G187" i="8"/>
  <c r="K186" i="8"/>
  <c r="I185" i="8"/>
  <c r="KI55" i="10" l="1"/>
  <c r="KH56" i="10" s="1"/>
  <c r="KK55" i="10"/>
  <c r="KM55" i="10" s="1"/>
  <c r="JY59" i="10"/>
  <c r="JX60" i="10" s="1"/>
  <c r="JY60" i="10" s="1"/>
  <c r="JX61" i="10" s="1"/>
  <c r="JY61" i="10" s="1"/>
  <c r="JX62" i="10" s="1"/>
  <c r="JY62" i="10" s="1"/>
  <c r="JX63" i="10" s="1"/>
  <c r="JY63" i="10" s="1"/>
  <c r="JX64" i="10" s="1"/>
  <c r="JY64" i="10" s="1"/>
  <c r="JX65" i="10" s="1"/>
  <c r="JY65" i="10" s="1"/>
  <c r="JX66" i="10" s="1"/>
  <c r="JY66" i="10" s="1"/>
  <c r="KA59" i="10"/>
  <c r="KC59" i="10" s="1"/>
  <c r="K187" i="8"/>
  <c r="I186" i="8"/>
  <c r="G188" i="8"/>
  <c r="E188" i="8"/>
  <c r="D189" i="8" s="1"/>
  <c r="KI56" i="10" l="1"/>
  <c r="KK56" i="10"/>
  <c r="KM56" i="10" s="1"/>
  <c r="G189" i="8"/>
  <c r="E189" i="8"/>
  <c r="D190" i="8" s="1"/>
  <c r="K188" i="8"/>
  <c r="I187" i="8"/>
  <c r="KK65" i="10" l="1"/>
  <c r="KM65" i="10" s="1"/>
  <c r="KK66" i="10"/>
  <c r="KM66" i="10" s="1"/>
  <c r="KK62" i="10"/>
  <c r="KM62" i="10" s="1"/>
  <c r="KK63" i="10"/>
  <c r="KM63" i="10" s="1"/>
  <c r="KK61" i="10"/>
  <c r="KM61" i="10" s="1"/>
  <c r="KK64" i="10"/>
  <c r="KM64" i="10" s="1"/>
  <c r="KK60" i="10"/>
  <c r="KM60" i="10" s="1"/>
  <c r="KH57" i="10"/>
  <c r="KR53" i="10"/>
  <c r="G190" i="8"/>
  <c r="E190" i="8"/>
  <c r="D191" i="8" s="1"/>
  <c r="K189" i="8"/>
  <c r="I188" i="8"/>
  <c r="KS53" i="10" l="1"/>
  <c r="KR54" i="10" s="1"/>
  <c r="KU53" i="10"/>
  <c r="KW53" i="10" s="1"/>
  <c r="KI57" i="10"/>
  <c r="KH58" i="10" s="1"/>
  <c r="KK57" i="10"/>
  <c r="KM57" i="10" s="1"/>
  <c r="K190" i="8"/>
  <c r="I189" i="8"/>
  <c r="E191" i="8"/>
  <c r="D192" i="8" s="1"/>
  <c r="G191" i="8"/>
  <c r="KI58" i="10" l="1"/>
  <c r="KH59" i="10" s="1"/>
  <c r="KK58" i="10"/>
  <c r="KM58" i="10" s="1"/>
  <c r="KS54" i="10"/>
  <c r="KR55" i="10" s="1"/>
  <c r="KU54" i="10"/>
  <c r="KW54" i="10" s="1"/>
  <c r="E192" i="8"/>
  <c r="D193" i="8" s="1"/>
  <c r="G192" i="8"/>
  <c r="K191" i="8"/>
  <c r="I190" i="8"/>
  <c r="KS55" i="10" l="1"/>
  <c r="KR56" i="10" s="1"/>
  <c r="KU55" i="10"/>
  <c r="KW55" i="10" s="1"/>
  <c r="KI59" i="10"/>
  <c r="KH60" i="10" s="1"/>
  <c r="KI60" i="10" s="1"/>
  <c r="KH61" i="10" s="1"/>
  <c r="KI61" i="10" s="1"/>
  <c r="KH62" i="10" s="1"/>
  <c r="KI62" i="10" s="1"/>
  <c r="KH63" i="10" s="1"/>
  <c r="KI63" i="10" s="1"/>
  <c r="KH64" i="10" s="1"/>
  <c r="KI64" i="10" s="1"/>
  <c r="KH65" i="10" s="1"/>
  <c r="KI65" i="10" s="1"/>
  <c r="KH66" i="10" s="1"/>
  <c r="KI66" i="10" s="1"/>
  <c r="KK59" i="10"/>
  <c r="KM59" i="10" s="1"/>
  <c r="K192" i="8"/>
  <c r="I191" i="8"/>
  <c r="E193" i="8"/>
  <c r="D194" i="8" s="1"/>
  <c r="G193" i="8"/>
  <c r="KS56" i="10" l="1"/>
  <c r="KU56" i="10"/>
  <c r="KW56" i="10" s="1"/>
  <c r="G194" i="8"/>
  <c r="E194" i="8"/>
  <c r="D195" i="8" s="1"/>
  <c r="K193" i="8"/>
  <c r="I192" i="8"/>
  <c r="KU64" i="10" l="1"/>
  <c r="KW64" i="10" s="1"/>
  <c r="KU61" i="10"/>
  <c r="KW61" i="10" s="1"/>
  <c r="KU60" i="10"/>
  <c r="KW60" i="10" s="1"/>
  <c r="KU65" i="10"/>
  <c r="KW65" i="10" s="1"/>
  <c r="KU66" i="10"/>
  <c r="KW66" i="10" s="1"/>
  <c r="KU63" i="10"/>
  <c r="KW63" i="10" s="1"/>
  <c r="KU62" i="10"/>
  <c r="KW62" i="10" s="1"/>
  <c r="KR57" i="10"/>
  <c r="LB53" i="10"/>
  <c r="K194" i="8"/>
  <c r="I193" i="8"/>
  <c r="E195" i="8"/>
  <c r="D196" i="8" s="1"/>
  <c r="G195" i="8"/>
  <c r="LC53" i="10" l="1"/>
  <c r="LB54" i="10" s="1"/>
  <c r="LE53" i="10"/>
  <c r="LG53" i="10" s="1"/>
  <c r="KS57" i="10"/>
  <c r="KR58" i="10" s="1"/>
  <c r="KU57" i="10"/>
  <c r="KW57" i="10" s="1"/>
  <c r="G196" i="8"/>
  <c r="E196" i="8"/>
  <c r="D197" i="8" s="1"/>
  <c r="K195" i="8"/>
  <c r="I194" i="8"/>
  <c r="KS58" i="10" l="1"/>
  <c r="KR59" i="10" s="1"/>
  <c r="KU58" i="10"/>
  <c r="KW58" i="10" s="1"/>
  <c r="LC54" i="10"/>
  <c r="LB55" i="10" s="1"/>
  <c r="LE54" i="10"/>
  <c r="LG54" i="10" s="1"/>
  <c r="K196" i="8"/>
  <c r="I195" i="8"/>
  <c r="E197" i="8"/>
  <c r="D198" i="8" s="1"/>
  <c r="G197" i="8"/>
  <c r="LC55" i="10" l="1"/>
  <c r="LB56" i="10" s="1"/>
  <c r="LE55" i="10"/>
  <c r="LG55" i="10" s="1"/>
  <c r="KS59" i="10"/>
  <c r="KR60" i="10" s="1"/>
  <c r="KS60" i="10" s="1"/>
  <c r="KR61" i="10" s="1"/>
  <c r="KS61" i="10" s="1"/>
  <c r="KR62" i="10" s="1"/>
  <c r="KS62" i="10" s="1"/>
  <c r="KR63" i="10" s="1"/>
  <c r="KS63" i="10" s="1"/>
  <c r="KR64" i="10" s="1"/>
  <c r="KS64" i="10" s="1"/>
  <c r="KR65" i="10" s="1"/>
  <c r="KS65" i="10" s="1"/>
  <c r="KR66" i="10" s="1"/>
  <c r="KS66" i="10" s="1"/>
  <c r="KU59" i="10"/>
  <c r="KW59" i="10" s="1"/>
  <c r="G198" i="8"/>
  <c r="E198" i="8"/>
  <c r="D199" i="8" s="1"/>
  <c r="K197" i="8"/>
  <c r="I196" i="8"/>
  <c r="LC56" i="10" l="1"/>
  <c r="LE56" i="10"/>
  <c r="LG56" i="10" s="1"/>
  <c r="K198" i="8"/>
  <c r="I197" i="8"/>
  <c r="E199" i="8"/>
  <c r="D200" i="8" s="1"/>
  <c r="G199" i="8"/>
  <c r="LE60" i="10" l="1"/>
  <c r="LG60" i="10" s="1"/>
  <c r="LE63" i="10"/>
  <c r="LG63" i="10" s="1"/>
  <c r="LE62" i="10"/>
  <c r="LG62" i="10" s="1"/>
  <c r="LE64" i="10"/>
  <c r="LG64" i="10" s="1"/>
  <c r="LE65" i="10"/>
  <c r="LG65" i="10" s="1"/>
  <c r="LE59" i="10"/>
  <c r="LG59" i="10" s="1"/>
  <c r="LE66" i="10"/>
  <c r="LG66" i="10" s="1"/>
  <c r="LE61" i="10"/>
  <c r="LG61" i="10" s="1"/>
  <c r="LB57" i="10"/>
  <c r="LL43" i="10"/>
  <c r="G200" i="8"/>
  <c r="E200" i="8"/>
  <c r="D201" i="8" s="1"/>
  <c r="K199" i="8"/>
  <c r="I198" i="8"/>
  <c r="LM43" i="10" l="1"/>
  <c r="LL44" i="10" s="1"/>
  <c r="LO43" i="10"/>
  <c r="LQ43" i="10" s="1"/>
  <c r="LC57" i="10"/>
  <c r="LB58" i="10" s="1"/>
  <c r="LE57" i="10"/>
  <c r="LG57" i="10" s="1"/>
  <c r="K200" i="8"/>
  <c r="I199" i="8"/>
  <c r="E201" i="8"/>
  <c r="D202" i="8" s="1"/>
  <c r="G201" i="8"/>
  <c r="LC58" i="10" l="1"/>
  <c r="LB59" i="10" s="1"/>
  <c r="LC59" i="10" s="1"/>
  <c r="LB60" i="10" s="1"/>
  <c r="LC60" i="10" s="1"/>
  <c r="LB61" i="10" s="1"/>
  <c r="LC61" i="10" s="1"/>
  <c r="LB62" i="10" s="1"/>
  <c r="LC62" i="10" s="1"/>
  <c r="LB63" i="10" s="1"/>
  <c r="LC63" i="10" s="1"/>
  <c r="LB64" i="10" s="1"/>
  <c r="LC64" i="10" s="1"/>
  <c r="LB65" i="10" s="1"/>
  <c r="LC65" i="10" s="1"/>
  <c r="LB66" i="10" s="1"/>
  <c r="LC66" i="10" s="1"/>
  <c r="LE58" i="10"/>
  <c r="LG58" i="10" s="1"/>
  <c r="LM44" i="10"/>
  <c r="LL45" i="10" s="1"/>
  <c r="LO44" i="10"/>
  <c r="LQ44" i="10" s="1"/>
  <c r="E202" i="8"/>
  <c r="D203" i="8" s="1"/>
  <c r="G202" i="8"/>
  <c r="K201" i="8"/>
  <c r="I200" i="8"/>
  <c r="LM45" i="10" l="1"/>
  <c r="LL46" i="10" s="1"/>
  <c r="LO45" i="10"/>
  <c r="LQ45" i="10" s="1"/>
  <c r="K202" i="8"/>
  <c r="I201" i="8"/>
  <c r="E203" i="8"/>
  <c r="D204" i="8" s="1"/>
  <c r="G203" i="8"/>
  <c r="LM46" i="10" l="1"/>
  <c r="LO46" i="10"/>
  <c r="LQ46" i="10" s="1"/>
  <c r="LI47" i="10" s="1"/>
  <c r="G204" i="8"/>
  <c r="E204" i="8"/>
  <c r="D205" i="8" s="1"/>
  <c r="K203" i="8"/>
  <c r="I202" i="8"/>
  <c r="LL47" i="10" l="1"/>
  <c r="K204" i="8"/>
  <c r="I203" i="8"/>
  <c r="G205" i="8"/>
  <c r="E205" i="8"/>
  <c r="D206" i="8" s="1"/>
  <c r="LM47" i="10" l="1"/>
  <c r="LL48" i="10" s="1"/>
  <c r="LO47" i="10"/>
  <c r="LQ47" i="10" s="1"/>
  <c r="E206" i="8"/>
  <c r="D207" i="8" s="1"/>
  <c r="G206" i="8"/>
  <c r="K205" i="8"/>
  <c r="I204" i="8"/>
  <c r="LM48" i="10" l="1"/>
  <c r="LL49" i="10" s="1"/>
  <c r="LO48" i="10"/>
  <c r="LQ48" i="10" s="1"/>
  <c r="K206" i="8"/>
  <c r="I205" i="8"/>
  <c r="E207" i="8"/>
  <c r="D208" i="8" s="1"/>
  <c r="G207" i="8"/>
  <c r="LM49" i="10" l="1"/>
  <c r="LL50" i="10" s="1"/>
  <c r="LO49" i="10"/>
  <c r="LQ49" i="10" s="1"/>
  <c r="G208" i="8"/>
  <c r="E208" i="8"/>
  <c r="D209" i="8" s="1"/>
  <c r="K207" i="8"/>
  <c r="I206" i="8"/>
  <c r="LM50" i="10" l="1"/>
  <c r="LL51" i="10" s="1"/>
  <c r="LO50" i="10"/>
  <c r="LQ50" i="10" s="1"/>
  <c r="K208" i="8"/>
  <c r="I207" i="8"/>
  <c r="E209" i="8"/>
  <c r="D210" i="8" s="1"/>
  <c r="G209" i="8"/>
  <c r="LM51" i="10" l="1"/>
  <c r="LL52" i="10" s="1"/>
  <c r="LO51" i="10"/>
  <c r="LQ51" i="10" s="1"/>
  <c r="G210" i="8"/>
  <c r="E210" i="8"/>
  <c r="D211" i="8" s="1"/>
  <c r="K209" i="8"/>
  <c r="I208" i="8"/>
  <c r="LM52" i="10" l="1"/>
  <c r="LO52" i="10"/>
  <c r="LQ52" i="10" s="1"/>
  <c r="LI53" i="10" s="1"/>
  <c r="E211" i="8"/>
  <c r="D212" i="8" s="1"/>
  <c r="G211" i="8"/>
  <c r="K210" i="8"/>
  <c r="I209" i="8"/>
  <c r="LL53" i="10" l="1"/>
  <c r="LS42" i="10"/>
  <c r="K211" i="8"/>
  <c r="I210" i="8"/>
  <c r="E212" i="8"/>
  <c r="D213" i="8" s="1"/>
  <c r="G212" i="8"/>
  <c r="LV43" i="10" l="1"/>
  <c r="LW43" i="10" s="1"/>
  <c r="LV44" i="10" s="1"/>
  <c r="LW44" i="10" s="1"/>
  <c r="LV45" i="10" s="1"/>
  <c r="LW45" i="10" s="1"/>
  <c r="LV46" i="10" s="1"/>
  <c r="LW46" i="10" s="1"/>
  <c r="LY44" i="10"/>
  <c r="MA44" i="10" s="1"/>
  <c r="LY43" i="10"/>
  <c r="MA43" i="10" s="1"/>
  <c r="LY46" i="10"/>
  <c r="MA46" i="10" s="1"/>
  <c r="LS47" i="10"/>
  <c r="LV47" i="10" s="1"/>
  <c r="LW47" i="10" s="1"/>
  <c r="LV48" i="10" s="1"/>
  <c r="LW48" i="10" s="1"/>
  <c r="LV49" i="10" s="1"/>
  <c r="LW49" i="10" s="1"/>
  <c r="LV50" i="10" s="1"/>
  <c r="LW50" i="10" s="1"/>
  <c r="LV51" i="10" s="1"/>
  <c r="LW51" i="10" s="1"/>
  <c r="LV52" i="10" s="1"/>
  <c r="LW52" i="10" s="1"/>
  <c r="LY47" i="10"/>
  <c r="MA47" i="10" s="1"/>
  <c r="LY48" i="10"/>
  <c r="MA48" i="10" s="1"/>
  <c r="LY45" i="10"/>
  <c r="MA45" i="10" s="1"/>
  <c r="LY49" i="10"/>
  <c r="MA49" i="10" s="1"/>
  <c r="LY51" i="10"/>
  <c r="MA51" i="10" s="1"/>
  <c r="LY52" i="10"/>
  <c r="MA52" i="10" s="1"/>
  <c r="LS53" i="10"/>
  <c r="LM53" i="10"/>
  <c r="LL54" i="10" s="1"/>
  <c r="LO53" i="10"/>
  <c r="LQ53" i="10" s="1"/>
  <c r="E213" i="8"/>
  <c r="D214" i="8" s="1"/>
  <c r="G213" i="8"/>
  <c r="K212" i="8"/>
  <c r="I211" i="8"/>
  <c r="LM54" i="10" l="1"/>
  <c r="LL55" i="10" s="1"/>
  <c r="LO54" i="10"/>
  <c r="LQ54" i="10" s="1"/>
  <c r="LY50" i="10"/>
  <c r="MA50" i="10" s="1"/>
  <c r="MC42" i="10"/>
  <c r="K213" i="8"/>
  <c r="I212" i="8"/>
  <c r="G214" i="8"/>
  <c r="E214" i="8"/>
  <c r="D215" i="8" s="1"/>
  <c r="MF43" i="10" l="1"/>
  <c r="MG43" i="10" s="1"/>
  <c r="MF44" i="10" s="1"/>
  <c r="MG44" i="10" s="1"/>
  <c r="MF45" i="10" s="1"/>
  <c r="MG45" i="10" s="1"/>
  <c r="MF46" i="10" s="1"/>
  <c r="MG46" i="10" s="1"/>
  <c r="MI45" i="10"/>
  <c r="MK45" i="10" s="1"/>
  <c r="MI44" i="10"/>
  <c r="MK44" i="10" s="1"/>
  <c r="MI43" i="10"/>
  <c r="MK43" i="10" s="1"/>
  <c r="MI46" i="10"/>
  <c r="MK46" i="10" s="1"/>
  <c r="MC47" i="10"/>
  <c r="MF47" i="10" s="1"/>
  <c r="MG47" i="10" s="1"/>
  <c r="MF48" i="10" s="1"/>
  <c r="MG48" i="10" s="1"/>
  <c r="MF49" i="10" s="1"/>
  <c r="MG49" i="10" s="1"/>
  <c r="MF50" i="10" s="1"/>
  <c r="MG50" i="10" s="1"/>
  <c r="MF51" i="10" s="1"/>
  <c r="MG51" i="10" s="1"/>
  <c r="MF52" i="10" s="1"/>
  <c r="MG52" i="10" s="1"/>
  <c r="MI48" i="10"/>
  <c r="MK48" i="10" s="1"/>
  <c r="MC53" i="10"/>
  <c r="MI51" i="10"/>
  <c r="MK51" i="10" s="1"/>
  <c r="MI47" i="10"/>
  <c r="MK47" i="10" s="1"/>
  <c r="MI52" i="10"/>
  <c r="MK52" i="10" s="1"/>
  <c r="LM55" i="10"/>
  <c r="LL56" i="10" s="1"/>
  <c r="LO55" i="10"/>
  <c r="LQ55" i="10" s="1"/>
  <c r="E215" i="8"/>
  <c r="D216" i="8" s="1"/>
  <c r="G215" i="8"/>
  <c r="K214" i="8"/>
  <c r="I213" i="8"/>
  <c r="LM56" i="10" l="1"/>
  <c r="LO56" i="10"/>
  <c r="LQ56" i="10" s="1"/>
  <c r="MI50" i="10"/>
  <c r="MK50" i="10" s="1"/>
  <c r="MI49" i="10"/>
  <c r="MK49" i="10" s="1"/>
  <c r="MM42" i="10"/>
  <c r="K215" i="8"/>
  <c r="I214" i="8"/>
  <c r="G216" i="8"/>
  <c r="E216" i="8"/>
  <c r="D217" i="8" s="1"/>
  <c r="LO63" i="10" l="1"/>
  <c r="LQ63" i="10" s="1"/>
  <c r="LO61" i="10"/>
  <c r="LQ61" i="10" s="1"/>
  <c r="LO64" i="10"/>
  <c r="LQ64" i="10" s="1"/>
  <c r="LO60" i="10"/>
  <c r="LQ60" i="10" s="1"/>
  <c r="LO62" i="10"/>
  <c r="LQ62" i="10" s="1"/>
  <c r="LO65" i="10"/>
  <c r="LQ65" i="10" s="1"/>
  <c r="LO66" i="10"/>
  <c r="LQ66" i="10" s="1"/>
  <c r="MS43" i="10"/>
  <c r="MU43" i="10" s="1"/>
  <c r="MS44" i="10"/>
  <c r="MU44" i="10" s="1"/>
  <c r="MS46" i="10"/>
  <c r="MU46" i="10" s="1"/>
  <c r="MS45" i="10"/>
  <c r="MU45" i="10" s="1"/>
  <c r="MS48" i="10"/>
  <c r="MU48" i="10" s="1"/>
  <c r="MP43" i="10"/>
  <c r="MQ43" i="10" s="1"/>
  <c r="MP44" i="10" s="1"/>
  <c r="MQ44" i="10" s="1"/>
  <c r="MP45" i="10" s="1"/>
  <c r="MQ45" i="10" s="1"/>
  <c r="MP46" i="10" s="1"/>
  <c r="MQ46" i="10" s="1"/>
  <c r="MM47" i="10"/>
  <c r="MP47" i="10" s="1"/>
  <c r="MQ47" i="10" s="1"/>
  <c r="MP48" i="10" s="1"/>
  <c r="MQ48" i="10" s="1"/>
  <c r="MP49" i="10" s="1"/>
  <c r="MQ49" i="10" s="1"/>
  <c r="MP50" i="10" s="1"/>
  <c r="MQ50" i="10" s="1"/>
  <c r="MP51" i="10" s="1"/>
  <c r="MQ51" i="10" s="1"/>
  <c r="MP52" i="10" s="1"/>
  <c r="MQ52" i="10" s="1"/>
  <c r="MM53" i="10"/>
  <c r="LL57" i="10"/>
  <c r="LV53" i="10"/>
  <c r="E217" i="8"/>
  <c r="D218" i="8" s="1"/>
  <c r="G217" i="8"/>
  <c r="K216" i="8"/>
  <c r="I215" i="8"/>
  <c r="LW53" i="10" l="1"/>
  <c r="LV54" i="10" s="1"/>
  <c r="LY53" i="10"/>
  <c r="MA53" i="10" s="1"/>
  <c r="MS47" i="10"/>
  <c r="MU47" i="10" s="1"/>
  <c r="MW42" i="10"/>
  <c r="MS51" i="10"/>
  <c r="MU51" i="10" s="1"/>
  <c r="LM57" i="10"/>
  <c r="LL58" i="10" s="1"/>
  <c r="LO57" i="10"/>
  <c r="LQ57" i="10" s="1"/>
  <c r="MS49" i="10"/>
  <c r="MU49" i="10" s="1"/>
  <c r="MS50" i="10"/>
  <c r="MU50" i="10" s="1"/>
  <c r="MS52" i="10"/>
  <c r="MU52" i="10" s="1"/>
  <c r="K217" i="8"/>
  <c r="I216" i="8"/>
  <c r="G218" i="8"/>
  <c r="E218" i="8"/>
  <c r="D219" i="8" s="1"/>
  <c r="LM58" i="10" l="1"/>
  <c r="LL59" i="10" s="1"/>
  <c r="LO58" i="10"/>
  <c r="LQ58" i="10" s="1"/>
  <c r="LW54" i="10"/>
  <c r="LV55" i="10" s="1"/>
  <c r="LY54" i="10"/>
  <c r="MA54" i="10" s="1"/>
  <c r="E219" i="8"/>
  <c r="D220" i="8" s="1"/>
  <c r="G219" i="8"/>
  <c r="K218" i="8"/>
  <c r="I217" i="8"/>
  <c r="LW55" i="10" l="1"/>
  <c r="LV56" i="10" s="1"/>
  <c r="LY55" i="10"/>
  <c r="MA55" i="10" s="1"/>
  <c r="LM59" i="10"/>
  <c r="LL60" i="10" s="1"/>
  <c r="LM60" i="10" s="1"/>
  <c r="LL61" i="10" s="1"/>
  <c r="LM61" i="10" s="1"/>
  <c r="LL62" i="10" s="1"/>
  <c r="LM62" i="10" s="1"/>
  <c r="LL63" i="10" s="1"/>
  <c r="LM63" i="10" s="1"/>
  <c r="LL64" i="10" s="1"/>
  <c r="LM64" i="10" s="1"/>
  <c r="LL65" i="10" s="1"/>
  <c r="LM65" i="10" s="1"/>
  <c r="LL66" i="10" s="1"/>
  <c r="LM66" i="10" s="1"/>
  <c r="LO59" i="10"/>
  <c r="LQ59" i="10" s="1"/>
  <c r="K219" i="8"/>
  <c r="I218" i="8"/>
  <c r="G220" i="8"/>
  <c r="E220" i="8"/>
  <c r="D221" i="8" s="1"/>
  <c r="LW56" i="10" l="1"/>
  <c r="LY56" i="10"/>
  <c r="MA56" i="10" s="1"/>
  <c r="G221" i="8"/>
  <c r="E221" i="8"/>
  <c r="D222" i="8" s="1"/>
  <c r="K220" i="8"/>
  <c r="I219" i="8"/>
  <c r="LY62" i="10" l="1"/>
  <c r="MA62" i="10" s="1"/>
  <c r="LY63" i="10"/>
  <c r="MA63" i="10" s="1"/>
  <c r="LY64" i="10"/>
  <c r="MA64" i="10" s="1"/>
  <c r="LY60" i="10"/>
  <c r="MA60" i="10" s="1"/>
  <c r="LY61" i="10"/>
  <c r="MA61" i="10" s="1"/>
  <c r="LY66" i="10"/>
  <c r="MA66" i="10" s="1"/>
  <c r="LY65" i="10"/>
  <c r="MA65" i="10" s="1"/>
  <c r="LV57" i="10"/>
  <c r="MF53" i="10"/>
  <c r="K221" i="8"/>
  <c r="I220" i="8"/>
  <c r="E222" i="8"/>
  <c r="D223" i="8" s="1"/>
  <c r="G222" i="8"/>
  <c r="MG53" i="10" l="1"/>
  <c r="MF54" i="10" s="1"/>
  <c r="MI53" i="10"/>
  <c r="MK53" i="10" s="1"/>
  <c r="LW57" i="10"/>
  <c r="LV58" i="10" s="1"/>
  <c r="LY57" i="10"/>
  <c r="MA57" i="10" s="1"/>
  <c r="G223" i="8"/>
  <c r="E223" i="8"/>
  <c r="D224" i="8" s="1"/>
  <c r="K222" i="8"/>
  <c r="I221" i="8"/>
  <c r="LW58" i="10" l="1"/>
  <c r="LV59" i="10" s="1"/>
  <c r="LY58" i="10"/>
  <c r="MA58" i="10" s="1"/>
  <c r="MG54" i="10"/>
  <c r="MF55" i="10" s="1"/>
  <c r="MI54" i="10"/>
  <c r="MK54" i="10" s="1"/>
  <c r="E224" i="8"/>
  <c r="D225" i="8" s="1"/>
  <c r="G224" i="8"/>
  <c r="K223" i="8"/>
  <c r="I222" i="8"/>
  <c r="MG55" i="10" l="1"/>
  <c r="MF56" i="10" s="1"/>
  <c r="MI55" i="10"/>
  <c r="MK55" i="10" s="1"/>
  <c r="LW59" i="10"/>
  <c r="LV60" i="10" s="1"/>
  <c r="LW60" i="10" s="1"/>
  <c r="LV61" i="10" s="1"/>
  <c r="LW61" i="10" s="1"/>
  <c r="LV62" i="10" s="1"/>
  <c r="LW62" i="10" s="1"/>
  <c r="LV63" i="10" s="1"/>
  <c r="LW63" i="10" s="1"/>
  <c r="LV64" i="10" s="1"/>
  <c r="LW64" i="10" s="1"/>
  <c r="LV65" i="10" s="1"/>
  <c r="LW65" i="10" s="1"/>
  <c r="LV66" i="10" s="1"/>
  <c r="LW66" i="10" s="1"/>
  <c r="LY59" i="10"/>
  <c r="MA59" i="10" s="1"/>
  <c r="K224" i="8"/>
  <c r="I223" i="8"/>
  <c r="E225" i="8"/>
  <c r="D226" i="8" s="1"/>
  <c r="G225" i="8"/>
  <c r="MG56" i="10" l="1"/>
  <c r="MI56" i="10"/>
  <c r="MK56" i="10" s="1"/>
  <c r="E226" i="8"/>
  <c r="D227" i="8" s="1"/>
  <c r="G226" i="8"/>
  <c r="K225" i="8"/>
  <c r="I224" i="8"/>
  <c r="MI63" i="10" l="1"/>
  <c r="MK63" i="10" s="1"/>
  <c r="MI65" i="10"/>
  <c r="MK65" i="10" s="1"/>
  <c r="MI64" i="10"/>
  <c r="MK64" i="10" s="1"/>
  <c r="MI61" i="10"/>
  <c r="MK61" i="10" s="1"/>
  <c r="MI66" i="10"/>
  <c r="MK66" i="10" s="1"/>
  <c r="MI60" i="10"/>
  <c r="MK60" i="10" s="1"/>
  <c r="MI62" i="10"/>
  <c r="MK62" i="10" s="1"/>
  <c r="MF57" i="10"/>
  <c r="MP53" i="10"/>
  <c r="K226" i="8"/>
  <c r="I225" i="8"/>
  <c r="G227" i="8"/>
  <c r="E227" i="8"/>
  <c r="D228" i="8" s="1"/>
  <c r="MQ53" i="10" l="1"/>
  <c r="MP54" i="10" s="1"/>
  <c r="MS53" i="10"/>
  <c r="MU53" i="10" s="1"/>
  <c r="MG57" i="10"/>
  <c r="MF58" i="10" s="1"/>
  <c r="MI57" i="10"/>
  <c r="MK57" i="10" s="1"/>
  <c r="E228" i="8"/>
  <c r="D229" i="8" s="1"/>
  <c r="G228" i="8"/>
  <c r="K227" i="8"/>
  <c r="I226" i="8"/>
  <c r="MG58" i="10" l="1"/>
  <c r="MF59" i="10" s="1"/>
  <c r="MI58" i="10"/>
  <c r="MK58" i="10" s="1"/>
  <c r="MQ54" i="10"/>
  <c r="MP55" i="10" s="1"/>
  <c r="MS54" i="10"/>
  <c r="MU54" i="10" s="1"/>
  <c r="K228" i="8"/>
  <c r="I227" i="8"/>
  <c r="E229" i="8"/>
  <c r="D230" i="8" s="1"/>
  <c r="G229" i="8"/>
  <c r="MQ55" i="10" l="1"/>
  <c r="MP56" i="10" s="1"/>
  <c r="MS55" i="10"/>
  <c r="MU55" i="10" s="1"/>
  <c r="MG59" i="10"/>
  <c r="MF60" i="10" s="1"/>
  <c r="MG60" i="10" s="1"/>
  <c r="MF61" i="10" s="1"/>
  <c r="MG61" i="10" s="1"/>
  <c r="MF62" i="10" s="1"/>
  <c r="MG62" i="10" s="1"/>
  <c r="MF63" i="10" s="1"/>
  <c r="MG63" i="10" s="1"/>
  <c r="MF64" i="10" s="1"/>
  <c r="MG64" i="10" s="1"/>
  <c r="MF65" i="10" s="1"/>
  <c r="MG65" i="10" s="1"/>
  <c r="MF66" i="10" s="1"/>
  <c r="MG66" i="10" s="1"/>
  <c r="MI59" i="10"/>
  <c r="MK59" i="10" s="1"/>
  <c r="G230" i="8"/>
  <c r="E230" i="8"/>
  <c r="D231" i="8" s="1"/>
  <c r="K229" i="8"/>
  <c r="I228" i="8"/>
  <c r="MQ56" i="10" l="1"/>
  <c r="MS56" i="10"/>
  <c r="MU56" i="10" s="1"/>
  <c r="K230" i="8"/>
  <c r="I229" i="8"/>
  <c r="E231" i="8"/>
  <c r="D232" i="8" s="1"/>
  <c r="G231" i="8"/>
  <c r="MS64" i="10" l="1"/>
  <c r="MU64" i="10" s="1"/>
  <c r="MS63" i="10"/>
  <c r="MU63" i="10" s="1"/>
  <c r="MS60" i="10"/>
  <c r="MU60" i="10" s="1"/>
  <c r="MS65" i="10"/>
  <c r="MU65" i="10" s="1"/>
  <c r="MS66" i="10"/>
  <c r="MU66" i="10" s="1"/>
  <c r="MS62" i="10"/>
  <c r="MU62" i="10" s="1"/>
  <c r="MS61" i="10"/>
  <c r="MU61" i="10" s="1"/>
  <c r="MS59" i="10"/>
  <c r="MU59" i="10" s="1"/>
  <c r="MP57" i="10"/>
  <c r="MZ43" i="10"/>
  <c r="G232" i="8"/>
  <c r="E232" i="8"/>
  <c r="D233" i="8" s="1"/>
  <c r="K231" i="8"/>
  <c r="I230" i="8"/>
  <c r="MQ57" i="10" l="1"/>
  <c r="MP58" i="10" s="1"/>
  <c r="MS57" i="10"/>
  <c r="MU57" i="10" s="1"/>
  <c r="NA43" i="10"/>
  <c r="MZ44" i="10" s="1"/>
  <c r="NC43" i="10"/>
  <c r="NE43" i="10" s="1"/>
  <c r="G233" i="8"/>
  <c r="E233" i="8"/>
  <c r="D234" i="8" s="1"/>
  <c r="K232" i="8"/>
  <c r="I231" i="8"/>
  <c r="NA44" i="10" l="1"/>
  <c r="MZ45" i="10" s="1"/>
  <c r="NC44" i="10"/>
  <c r="NE44" i="10" s="1"/>
  <c r="MQ58" i="10"/>
  <c r="MP59" i="10" s="1"/>
  <c r="MQ59" i="10" s="1"/>
  <c r="MP60" i="10" s="1"/>
  <c r="MQ60" i="10" s="1"/>
  <c r="MP61" i="10" s="1"/>
  <c r="MQ61" i="10" s="1"/>
  <c r="MP62" i="10" s="1"/>
  <c r="MQ62" i="10" s="1"/>
  <c r="MP63" i="10" s="1"/>
  <c r="MQ63" i="10" s="1"/>
  <c r="MP64" i="10" s="1"/>
  <c r="MQ64" i="10" s="1"/>
  <c r="MP65" i="10" s="1"/>
  <c r="MQ65" i="10" s="1"/>
  <c r="MP66" i="10" s="1"/>
  <c r="MQ66" i="10" s="1"/>
  <c r="MS58" i="10"/>
  <c r="MU58" i="10" s="1"/>
  <c r="K233" i="8"/>
  <c r="I232" i="8"/>
  <c r="G234" i="8"/>
  <c r="E234" i="8"/>
  <c r="D235" i="8" s="1"/>
  <c r="NA45" i="10" l="1"/>
  <c r="MZ46" i="10" s="1"/>
  <c r="NC45" i="10"/>
  <c r="NE45" i="10" s="1"/>
  <c r="E235" i="8"/>
  <c r="D236" i="8" s="1"/>
  <c r="G235" i="8"/>
  <c r="K234" i="8"/>
  <c r="I233" i="8"/>
  <c r="NA46" i="10" l="1"/>
  <c r="NC46" i="10"/>
  <c r="NE46" i="10" s="1"/>
  <c r="MW47" i="10" s="1"/>
  <c r="K235" i="8"/>
  <c r="I234" i="8"/>
  <c r="G236" i="8"/>
  <c r="E236" i="8"/>
  <c r="D237" i="8" s="1"/>
  <c r="MZ47" i="10" l="1"/>
  <c r="G237" i="8"/>
  <c r="E237" i="8"/>
  <c r="D238" i="8" s="1"/>
  <c r="K236" i="8"/>
  <c r="I235" i="8"/>
  <c r="NA47" i="10" l="1"/>
  <c r="MZ48" i="10" s="1"/>
  <c r="NC47" i="10"/>
  <c r="NE47" i="10" s="1"/>
  <c r="K237" i="8"/>
  <c r="I236" i="8"/>
  <c r="G238" i="8"/>
  <c r="E238" i="8"/>
  <c r="D239" i="8" s="1"/>
  <c r="NA48" i="10" l="1"/>
  <c r="MZ49" i="10" s="1"/>
  <c r="NC48" i="10"/>
  <c r="NE48" i="10" s="1"/>
  <c r="G239" i="8"/>
  <c r="E239" i="8"/>
  <c r="D240" i="8" s="1"/>
  <c r="K238" i="8"/>
  <c r="I237" i="8"/>
  <c r="NA49" i="10" l="1"/>
  <c r="MZ50" i="10" s="1"/>
  <c r="NC49" i="10"/>
  <c r="NE49" i="10" s="1"/>
  <c r="K239" i="8"/>
  <c r="I238" i="8"/>
  <c r="E240" i="8"/>
  <c r="D241" i="8" s="1"/>
  <c r="G240" i="8"/>
  <c r="NA50" i="10" l="1"/>
  <c r="MZ51" i="10" s="1"/>
  <c r="NC50" i="10"/>
  <c r="NE50" i="10" s="1"/>
  <c r="E241" i="8"/>
  <c r="D242" i="8" s="1"/>
  <c r="G241" i="8"/>
  <c r="K240" i="8"/>
  <c r="I239" i="8"/>
  <c r="NA51" i="10" l="1"/>
  <c r="MZ52" i="10" s="1"/>
  <c r="NC51" i="10"/>
  <c r="NE51" i="10" s="1"/>
  <c r="K241" i="8"/>
  <c r="I240" i="8"/>
  <c r="G242" i="8"/>
  <c r="E242" i="8"/>
  <c r="D243" i="8" s="1"/>
  <c r="NA52" i="10" l="1"/>
  <c r="NC52" i="10"/>
  <c r="NE52" i="10" s="1"/>
  <c r="MW53" i="10" s="1"/>
  <c r="E243" i="8"/>
  <c r="D244" i="8" s="1"/>
  <c r="G243" i="8"/>
  <c r="K242" i="8"/>
  <c r="I241" i="8"/>
  <c r="MZ53" i="10" l="1"/>
  <c r="NG42" i="10"/>
  <c r="K243" i="8"/>
  <c r="I242" i="8"/>
  <c r="G244" i="8"/>
  <c r="E244" i="8"/>
  <c r="D245" i="8" s="1"/>
  <c r="NJ43" i="10" l="1"/>
  <c r="NK43" i="10" s="1"/>
  <c r="NJ44" i="10" s="1"/>
  <c r="NK44" i="10" s="1"/>
  <c r="NJ45" i="10" s="1"/>
  <c r="NK45" i="10" s="1"/>
  <c r="NJ46" i="10" s="1"/>
  <c r="NK46" i="10" s="1"/>
  <c r="NM43" i="10"/>
  <c r="NO43" i="10" s="1"/>
  <c r="NM45" i="10"/>
  <c r="NO45" i="10" s="1"/>
  <c r="NM44" i="10"/>
  <c r="NO44" i="10" s="1"/>
  <c r="NG47" i="10"/>
  <c r="NJ47" i="10" s="1"/>
  <c r="NK47" i="10" s="1"/>
  <c r="NJ48" i="10" s="1"/>
  <c r="NK48" i="10" s="1"/>
  <c r="NJ49" i="10" s="1"/>
  <c r="NK49" i="10" s="1"/>
  <c r="NJ50" i="10" s="1"/>
  <c r="NK50" i="10" s="1"/>
  <c r="NJ51" i="10" s="1"/>
  <c r="NK51" i="10" s="1"/>
  <c r="NJ52" i="10" s="1"/>
  <c r="NK52" i="10" s="1"/>
  <c r="NG53" i="10"/>
  <c r="NM46" i="10"/>
  <c r="NO46" i="10" s="1"/>
  <c r="NA53" i="10"/>
  <c r="MZ54" i="10" s="1"/>
  <c r="NC53" i="10"/>
  <c r="NE53" i="10" s="1"/>
  <c r="E245" i="8"/>
  <c r="D246" i="8" s="1"/>
  <c r="G245" i="8"/>
  <c r="K244" i="8"/>
  <c r="I243" i="8"/>
  <c r="NA54" i="10" l="1"/>
  <c r="MZ55" i="10" s="1"/>
  <c r="NC54" i="10"/>
  <c r="NE54" i="10" s="1"/>
  <c r="NM49" i="10"/>
  <c r="NO49" i="10" s="1"/>
  <c r="NM47" i="10"/>
  <c r="NO47" i="10" s="1"/>
  <c r="NM50" i="10"/>
  <c r="NO50" i="10" s="1"/>
  <c r="NM51" i="10"/>
  <c r="NO51" i="10" s="1"/>
  <c r="NQ42" i="10"/>
  <c r="NM52" i="10"/>
  <c r="NO52" i="10" s="1"/>
  <c r="NM48" i="10"/>
  <c r="NO48" i="10" s="1"/>
  <c r="K245" i="8"/>
  <c r="I244" i="8"/>
  <c r="G246" i="8"/>
  <c r="E246" i="8"/>
  <c r="D247" i="8" s="1"/>
  <c r="NW43" i="10" l="1"/>
  <c r="NY43" i="10" s="1"/>
  <c r="NT43" i="10"/>
  <c r="NU43" i="10" s="1"/>
  <c r="NT44" i="10" s="1"/>
  <c r="NU44" i="10" s="1"/>
  <c r="NT45" i="10" s="1"/>
  <c r="NU45" i="10" s="1"/>
  <c r="NT46" i="10" s="1"/>
  <c r="NU46" i="10" s="1"/>
  <c r="NW46" i="10"/>
  <c r="NY46" i="10" s="1"/>
  <c r="NW44" i="10"/>
  <c r="NY44" i="10" s="1"/>
  <c r="NW45" i="10"/>
  <c r="NY45" i="10" s="1"/>
  <c r="NQ47" i="10"/>
  <c r="NT47" i="10" s="1"/>
  <c r="NU47" i="10" s="1"/>
  <c r="NT48" i="10" s="1"/>
  <c r="NU48" i="10" s="1"/>
  <c r="NT49" i="10" s="1"/>
  <c r="NU49" i="10" s="1"/>
  <c r="NT50" i="10" s="1"/>
  <c r="NU50" i="10" s="1"/>
  <c r="NT51" i="10" s="1"/>
  <c r="NU51" i="10" s="1"/>
  <c r="NT52" i="10" s="1"/>
  <c r="NU52" i="10" s="1"/>
  <c r="NW47" i="10"/>
  <c r="NY47" i="10" s="1"/>
  <c r="NQ53" i="10"/>
  <c r="NA55" i="10"/>
  <c r="MZ56" i="10" s="1"/>
  <c r="NC55" i="10"/>
  <c r="NE55" i="10" s="1"/>
  <c r="E247" i="8"/>
  <c r="D248" i="8" s="1"/>
  <c r="G247" i="8"/>
  <c r="K246" i="8"/>
  <c r="I245" i="8"/>
  <c r="NW52" i="10" l="1"/>
  <c r="NY52" i="10" s="1"/>
  <c r="NW51" i="10"/>
  <c r="NY51" i="10" s="1"/>
  <c r="NW49" i="10"/>
  <c r="NY49" i="10" s="1"/>
  <c r="NW48" i="10"/>
  <c r="NY48" i="10" s="1"/>
  <c r="OA42" i="10"/>
  <c r="NA56" i="10"/>
  <c r="NC56" i="10"/>
  <c r="NE56" i="10" s="1"/>
  <c r="NW50" i="10"/>
  <c r="NY50" i="10" s="1"/>
  <c r="K247" i="8"/>
  <c r="I246" i="8"/>
  <c r="G248" i="8"/>
  <c r="E248" i="8"/>
  <c r="NC60" i="10" l="1"/>
  <c r="NE60" i="10" s="1"/>
  <c r="NC65" i="10"/>
  <c r="NE65" i="10" s="1"/>
  <c r="NC62" i="10"/>
  <c r="NE62" i="10" s="1"/>
  <c r="NC63" i="10"/>
  <c r="NE63" i="10" s="1"/>
  <c r="NC64" i="10"/>
  <c r="NE64" i="10" s="1"/>
  <c r="NC66" i="10"/>
  <c r="NE66" i="10" s="1"/>
  <c r="NC61" i="10"/>
  <c r="NE61" i="10" s="1"/>
  <c r="MZ57" i="10"/>
  <c r="NJ53" i="10"/>
  <c r="OD43" i="10"/>
  <c r="OE43" i="10" s="1"/>
  <c r="OD44" i="10" s="1"/>
  <c r="OE44" i="10" s="1"/>
  <c r="OD45" i="10" s="1"/>
  <c r="OE45" i="10" s="1"/>
  <c r="OD46" i="10" s="1"/>
  <c r="OE46" i="10" s="1"/>
  <c r="OG43" i="10"/>
  <c r="OI43" i="10" s="1"/>
  <c r="OA47" i="10"/>
  <c r="OD47" i="10" s="1"/>
  <c r="OE47" i="10" s="1"/>
  <c r="OD48" i="10" s="1"/>
  <c r="OE48" i="10" s="1"/>
  <c r="OD49" i="10" s="1"/>
  <c r="OE49" i="10" s="1"/>
  <c r="OD50" i="10" s="1"/>
  <c r="OE50" i="10" s="1"/>
  <c r="OD51" i="10" s="1"/>
  <c r="OE51" i="10" s="1"/>
  <c r="OD52" i="10" s="1"/>
  <c r="OE52" i="10" s="1"/>
  <c r="OA53" i="10"/>
  <c r="K248" i="8"/>
  <c r="I248" i="8" s="1"/>
  <c r="I247" i="8"/>
  <c r="OG46" i="10" l="1"/>
  <c r="OI46" i="10" s="1"/>
  <c r="OG45" i="10"/>
  <c r="OI45" i="10" s="1"/>
  <c r="OG50" i="10"/>
  <c r="OI50" i="10" s="1"/>
  <c r="OG47" i="10"/>
  <c r="OI47" i="10" s="1"/>
  <c r="OG51" i="10"/>
  <c r="OI51" i="10" s="1"/>
  <c r="NK53" i="10"/>
  <c r="NJ54" i="10" s="1"/>
  <c r="NM53" i="10"/>
  <c r="NO53" i="10" s="1"/>
  <c r="OG44" i="10"/>
  <c r="OI44" i="10" s="1"/>
  <c r="OG48" i="10"/>
  <c r="OI48" i="10" s="1"/>
  <c r="NA57" i="10"/>
  <c r="MZ58" i="10" s="1"/>
  <c r="NC57" i="10"/>
  <c r="NE57" i="10" s="1"/>
  <c r="OG52" i="10"/>
  <c r="OI52" i="10" s="1"/>
  <c r="OG49" i="10"/>
  <c r="OI49" i="10" s="1"/>
  <c r="OK42" i="10"/>
  <c r="I15" i="8"/>
  <c r="NK54" i="10" l="1"/>
  <c r="NJ55" i="10" s="1"/>
  <c r="NM54" i="10"/>
  <c r="NO54" i="10" s="1"/>
  <c r="NA58" i="10"/>
  <c r="MZ59" i="10" s="1"/>
  <c r="NC58" i="10"/>
  <c r="NE58" i="10" s="1"/>
  <c r="NA59" i="10" l="1"/>
  <c r="MZ60" i="10" s="1"/>
  <c r="NA60" i="10" s="1"/>
  <c r="MZ61" i="10" s="1"/>
  <c r="NA61" i="10" s="1"/>
  <c r="MZ62" i="10" s="1"/>
  <c r="NA62" i="10" s="1"/>
  <c r="MZ63" i="10" s="1"/>
  <c r="NA63" i="10" s="1"/>
  <c r="MZ64" i="10" s="1"/>
  <c r="NA64" i="10" s="1"/>
  <c r="MZ65" i="10" s="1"/>
  <c r="NA65" i="10" s="1"/>
  <c r="MZ66" i="10" s="1"/>
  <c r="NA66" i="10" s="1"/>
  <c r="NC59" i="10"/>
  <c r="NE59" i="10" s="1"/>
  <c r="NK55" i="10"/>
  <c r="NJ56" i="10" s="1"/>
  <c r="NM55" i="10"/>
  <c r="NO55" i="10" s="1"/>
  <c r="NK56" i="10" l="1"/>
  <c r="NM56" i="10"/>
  <c r="NO56" i="10" s="1"/>
  <c r="NM65" i="10" l="1"/>
  <c r="NO65" i="10" s="1"/>
  <c r="NM66" i="10"/>
  <c r="NO66" i="10" s="1"/>
  <c r="NM62" i="10"/>
  <c r="NO62" i="10" s="1"/>
  <c r="NM63" i="10"/>
  <c r="NO63" i="10" s="1"/>
  <c r="NM64" i="10"/>
  <c r="NO64" i="10" s="1"/>
  <c r="NM60" i="10"/>
  <c r="NO60" i="10" s="1"/>
  <c r="NM61" i="10"/>
  <c r="NO61" i="10" s="1"/>
  <c r="NJ57" i="10"/>
  <c r="NT53" i="10"/>
  <c r="NK57" i="10" l="1"/>
  <c r="NJ58" i="10" s="1"/>
  <c r="NM57" i="10"/>
  <c r="NO57" i="10" s="1"/>
  <c r="NU53" i="10"/>
  <c r="NT54" i="10" s="1"/>
  <c r="NW53" i="10"/>
  <c r="NY53" i="10" s="1"/>
  <c r="NU54" i="10" l="1"/>
  <c r="NT55" i="10" s="1"/>
  <c r="NW54" i="10"/>
  <c r="NY54" i="10" s="1"/>
  <c r="NK58" i="10"/>
  <c r="NJ59" i="10" s="1"/>
  <c r="NM58" i="10"/>
  <c r="NO58" i="10" s="1"/>
  <c r="NK59" i="10" l="1"/>
  <c r="NJ60" i="10" s="1"/>
  <c r="NK60" i="10" s="1"/>
  <c r="NJ61" i="10" s="1"/>
  <c r="NK61" i="10" s="1"/>
  <c r="NJ62" i="10" s="1"/>
  <c r="NK62" i="10" s="1"/>
  <c r="NJ63" i="10" s="1"/>
  <c r="NK63" i="10" s="1"/>
  <c r="NJ64" i="10" s="1"/>
  <c r="NK64" i="10" s="1"/>
  <c r="NJ65" i="10" s="1"/>
  <c r="NK65" i="10" s="1"/>
  <c r="NJ66" i="10" s="1"/>
  <c r="NK66" i="10" s="1"/>
  <c r="NM59" i="10"/>
  <c r="NO59" i="10" s="1"/>
  <c r="NU55" i="10"/>
  <c r="NT56" i="10" s="1"/>
  <c r="NW55" i="10"/>
  <c r="NY55" i="10" s="1"/>
  <c r="NU56" i="10" l="1"/>
  <c r="NW56" i="10"/>
  <c r="NY56" i="10" s="1"/>
  <c r="NW64" i="10" l="1"/>
  <c r="NY64" i="10" s="1"/>
  <c r="NW60" i="10"/>
  <c r="NY60" i="10" s="1"/>
  <c r="NW65" i="10"/>
  <c r="NY65" i="10" s="1"/>
  <c r="NW62" i="10"/>
  <c r="NY62" i="10" s="1"/>
  <c r="NW66" i="10"/>
  <c r="NY66" i="10" s="1"/>
  <c r="NW63" i="10"/>
  <c r="NY63" i="10" s="1"/>
  <c r="NW61" i="10"/>
  <c r="NY61" i="10" s="1"/>
  <c r="NT57" i="10"/>
  <c r="OD53" i="10"/>
  <c r="OE53" i="10" l="1"/>
  <c r="OD54" i="10" s="1"/>
  <c r="OG53" i="10"/>
  <c r="OI53" i="10" s="1"/>
  <c r="NU57" i="10"/>
  <c r="NT58" i="10" s="1"/>
  <c r="NW57" i="10"/>
  <c r="NY57" i="10" s="1"/>
  <c r="NU58" i="10" l="1"/>
  <c r="NT59" i="10" s="1"/>
  <c r="NW58" i="10"/>
  <c r="NY58" i="10" s="1"/>
  <c r="OE54" i="10"/>
  <c r="OD55" i="10" s="1"/>
  <c r="OG54" i="10"/>
  <c r="OI54" i="10" s="1"/>
  <c r="OE55" i="10" l="1"/>
  <c r="OD56" i="10" s="1"/>
  <c r="OG55" i="10"/>
  <c r="OI55" i="10" s="1"/>
  <c r="NU59" i="10"/>
  <c r="NT60" i="10" s="1"/>
  <c r="NU60" i="10" s="1"/>
  <c r="NT61" i="10" s="1"/>
  <c r="NU61" i="10" s="1"/>
  <c r="NT62" i="10" s="1"/>
  <c r="NU62" i="10" s="1"/>
  <c r="NT63" i="10" s="1"/>
  <c r="NU63" i="10" s="1"/>
  <c r="NT64" i="10" s="1"/>
  <c r="NU64" i="10" s="1"/>
  <c r="NT65" i="10" s="1"/>
  <c r="NU65" i="10" s="1"/>
  <c r="NT66" i="10" s="1"/>
  <c r="NU66" i="10" s="1"/>
  <c r="NW59" i="10"/>
  <c r="NY59" i="10" s="1"/>
  <c r="OE56" i="10" l="1"/>
  <c r="OG56" i="10"/>
  <c r="OI56" i="10" s="1"/>
  <c r="OG63" i="10" l="1"/>
  <c r="OI63" i="10" s="1"/>
  <c r="OG60" i="10"/>
  <c r="OI60" i="10" s="1"/>
  <c r="OG62" i="10"/>
  <c r="OI62" i="10" s="1"/>
  <c r="OG61" i="10"/>
  <c r="OI61" i="10" s="1"/>
  <c r="OG64" i="10"/>
  <c r="OI64" i="10" s="1"/>
  <c r="OG65" i="10"/>
  <c r="OI65" i="10" s="1"/>
  <c r="OG59" i="10"/>
  <c r="OI59" i="10" s="1"/>
  <c r="OG66" i="10"/>
  <c r="OI66" i="10" s="1"/>
  <c r="OD57" i="10"/>
  <c r="ON43" i="10"/>
  <c r="OE57" i="10" l="1"/>
  <c r="OD58" i="10" s="1"/>
  <c r="OG57" i="10"/>
  <c r="OI57" i="10" s="1"/>
  <c r="OO43" i="10"/>
  <c r="ON44" i="10" s="1"/>
  <c r="OQ43" i="10"/>
  <c r="OS43" i="10" s="1"/>
  <c r="OO44" i="10" l="1"/>
  <c r="ON45" i="10" s="1"/>
  <c r="OQ44" i="10"/>
  <c r="OS44" i="10" s="1"/>
  <c r="OE58" i="10"/>
  <c r="OD59" i="10" s="1"/>
  <c r="OE59" i="10" s="1"/>
  <c r="OD60" i="10" s="1"/>
  <c r="OE60" i="10" s="1"/>
  <c r="OD61" i="10" s="1"/>
  <c r="OE61" i="10" s="1"/>
  <c r="OD62" i="10" s="1"/>
  <c r="OE62" i="10" s="1"/>
  <c r="OD63" i="10" s="1"/>
  <c r="OE63" i="10" s="1"/>
  <c r="OD64" i="10" s="1"/>
  <c r="OE64" i="10" s="1"/>
  <c r="OD65" i="10" s="1"/>
  <c r="OE65" i="10" s="1"/>
  <c r="OD66" i="10" s="1"/>
  <c r="OE66" i="10" s="1"/>
  <c r="OG58" i="10"/>
  <c r="OI58" i="10" s="1"/>
  <c r="OO45" i="10" l="1"/>
  <c r="ON46" i="10" s="1"/>
  <c r="OQ45" i="10"/>
  <c r="OS45" i="10" s="1"/>
  <c r="OO46" i="10" l="1"/>
  <c r="OQ46" i="10"/>
  <c r="OS46" i="10" s="1"/>
  <c r="OK47" i="10" s="1"/>
  <c r="ON47" i="10" l="1"/>
  <c r="OO47" i="10" l="1"/>
  <c r="ON48" i="10" s="1"/>
  <c r="OQ47" i="10"/>
  <c r="OS47" i="10" s="1"/>
  <c r="OO48" i="10" l="1"/>
  <c r="ON49" i="10" s="1"/>
  <c r="OQ48" i="10"/>
  <c r="OS48" i="10" s="1"/>
  <c r="OO49" i="10" l="1"/>
  <c r="ON50" i="10" s="1"/>
  <c r="OQ49" i="10"/>
  <c r="OS49" i="10" s="1"/>
  <c r="OO50" i="10" l="1"/>
  <c r="ON51" i="10" s="1"/>
  <c r="OQ50" i="10"/>
  <c r="OS50" i="10" s="1"/>
  <c r="OO51" i="10" l="1"/>
  <c r="ON52" i="10" s="1"/>
  <c r="OQ51" i="10"/>
  <c r="OS51" i="10" s="1"/>
  <c r="OO52" i="10" l="1"/>
  <c r="OQ52" i="10"/>
  <c r="OS52" i="10" s="1"/>
  <c r="OK53" i="10" s="1"/>
  <c r="ON53" i="10" l="1"/>
  <c r="OU42" i="10"/>
  <c r="OX43" i="10" l="1"/>
  <c r="OY43" i="10" s="1"/>
  <c r="OX44" i="10" s="1"/>
  <c r="OY44" i="10" s="1"/>
  <c r="OX45" i="10" s="1"/>
  <c r="OY45" i="10" s="1"/>
  <c r="OX46" i="10" s="1"/>
  <c r="OY46" i="10" s="1"/>
  <c r="PA43" i="10"/>
  <c r="PC43" i="10" s="1"/>
  <c r="PA44" i="10"/>
  <c r="PC44" i="10" s="1"/>
  <c r="PA46" i="10"/>
  <c r="PC46" i="10" s="1"/>
  <c r="PA45" i="10"/>
  <c r="PC45" i="10" s="1"/>
  <c r="OU47" i="10"/>
  <c r="OX47" i="10" s="1"/>
  <c r="OY47" i="10" s="1"/>
  <c r="OX48" i="10" s="1"/>
  <c r="OY48" i="10" s="1"/>
  <c r="OX49" i="10" s="1"/>
  <c r="OY49" i="10" s="1"/>
  <c r="OX50" i="10" s="1"/>
  <c r="OY50" i="10" s="1"/>
  <c r="OX51" i="10" s="1"/>
  <c r="OY51" i="10" s="1"/>
  <c r="OX52" i="10" s="1"/>
  <c r="OY52" i="10" s="1"/>
  <c r="PA48" i="10"/>
  <c r="PC48" i="10" s="1"/>
  <c r="OU53" i="10"/>
  <c r="OO53" i="10"/>
  <c r="ON54" i="10" s="1"/>
  <c r="OQ53" i="10"/>
  <c r="OS53" i="10" s="1"/>
  <c r="OO54" i="10" l="1"/>
  <c r="ON55" i="10" s="1"/>
  <c r="OQ54" i="10"/>
  <c r="OS54" i="10" s="1"/>
  <c r="PA49" i="10"/>
  <c r="PC49" i="10" s="1"/>
  <c r="PA47" i="10"/>
  <c r="PC47" i="10" s="1"/>
  <c r="PA52" i="10"/>
  <c r="PC52" i="10" s="1"/>
  <c r="PA50" i="10"/>
  <c r="PC50" i="10" s="1"/>
  <c r="PA51" i="10"/>
  <c r="PC51" i="10" s="1"/>
  <c r="PE42" i="10"/>
  <c r="PH43" i="10" l="1"/>
  <c r="PI43" i="10" s="1"/>
  <c r="PH44" i="10" s="1"/>
  <c r="PI44" i="10" s="1"/>
  <c r="PH45" i="10" s="1"/>
  <c r="PI45" i="10" s="1"/>
  <c r="PH46" i="10" s="1"/>
  <c r="PI46" i="10" s="1"/>
  <c r="PK44" i="10"/>
  <c r="PM44" i="10" s="1"/>
  <c r="PK43" i="10"/>
  <c r="PM43" i="10" s="1"/>
  <c r="PK45" i="10"/>
  <c r="PM45" i="10" s="1"/>
  <c r="PK46" i="10"/>
  <c r="PM46" i="10" s="1"/>
  <c r="PE47" i="10"/>
  <c r="PH47" i="10" s="1"/>
  <c r="PI47" i="10" s="1"/>
  <c r="PH48" i="10" s="1"/>
  <c r="PI48" i="10" s="1"/>
  <c r="PH49" i="10" s="1"/>
  <c r="PI49" i="10" s="1"/>
  <c r="PH50" i="10" s="1"/>
  <c r="PI50" i="10" s="1"/>
  <c r="PH51" i="10" s="1"/>
  <c r="PI51" i="10" s="1"/>
  <c r="PH52" i="10" s="1"/>
  <c r="PI52" i="10" s="1"/>
  <c r="PK47" i="10"/>
  <c r="PM47" i="10" s="1"/>
  <c r="PE53" i="10"/>
  <c r="PK50" i="10"/>
  <c r="PM50" i="10" s="1"/>
  <c r="OO55" i="10"/>
  <c r="ON56" i="10" s="1"/>
  <c r="OQ55" i="10"/>
  <c r="OS55" i="10" s="1"/>
  <c r="PK52" i="10" l="1"/>
  <c r="PM52" i="10" s="1"/>
  <c r="PK49" i="10"/>
  <c r="PM49" i="10" s="1"/>
  <c r="PK48" i="10"/>
  <c r="PM48" i="10" s="1"/>
  <c r="OO56" i="10"/>
  <c r="OQ56" i="10"/>
  <c r="OS56" i="10" s="1"/>
  <c r="PK51" i="10"/>
  <c r="PM51" i="10" s="1"/>
  <c r="PO42" i="10"/>
  <c r="OQ63" i="10" l="1"/>
  <c r="OS63" i="10" s="1"/>
  <c r="OQ60" i="10"/>
  <c r="OS60" i="10" s="1"/>
  <c r="OQ66" i="10"/>
  <c r="OS66" i="10" s="1"/>
  <c r="OQ65" i="10"/>
  <c r="OS65" i="10" s="1"/>
  <c r="OQ62" i="10"/>
  <c r="OS62" i="10" s="1"/>
  <c r="OQ61" i="10"/>
  <c r="OS61" i="10" s="1"/>
  <c r="OQ64" i="10"/>
  <c r="OS64" i="10" s="1"/>
  <c r="PR43" i="10"/>
  <c r="PS43" i="10" s="1"/>
  <c r="PR44" i="10" s="1"/>
  <c r="PS44" i="10" s="1"/>
  <c r="PR45" i="10" s="1"/>
  <c r="PS45" i="10" s="1"/>
  <c r="PR46" i="10" s="1"/>
  <c r="PS46" i="10" s="1"/>
  <c r="PU46" i="10"/>
  <c r="PW46" i="10" s="1"/>
  <c r="PU44" i="10"/>
  <c r="PW44" i="10" s="1"/>
  <c r="PO47" i="10"/>
  <c r="PR47" i="10" s="1"/>
  <c r="PS47" i="10" s="1"/>
  <c r="PR48" i="10" s="1"/>
  <c r="PS48" i="10" s="1"/>
  <c r="PR49" i="10" s="1"/>
  <c r="PS49" i="10" s="1"/>
  <c r="PR50" i="10" s="1"/>
  <c r="PS50" i="10" s="1"/>
  <c r="PR51" i="10" s="1"/>
  <c r="PS51" i="10" s="1"/>
  <c r="PR52" i="10" s="1"/>
  <c r="PS52" i="10" s="1"/>
  <c r="PU45" i="10"/>
  <c r="PW45" i="10" s="1"/>
  <c r="PU47" i="10"/>
  <c r="PW47" i="10" s="1"/>
  <c r="PU52" i="10"/>
  <c r="PW52" i="10" s="1"/>
  <c r="PU51" i="10"/>
  <c r="PW51" i="10" s="1"/>
  <c r="PU49" i="10"/>
  <c r="PW49" i="10" s="1"/>
  <c r="PO53" i="10"/>
  <c r="ON57" i="10"/>
  <c r="OX53" i="10"/>
  <c r="OY53" i="10" l="1"/>
  <c r="OX54" i="10" s="1"/>
  <c r="PA53" i="10"/>
  <c r="PC53" i="10" s="1"/>
  <c r="PU50" i="10"/>
  <c r="PW50" i="10" s="1"/>
  <c r="PY42" i="10"/>
  <c r="OO57" i="10"/>
  <c r="ON58" i="10" s="1"/>
  <c r="OQ57" i="10"/>
  <c r="OS57" i="10" s="1"/>
  <c r="PU43" i="10"/>
  <c r="PW43" i="10" s="1"/>
  <c r="PU48" i="10"/>
  <c r="PW48" i="10" s="1"/>
  <c r="OO58" i="10" l="1"/>
  <c r="ON59" i="10" s="1"/>
  <c r="OQ58" i="10"/>
  <c r="OS58" i="10" s="1"/>
  <c r="OY54" i="10"/>
  <c r="OX55" i="10" s="1"/>
  <c r="PA54" i="10"/>
  <c r="PC54" i="10" s="1"/>
  <c r="OY55" i="10" l="1"/>
  <c r="OX56" i="10" s="1"/>
  <c r="PA55" i="10"/>
  <c r="PC55" i="10" s="1"/>
  <c r="OO59" i="10"/>
  <c r="ON60" i="10" s="1"/>
  <c r="OO60" i="10" s="1"/>
  <c r="ON61" i="10" s="1"/>
  <c r="OO61" i="10" s="1"/>
  <c r="ON62" i="10" s="1"/>
  <c r="OO62" i="10" s="1"/>
  <c r="ON63" i="10" s="1"/>
  <c r="OO63" i="10" s="1"/>
  <c r="ON64" i="10" s="1"/>
  <c r="OO64" i="10" s="1"/>
  <c r="ON65" i="10" s="1"/>
  <c r="OO65" i="10" s="1"/>
  <c r="ON66" i="10" s="1"/>
  <c r="OO66" i="10" s="1"/>
  <c r="OQ59" i="10"/>
  <c r="OS59" i="10" s="1"/>
  <c r="OY56" i="10" l="1"/>
  <c r="PA56" i="10"/>
  <c r="PC56" i="10" s="1"/>
  <c r="PA62" i="10" l="1"/>
  <c r="PC62" i="10" s="1"/>
  <c r="PA64" i="10"/>
  <c r="PC64" i="10" s="1"/>
  <c r="PA65" i="10"/>
  <c r="PC65" i="10" s="1"/>
  <c r="PA66" i="10"/>
  <c r="PC66" i="10" s="1"/>
  <c r="PA60" i="10"/>
  <c r="PC60" i="10" s="1"/>
  <c r="PA61" i="10"/>
  <c r="PC61" i="10" s="1"/>
  <c r="PA63" i="10"/>
  <c r="PC63" i="10" s="1"/>
  <c r="OX57" i="10"/>
  <c r="PH53" i="10"/>
  <c r="PI53" i="10" l="1"/>
  <c r="PH54" i="10" s="1"/>
  <c r="PK53" i="10"/>
  <c r="PM53" i="10" s="1"/>
  <c r="OY57" i="10"/>
  <c r="OX58" i="10" s="1"/>
  <c r="PA57" i="10"/>
  <c r="PC57" i="10" s="1"/>
  <c r="OY58" i="10" l="1"/>
  <c r="OX59" i="10" s="1"/>
  <c r="PA58" i="10"/>
  <c r="PC58" i="10" s="1"/>
  <c r="PI54" i="10"/>
  <c r="PH55" i="10" s="1"/>
  <c r="PK54" i="10"/>
  <c r="PM54" i="10" s="1"/>
  <c r="PI55" i="10" l="1"/>
  <c r="PH56" i="10" s="1"/>
  <c r="PK55" i="10"/>
  <c r="PM55" i="10" s="1"/>
  <c r="OY59" i="10"/>
  <c r="OX60" i="10" s="1"/>
  <c r="OY60" i="10" s="1"/>
  <c r="OX61" i="10" s="1"/>
  <c r="OY61" i="10" s="1"/>
  <c r="OX62" i="10" s="1"/>
  <c r="OY62" i="10" s="1"/>
  <c r="OX63" i="10" s="1"/>
  <c r="OY63" i="10" s="1"/>
  <c r="OX64" i="10" s="1"/>
  <c r="OY64" i="10" s="1"/>
  <c r="OX65" i="10" s="1"/>
  <c r="OY65" i="10" s="1"/>
  <c r="OX66" i="10" s="1"/>
  <c r="OY66" i="10" s="1"/>
  <c r="PA59" i="10"/>
  <c r="PC59" i="10" s="1"/>
  <c r="PI56" i="10" l="1"/>
  <c r="PK56" i="10"/>
  <c r="PM56" i="10" s="1"/>
  <c r="PK64" i="10" l="1"/>
  <c r="PM64" i="10" s="1"/>
  <c r="PK65" i="10"/>
  <c r="PM65" i="10" s="1"/>
  <c r="PK63" i="10"/>
  <c r="PM63" i="10" s="1"/>
  <c r="PK66" i="10"/>
  <c r="PM66" i="10" s="1"/>
  <c r="PK62" i="10"/>
  <c r="PM62" i="10" s="1"/>
  <c r="PK61" i="10"/>
  <c r="PM61" i="10" s="1"/>
  <c r="PK60" i="10"/>
  <c r="PM60" i="10" s="1"/>
  <c r="PH57" i="10"/>
  <c r="PR53" i="10"/>
  <c r="PS53" i="10" l="1"/>
  <c r="PR54" i="10" s="1"/>
  <c r="PU53" i="10"/>
  <c r="PW53" i="10" s="1"/>
  <c r="PI57" i="10"/>
  <c r="PH58" i="10" s="1"/>
  <c r="PK57" i="10"/>
  <c r="PM57" i="10" s="1"/>
  <c r="PI58" i="10" l="1"/>
  <c r="PH59" i="10" s="1"/>
  <c r="PK58" i="10"/>
  <c r="PM58" i="10" s="1"/>
  <c r="PS54" i="10"/>
  <c r="PR55" i="10" s="1"/>
  <c r="PU54" i="10"/>
  <c r="PW54" i="10" s="1"/>
  <c r="PS55" i="10" l="1"/>
  <c r="PR56" i="10" s="1"/>
  <c r="PU55" i="10"/>
  <c r="PW55" i="10" s="1"/>
  <c r="PI59" i="10"/>
  <c r="PH60" i="10" s="1"/>
  <c r="PI60" i="10" s="1"/>
  <c r="PH61" i="10" s="1"/>
  <c r="PI61" i="10" s="1"/>
  <c r="PH62" i="10" s="1"/>
  <c r="PI62" i="10" s="1"/>
  <c r="PH63" i="10" s="1"/>
  <c r="PI63" i="10" s="1"/>
  <c r="PH64" i="10" s="1"/>
  <c r="PI64" i="10" s="1"/>
  <c r="PH65" i="10" s="1"/>
  <c r="PI65" i="10" s="1"/>
  <c r="PH66" i="10" s="1"/>
  <c r="PI66" i="10" s="1"/>
  <c r="PK59" i="10"/>
  <c r="PM59" i="10" s="1"/>
  <c r="PS56" i="10" l="1"/>
  <c r="PU56" i="10"/>
  <c r="PW56" i="10" s="1"/>
  <c r="PU63" i="10" l="1"/>
  <c r="PW63" i="10" s="1"/>
  <c r="PU60" i="10"/>
  <c r="PW60" i="10" s="1"/>
  <c r="PU65" i="10"/>
  <c r="PW65" i="10" s="1"/>
  <c r="PU62" i="10"/>
  <c r="PW62" i="10" s="1"/>
  <c r="PU66" i="10"/>
  <c r="PW66" i="10" s="1"/>
  <c r="PU61" i="10"/>
  <c r="PW61" i="10" s="1"/>
  <c r="PU64" i="10"/>
  <c r="PW64" i="10" s="1"/>
  <c r="PU59" i="10"/>
  <c r="PW59" i="10" s="1"/>
  <c r="PR57" i="10"/>
  <c r="QB43" i="10"/>
  <c r="PS57" i="10" l="1"/>
  <c r="PR58" i="10" s="1"/>
  <c r="PU57" i="10"/>
  <c r="PW57" i="10" s="1"/>
  <c r="QC43" i="10"/>
  <c r="QB44" i="10" s="1"/>
  <c r="QE43" i="10"/>
  <c r="QG43" i="10" s="1"/>
  <c r="QC44" i="10" l="1"/>
  <c r="QB45" i="10" s="1"/>
  <c r="QE44" i="10"/>
  <c r="QG44" i="10" s="1"/>
  <c r="PS58" i="10"/>
  <c r="PR59" i="10" s="1"/>
  <c r="PS59" i="10" s="1"/>
  <c r="PR60" i="10" s="1"/>
  <c r="PS60" i="10" s="1"/>
  <c r="PR61" i="10" s="1"/>
  <c r="PS61" i="10" s="1"/>
  <c r="PR62" i="10" s="1"/>
  <c r="PS62" i="10" s="1"/>
  <c r="PR63" i="10" s="1"/>
  <c r="PS63" i="10" s="1"/>
  <c r="PR64" i="10" s="1"/>
  <c r="PS64" i="10" s="1"/>
  <c r="PR65" i="10" s="1"/>
  <c r="PS65" i="10" s="1"/>
  <c r="PR66" i="10" s="1"/>
  <c r="PS66" i="10" s="1"/>
  <c r="PU58" i="10"/>
  <c r="PW58" i="10" s="1"/>
  <c r="QC45" i="10" l="1"/>
  <c r="QB46" i="10" s="1"/>
  <c r="QE45" i="10"/>
  <c r="QG45" i="10" s="1"/>
  <c r="QC46" i="10" l="1"/>
  <c r="QE46" i="10"/>
  <c r="QG46" i="10" s="1"/>
  <c r="PY47" i="10" s="1"/>
  <c r="QB47" i="10" l="1"/>
  <c r="QC47" i="10" l="1"/>
  <c r="QB48" i="10" s="1"/>
  <c r="QE47" i="10"/>
  <c r="QG47" i="10" s="1"/>
  <c r="QC48" i="10" l="1"/>
  <c r="QB49" i="10" s="1"/>
  <c r="QE48" i="10"/>
  <c r="QG48" i="10" s="1"/>
  <c r="QC49" i="10" l="1"/>
  <c r="QB50" i="10" s="1"/>
  <c r="QE49" i="10"/>
  <c r="QG49" i="10" s="1"/>
  <c r="QC50" i="10" l="1"/>
  <c r="QB51" i="10" s="1"/>
  <c r="QE50" i="10"/>
  <c r="QG50" i="10" s="1"/>
  <c r="QC51" i="10" l="1"/>
  <c r="QB52" i="10" s="1"/>
  <c r="QE51" i="10"/>
  <c r="QG51" i="10" s="1"/>
  <c r="QC52" i="10" l="1"/>
  <c r="QE52" i="10"/>
  <c r="QG52" i="10" s="1"/>
  <c r="PY53" i="10" s="1"/>
  <c r="QB53" i="10" l="1"/>
  <c r="QI42" i="10"/>
  <c r="QL43" i="10" l="1"/>
  <c r="QM43" i="10" s="1"/>
  <c r="QL44" i="10" s="1"/>
  <c r="QM44" i="10" s="1"/>
  <c r="QL45" i="10" s="1"/>
  <c r="QM45" i="10" s="1"/>
  <c r="QL46" i="10" s="1"/>
  <c r="QM46" i="10" s="1"/>
  <c r="QO45" i="10"/>
  <c r="QQ45" i="10" s="1"/>
  <c r="QI47" i="10"/>
  <c r="QL47" i="10" s="1"/>
  <c r="QM47" i="10" s="1"/>
  <c r="QL48" i="10" s="1"/>
  <c r="QM48" i="10" s="1"/>
  <c r="QL49" i="10" s="1"/>
  <c r="QM49" i="10" s="1"/>
  <c r="QL50" i="10" s="1"/>
  <c r="QM50" i="10" s="1"/>
  <c r="QL51" i="10" s="1"/>
  <c r="QM51" i="10" s="1"/>
  <c r="QL52" i="10" s="1"/>
  <c r="QM52" i="10" s="1"/>
  <c r="QI53" i="10"/>
  <c r="QO48" i="10"/>
  <c r="QQ48" i="10" s="1"/>
  <c r="QC53" i="10"/>
  <c r="QB54" i="10" s="1"/>
  <c r="QE53" i="10"/>
  <c r="QG53" i="10" s="1"/>
  <c r="QO46" i="10" l="1"/>
  <c r="QQ46" i="10" s="1"/>
  <c r="QO44" i="10"/>
  <c r="QQ44" i="10" s="1"/>
  <c r="QO51" i="10"/>
  <c r="QQ51" i="10" s="1"/>
  <c r="QO52" i="10"/>
  <c r="QQ52" i="10" s="1"/>
  <c r="QO43" i="10"/>
  <c r="QQ43" i="10" s="1"/>
  <c r="QO47" i="10"/>
  <c r="QQ47" i="10" s="1"/>
  <c r="QC54" i="10"/>
  <c r="QB55" i="10" s="1"/>
  <c r="QE54" i="10"/>
  <c r="QG54" i="10" s="1"/>
  <c r="QO49" i="10"/>
  <c r="QQ49" i="10" s="1"/>
  <c r="QO50" i="10"/>
  <c r="QQ50" i="10" s="1"/>
  <c r="QS42" i="10"/>
  <c r="QC55" i="10" l="1"/>
  <c r="QB56" i="10" s="1"/>
  <c r="QE55" i="10"/>
  <c r="QG55" i="10" s="1"/>
  <c r="QV43" i="10"/>
  <c r="QW43" i="10" s="1"/>
  <c r="QV44" i="10" s="1"/>
  <c r="QW44" i="10" s="1"/>
  <c r="QV45" i="10" s="1"/>
  <c r="QW45" i="10" s="1"/>
  <c r="QV46" i="10" s="1"/>
  <c r="QW46" i="10" s="1"/>
  <c r="QY46" i="10"/>
  <c r="RA46" i="10" s="1"/>
  <c r="QY45" i="10"/>
  <c r="RA45" i="10" s="1"/>
  <c r="QS47" i="10"/>
  <c r="QV47" i="10" s="1"/>
  <c r="QW47" i="10" s="1"/>
  <c r="QV48" i="10" s="1"/>
  <c r="QW48" i="10" s="1"/>
  <c r="QV49" i="10" s="1"/>
  <c r="QW49" i="10" s="1"/>
  <c r="QV50" i="10" s="1"/>
  <c r="QW50" i="10" s="1"/>
  <c r="QV51" i="10" s="1"/>
  <c r="QW51" i="10" s="1"/>
  <c r="QV52" i="10" s="1"/>
  <c r="QW52" i="10" s="1"/>
  <c r="QY50" i="10"/>
  <c r="RA50" i="10" s="1"/>
  <c r="QY47" i="10"/>
  <c r="RA47" i="10" s="1"/>
  <c r="QY51" i="10"/>
  <c r="RA51" i="10" s="1"/>
  <c r="QY49" i="10"/>
  <c r="RA49" i="10" s="1"/>
  <c r="QY52" i="10"/>
  <c r="RA52" i="10" s="1"/>
  <c r="QY48" i="10"/>
  <c r="RA48" i="10" s="1"/>
  <c r="QS53" i="10"/>
  <c r="QY44" i="10" l="1"/>
  <c r="RA44" i="10" s="1"/>
  <c r="RC42" i="10"/>
  <c r="QY43" i="10"/>
  <c r="RA43" i="10" s="1"/>
  <c r="QC56" i="10"/>
  <c r="QE56" i="10"/>
  <c r="QG56" i="10" s="1"/>
  <c r="QE65" i="10" l="1"/>
  <c r="QG65" i="10" s="1"/>
  <c r="QE61" i="10"/>
  <c r="QG61" i="10" s="1"/>
  <c r="QE66" i="10"/>
  <c r="QG66" i="10" s="1"/>
  <c r="QE64" i="10"/>
  <c r="QG64" i="10" s="1"/>
  <c r="QE63" i="10"/>
  <c r="QG63" i="10" s="1"/>
  <c r="QE60" i="10"/>
  <c r="QG60" i="10" s="1"/>
  <c r="QE62" i="10"/>
  <c r="QG62" i="10" s="1"/>
  <c r="QB57" i="10"/>
  <c r="QL53" i="10"/>
  <c r="RF43" i="10"/>
  <c r="RG43" i="10" s="1"/>
  <c r="RF44" i="10" s="1"/>
  <c r="RG44" i="10" s="1"/>
  <c r="RF45" i="10" s="1"/>
  <c r="RG45" i="10" s="1"/>
  <c r="RF46" i="10" s="1"/>
  <c r="RG46" i="10" s="1"/>
  <c r="RI45" i="10"/>
  <c r="RK45" i="10" s="1"/>
  <c r="RC47" i="10"/>
  <c r="RF47" i="10" s="1"/>
  <c r="RG47" i="10" s="1"/>
  <c r="RF48" i="10" s="1"/>
  <c r="RG48" i="10" s="1"/>
  <c r="RF49" i="10" s="1"/>
  <c r="RG49" i="10" s="1"/>
  <c r="RF50" i="10" s="1"/>
  <c r="RG50" i="10" s="1"/>
  <c r="RF51" i="10" s="1"/>
  <c r="RG51" i="10" s="1"/>
  <c r="RF52" i="10" s="1"/>
  <c r="RG52" i="10" s="1"/>
  <c r="RI47" i="10"/>
  <c r="RK47" i="10" s="1"/>
  <c r="RI49" i="10"/>
  <c r="RK49" i="10" s="1"/>
  <c r="RC53" i="10"/>
  <c r="RI52" i="10"/>
  <c r="RK52" i="10" s="1"/>
  <c r="RI50" i="10" l="1"/>
  <c r="RK50" i="10" s="1"/>
  <c r="RI44" i="10"/>
  <c r="RK44" i="10" s="1"/>
  <c r="RI48" i="10"/>
  <c r="RK48" i="10" s="1"/>
  <c r="RI46" i="10"/>
  <c r="RK46" i="10" s="1"/>
  <c r="QM53" i="10"/>
  <c r="QL54" i="10" s="1"/>
  <c r="QO53" i="10"/>
  <c r="QQ53" i="10" s="1"/>
  <c r="RI43" i="10"/>
  <c r="RK43" i="10" s="1"/>
  <c r="QC57" i="10"/>
  <c r="QB58" i="10" s="1"/>
  <c r="QE57" i="10"/>
  <c r="QG57" i="10" s="1"/>
  <c r="RI51" i="10"/>
  <c r="RK51" i="10" s="1"/>
  <c r="RM42" i="10"/>
  <c r="QM54" i="10" l="1"/>
  <c r="QL55" i="10" s="1"/>
  <c r="QO54" i="10"/>
  <c r="QQ54" i="10" s="1"/>
  <c r="QC58" i="10"/>
  <c r="QB59" i="10" s="1"/>
  <c r="QE58" i="10"/>
  <c r="QG58" i="10" s="1"/>
  <c r="QC59" i="10" l="1"/>
  <c r="QB60" i="10" s="1"/>
  <c r="QC60" i="10" s="1"/>
  <c r="QB61" i="10" s="1"/>
  <c r="QC61" i="10" s="1"/>
  <c r="QB62" i="10" s="1"/>
  <c r="QC62" i="10" s="1"/>
  <c r="QB63" i="10" s="1"/>
  <c r="QC63" i="10" s="1"/>
  <c r="QB64" i="10" s="1"/>
  <c r="QC64" i="10" s="1"/>
  <c r="QB65" i="10" s="1"/>
  <c r="QC65" i="10" s="1"/>
  <c r="QB66" i="10" s="1"/>
  <c r="QC66" i="10" s="1"/>
  <c r="QE59" i="10"/>
  <c r="QG59" i="10" s="1"/>
  <c r="QM55" i="10"/>
  <c r="QL56" i="10" s="1"/>
  <c r="QO55" i="10"/>
  <c r="QQ55" i="10" s="1"/>
  <c r="QM56" i="10" l="1"/>
  <c r="QO56" i="10"/>
  <c r="QQ56" i="10" s="1"/>
  <c r="QO65" i="10" l="1"/>
  <c r="QQ65" i="10" s="1"/>
  <c r="QO64" i="10"/>
  <c r="QQ64" i="10" s="1"/>
  <c r="QO62" i="10"/>
  <c r="QQ62" i="10" s="1"/>
  <c r="QO66" i="10"/>
  <c r="QQ66" i="10" s="1"/>
  <c r="QO60" i="10"/>
  <c r="QQ60" i="10" s="1"/>
  <c r="QO63" i="10"/>
  <c r="QQ63" i="10" s="1"/>
  <c r="QO61" i="10"/>
  <c r="QQ61" i="10" s="1"/>
  <c r="QL57" i="10"/>
  <c r="QV53" i="10"/>
  <c r="QW53" i="10" l="1"/>
  <c r="QV54" i="10" s="1"/>
  <c r="QY53" i="10"/>
  <c r="RA53" i="10" s="1"/>
  <c r="QM57" i="10"/>
  <c r="QL58" i="10" s="1"/>
  <c r="QO57" i="10"/>
  <c r="QQ57" i="10" s="1"/>
  <c r="QM58" i="10" l="1"/>
  <c r="QL59" i="10" s="1"/>
  <c r="QO58" i="10"/>
  <c r="QQ58" i="10" s="1"/>
  <c r="QW54" i="10"/>
  <c r="QV55" i="10" s="1"/>
  <c r="QY54" i="10"/>
  <c r="RA54" i="10" s="1"/>
  <c r="QW55" i="10" l="1"/>
  <c r="QV56" i="10" s="1"/>
  <c r="QY55" i="10"/>
  <c r="RA55" i="10" s="1"/>
  <c r="QM59" i="10"/>
  <c r="QL60" i="10" s="1"/>
  <c r="QM60" i="10" s="1"/>
  <c r="QL61" i="10" s="1"/>
  <c r="QM61" i="10" s="1"/>
  <c r="QL62" i="10" s="1"/>
  <c r="QM62" i="10" s="1"/>
  <c r="QL63" i="10" s="1"/>
  <c r="QM63" i="10" s="1"/>
  <c r="QL64" i="10" s="1"/>
  <c r="QM64" i="10" s="1"/>
  <c r="QL65" i="10" s="1"/>
  <c r="QM65" i="10" s="1"/>
  <c r="QL66" i="10" s="1"/>
  <c r="QM66" i="10" s="1"/>
  <c r="QO59" i="10"/>
  <c r="QQ59" i="10" s="1"/>
  <c r="QW56" i="10" l="1"/>
  <c r="QY56" i="10"/>
  <c r="RA56" i="10" s="1"/>
  <c r="QY63" i="10" l="1"/>
  <c r="RA63" i="10" s="1"/>
  <c r="QY62" i="10"/>
  <c r="RA62" i="10" s="1"/>
  <c r="QY60" i="10"/>
  <c r="RA60" i="10" s="1"/>
  <c r="QY64" i="10"/>
  <c r="RA64" i="10" s="1"/>
  <c r="QY65" i="10"/>
  <c r="RA65" i="10" s="1"/>
  <c r="QY66" i="10"/>
  <c r="RA66" i="10" s="1"/>
  <c r="QY61" i="10"/>
  <c r="RA61" i="10" s="1"/>
  <c r="QV57" i="10"/>
  <c r="RF53" i="10"/>
  <c r="RG53" i="10" l="1"/>
  <c r="RF54" i="10" s="1"/>
  <c r="RI53" i="10"/>
  <c r="RK53" i="10" s="1"/>
  <c r="QW57" i="10"/>
  <c r="QV58" i="10" s="1"/>
  <c r="QY57" i="10"/>
  <c r="RA57" i="10" s="1"/>
  <c r="QW58" i="10" l="1"/>
  <c r="QV59" i="10" s="1"/>
  <c r="QY58" i="10"/>
  <c r="RA58" i="10" s="1"/>
  <c r="RG54" i="10"/>
  <c r="RF55" i="10" s="1"/>
  <c r="RI54" i="10"/>
  <c r="RK54" i="10" s="1"/>
  <c r="RG55" i="10" l="1"/>
  <c r="RF56" i="10" s="1"/>
  <c r="RI55" i="10"/>
  <c r="RK55" i="10" s="1"/>
  <c r="QW59" i="10"/>
  <c r="QV60" i="10" s="1"/>
  <c r="QW60" i="10" s="1"/>
  <c r="QV61" i="10" s="1"/>
  <c r="QW61" i="10" s="1"/>
  <c r="QV62" i="10" s="1"/>
  <c r="QW62" i="10" s="1"/>
  <c r="QV63" i="10" s="1"/>
  <c r="QW63" i="10" s="1"/>
  <c r="QV64" i="10" s="1"/>
  <c r="QW64" i="10" s="1"/>
  <c r="QV65" i="10" s="1"/>
  <c r="QW65" i="10" s="1"/>
  <c r="QV66" i="10" s="1"/>
  <c r="QW66" i="10" s="1"/>
  <c r="QY59" i="10"/>
  <c r="RA59" i="10" s="1"/>
  <c r="RG56" i="10" l="1"/>
  <c r="RI56" i="10"/>
  <c r="RK56" i="10" s="1"/>
  <c r="RI60" i="10" l="1"/>
  <c r="RK60" i="10" s="1"/>
  <c r="RI63" i="10"/>
  <c r="RK63" i="10" s="1"/>
  <c r="RI64" i="10"/>
  <c r="RK64" i="10" s="1"/>
  <c r="RI62" i="10"/>
  <c r="RK62" i="10" s="1"/>
  <c r="RI59" i="10"/>
  <c r="RK59" i="10" s="1"/>
  <c r="RI65" i="10"/>
  <c r="RK65" i="10" s="1"/>
  <c r="RI61" i="10"/>
  <c r="RK61" i="10" s="1"/>
  <c r="RI66" i="10"/>
  <c r="RK66" i="10" s="1"/>
  <c r="RF57" i="10"/>
  <c r="RP43" i="10"/>
  <c r="RG57" i="10" l="1"/>
  <c r="RF58" i="10" s="1"/>
  <c r="RI57" i="10"/>
  <c r="RK57" i="10" s="1"/>
  <c r="RQ43" i="10"/>
  <c r="RP44" i="10" s="1"/>
  <c r="RS43" i="10"/>
  <c r="RU43" i="10" s="1"/>
  <c r="RQ44" i="10" l="1"/>
  <c r="RP45" i="10" s="1"/>
  <c r="RS44" i="10"/>
  <c r="RU44" i="10" s="1"/>
  <c r="RG58" i="10"/>
  <c r="RF59" i="10" s="1"/>
  <c r="RG59" i="10" s="1"/>
  <c r="RF60" i="10" s="1"/>
  <c r="RG60" i="10" s="1"/>
  <c r="RF61" i="10" s="1"/>
  <c r="RG61" i="10" s="1"/>
  <c r="RF62" i="10" s="1"/>
  <c r="RG62" i="10" s="1"/>
  <c r="RF63" i="10" s="1"/>
  <c r="RG63" i="10" s="1"/>
  <c r="RF64" i="10" s="1"/>
  <c r="RG64" i="10" s="1"/>
  <c r="RF65" i="10" s="1"/>
  <c r="RG65" i="10" s="1"/>
  <c r="RF66" i="10" s="1"/>
  <c r="RG66" i="10" s="1"/>
  <c r="RI58" i="10"/>
  <c r="RK58" i="10" s="1"/>
  <c r="RQ45" i="10" l="1"/>
  <c r="RP46" i="10" s="1"/>
  <c r="RS45" i="10"/>
  <c r="RU45" i="10" s="1"/>
  <c r="RQ46" i="10" l="1"/>
  <c r="RS46" i="10"/>
  <c r="RU46" i="10" s="1"/>
  <c r="RM47" i="10" s="1"/>
  <c r="RP47" i="10" l="1"/>
  <c r="RQ47" i="10" l="1"/>
  <c r="RP48" i="10" s="1"/>
  <c r="RS47" i="10"/>
  <c r="RU47" i="10" s="1"/>
  <c r="RQ48" i="10" l="1"/>
  <c r="RP49" i="10" s="1"/>
  <c r="RS48" i="10"/>
  <c r="RU48" i="10" s="1"/>
  <c r="RQ49" i="10" l="1"/>
  <c r="RP50" i="10" s="1"/>
  <c r="RS49" i="10"/>
  <c r="RU49" i="10" s="1"/>
  <c r="RQ50" i="10" l="1"/>
  <c r="RP51" i="10" s="1"/>
  <c r="RS50" i="10"/>
  <c r="RU50" i="10" s="1"/>
  <c r="RQ51" i="10" l="1"/>
  <c r="RP52" i="10" s="1"/>
  <c r="RS51" i="10"/>
  <c r="RU51" i="10" s="1"/>
  <c r="RQ52" i="10" l="1"/>
  <c r="RS52" i="10"/>
  <c r="RU52" i="10" s="1"/>
  <c r="RM53" i="10" s="1"/>
  <c r="RP53" i="10" l="1"/>
  <c r="RW42" i="10"/>
  <c r="RZ43" i="10" l="1"/>
  <c r="SA43" i="10" s="1"/>
  <c r="RZ44" i="10" s="1"/>
  <c r="SA44" i="10" s="1"/>
  <c r="RZ45" i="10" s="1"/>
  <c r="SA45" i="10" s="1"/>
  <c r="RZ46" i="10" s="1"/>
  <c r="SA46" i="10" s="1"/>
  <c r="SC44" i="10"/>
  <c r="SE44" i="10" s="1"/>
  <c r="SC43" i="10"/>
  <c r="SE43" i="10" s="1"/>
  <c r="SC46" i="10"/>
  <c r="SE46" i="10" s="1"/>
  <c r="SC45" i="10"/>
  <c r="SE45" i="10" s="1"/>
  <c r="RW47" i="10"/>
  <c r="RZ47" i="10" s="1"/>
  <c r="SA47" i="10" s="1"/>
  <c r="RZ48" i="10" s="1"/>
  <c r="SA48" i="10" s="1"/>
  <c r="RZ49" i="10" s="1"/>
  <c r="SA49" i="10" s="1"/>
  <c r="RZ50" i="10" s="1"/>
  <c r="SA50" i="10" s="1"/>
  <c r="RZ51" i="10" s="1"/>
  <c r="SA51" i="10" s="1"/>
  <c r="RZ52" i="10" s="1"/>
  <c r="SA52" i="10" s="1"/>
  <c r="SC51" i="10"/>
  <c r="SE51" i="10" s="1"/>
  <c r="RW53" i="10"/>
  <c r="SC47" i="10"/>
  <c r="SE47" i="10" s="1"/>
  <c r="RQ53" i="10"/>
  <c r="RP54" i="10" s="1"/>
  <c r="RS53" i="10"/>
  <c r="RU53" i="10" s="1"/>
  <c r="SC50" i="10" l="1"/>
  <c r="SE50" i="10" s="1"/>
  <c r="SC48" i="10"/>
  <c r="SE48" i="10" s="1"/>
  <c r="RQ54" i="10"/>
  <c r="RP55" i="10" s="1"/>
  <c r="RS54" i="10"/>
  <c r="RU54" i="10" s="1"/>
  <c r="SC49" i="10"/>
  <c r="SE49" i="10" s="1"/>
  <c r="SC52" i="10"/>
  <c r="SE52" i="10" s="1"/>
  <c r="SG42" i="10"/>
  <c r="RQ55" i="10" l="1"/>
  <c r="RP56" i="10" s="1"/>
  <c r="RS55" i="10"/>
  <c r="RU55" i="10" s="1"/>
  <c r="SJ43" i="10"/>
  <c r="SK43" i="10" s="1"/>
  <c r="SJ44" i="10" s="1"/>
  <c r="SK44" i="10" s="1"/>
  <c r="SJ45" i="10" s="1"/>
  <c r="SK45" i="10" s="1"/>
  <c r="SJ46" i="10" s="1"/>
  <c r="SK46" i="10" s="1"/>
  <c r="SM45" i="10"/>
  <c r="SO45" i="10" s="1"/>
  <c r="SM44" i="10"/>
  <c r="SO44" i="10" s="1"/>
  <c r="SM47" i="10"/>
  <c r="SO47" i="10" s="1"/>
  <c r="SG47" i="10"/>
  <c r="SJ47" i="10" s="1"/>
  <c r="SK47" i="10" s="1"/>
  <c r="SJ48" i="10" s="1"/>
  <c r="SK48" i="10" s="1"/>
  <c r="SJ49" i="10" s="1"/>
  <c r="SK49" i="10" s="1"/>
  <c r="SJ50" i="10" s="1"/>
  <c r="SK50" i="10" s="1"/>
  <c r="SJ51" i="10" s="1"/>
  <c r="SK51" i="10" s="1"/>
  <c r="SJ52" i="10" s="1"/>
  <c r="SK52" i="10" s="1"/>
  <c r="SM49" i="10"/>
  <c r="SO49" i="10" s="1"/>
  <c r="SM48" i="10"/>
  <c r="SO48" i="10" s="1"/>
  <c r="SM50" i="10"/>
  <c r="SO50" i="10" s="1"/>
  <c r="SM51" i="10"/>
  <c r="SO51" i="10" s="1"/>
  <c r="SG53" i="10"/>
  <c r="SM52" i="10"/>
  <c r="SO52" i="10" s="1"/>
  <c r="SM43" i="10" l="1"/>
  <c r="SO43" i="10" s="1"/>
  <c r="SM46" i="10"/>
  <c r="SO46" i="10" s="1"/>
  <c r="SQ42" i="10"/>
  <c r="RQ56" i="10"/>
  <c r="RS56" i="10"/>
  <c r="RU56" i="10" s="1"/>
  <c r="RS63" i="10" l="1"/>
  <c r="RU63" i="10" s="1"/>
  <c r="RS64" i="10"/>
  <c r="RU64" i="10" s="1"/>
  <c r="RS62" i="10"/>
  <c r="RU62" i="10" s="1"/>
  <c r="RS60" i="10"/>
  <c r="RU60" i="10" s="1"/>
  <c r="RS66" i="10"/>
  <c r="RU66" i="10" s="1"/>
  <c r="RS65" i="10"/>
  <c r="RU65" i="10" s="1"/>
  <c r="RS61" i="10"/>
  <c r="RU61" i="10" s="1"/>
  <c r="RP57" i="10"/>
  <c r="RZ53" i="10"/>
  <c r="ST43" i="10"/>
  <c r="SU43" i="10" s="1"/>
  <c r="ST44" i="10" s="1"/>
  <c r="SU44" i="10" s="1"/>
  <c r="ST45" i="10" s="1"/>
  <c r="SU45" i="10" s="1"/>
  <c r="ST46" i="10" s="1"/>
  <c r="SU46" i="10" s="1"/>
  <c r="SW46" i="10"/>
  <c r="SY46" i="10" s="1"/>
  <c r="SQ47" i="10"/>
  <c r="ST47" i="10" s="1"/>
  <c r="SU47" i="10" s="1"/>
  <c r="ST48" i="10" s="1"/>
  <c r="SU48" i="10" s="1"/>
  <c r="ST49" i="10" s="1"/>
  <c r="SU49" i="10" s="1"/>
  <c r="ST50" i="10" s="1"/>
  <c r="SU50" i="10" s="1"/>
  <c r="ST51" i="10" s="1"/>
  <c r="SU51" i="10" s="1"/>
  <c r="ST52" i="10" s="1"/>
  <c r="SU52" i="10" s="1"/>
  <c r="SW49" i="10"/>
  <c r="SY49" i="10" s="1"/>
  <c r="SQ53" i="10"/>
  <c r="SW52" i="10"/>
  <c r="SY52" i="10" s="1"/>
  <c r="SW50" i="10" l="1"/>
  <c r="SY50" i="10" s="1"/>
  <c r="SW51" i="10"/>
  <c r="SY51" i="10" s="1"/>
  <c r="TA42" i="10"/>
  <c r="SW45" i="10"/>
  <c r="SY45" i="10" s="1"/>
  <c r="SA53" i="10"/>
  <c r="RZ54" i="10" s="1"/>
  <c r="SC53" i="10"/>
  <c r="SE53" i="10" s="1"/>
  <c r="SW44" i="10"/>
  <c r="SY44" i="10" s="1"/>
  <c r="SW43" i="10"/>
  <c r="SY43" i="10" s="1"/>
  <c r="SW48" i="10"/>
  <c r="SY48" i="10" s="1"/>
  <c r="RQ57" i="10"/>
  <c r="RP58" i="10" s="1"/>
  <c r="RS57" i="10"/>
  <c r="RU57" i="10" s="1"/>
  <c r="SW47" i="10"/>
  <c r="SY47" i="10" s="1"/>
  <c r="SA54" i="10" l="1"/>
  <c r="RZ55" i="10" s="1"/>
  <c r="SC54" i="10"/>
  <c r="SE54" i="10" s="1"/>
  <c r="RQ58" i="10"/>
  <c r="RP59" i="10" s="1"/>
  <c r="RS58" i="10"/>
  <c r="RU58" i="10" s="1"/>
  <c r="RQ59" i="10" l="1"/>
  <c r="RP60" i="10" s="1"/>
  <c r="RQ60" i="10" s="1"/>
  <c r="RP61" i="10" s="1"/>
  <c r="RQ61" i="10" s="1"/>
  <c r="RP62" i="10" s="1"/>
  <c r="RQ62" i="10" s="1"/>
  <c r="RP63" i="10" s="1"/>
  <c r="RQ63" i="10" s="1"/>
  <c r="RP64" i="10" s="1"/>
  <c r="RQ64" i="10" s="1"/>
  <c r="RP65" i="10" s="1"/>
  <c r="RQ65" i="10" s="1"/>
  <c r="RP66" i="10" s="1"/>
  <c r="RQ66" i="10" s="1"/>
  <c r="RS59" i="10"/>
  <c r="RU59" i="10" s="1"/>
  <c r="SA55" i="10"/>
  <c r="RZ56" i="10" s="1"/>
  <c r="SC55" i="10"/>
  <c r="SE55" i="10" s="1"/>
  <c r="SA56" i="10" l="1"/>
  <c r="SC56" i="10"/>
  <c r="SE56" i="10" s="1"/>
  <c r="SC66" i="10" l="1"/>
  <c r="SE66" i="10" s="1"/>
  <c r="SC65" i="10"/>
  <c r="SE65" i="10" s="1"/>
  <c r="SC60" i="10"/>
  <c r="SE60" i="10" s="1"/>
  <c r="SC63" i="10"/>
  <c r="SE63" i="10" s="1"/>
  <c r="SC61" i="10"/>
  <c r="SE61" i="10" s="1"/>
  <c r="SC62" i="10"/>
  <c r="SE62" i="10" s="1"/>
  <c r="SC64" i="10"/>
  <c r="SE64" i="10" s="1"/>
  <c r="RZ57" i="10"/>
  <c r="SJ53" i="10"/>
  <c r="SK53" i="10" l="1"/>
  <c r="SJ54" i="10" s="1"/>
  <c r="SM53" i="10"/>
  <c r="SO53" i="10" s="1"/>
  <c r="SA57" i="10"/>
  <c r="RZ58" i="10" s="1"/>
  <c r="SC57" i="10"/>
  <c r="SE57" i="10" s="1"/>
  <c r="SA58" i="10" l="1"/>
  <c r="RZ59" i="10" s="1"/>
  <c r="SC58" i="10"/>
  <c r="SE58" i="10" s="1"/>
  <c r="SK54" i="10"/>
  <c r="SJ55" i="10" s="1"/>
  <c r="SM54" i="10"/>
  <c r="SO54" i="10" s="1"/>
  <c r="SK55" i="10" l="1"/>
  <c r="SJ56" i="10" s="1"/>
  <c r="SM55" i="10"/>
  <c r="SO55" i="10" s="1"/>
  <c r="SA59" i="10"/>
  <c r="RZ60" i="10" s="1"/>
  <c r="SA60" i="10" s="1"/>
  <c r="RZ61" i="10" s="1"/>
  <c r="SA61" i="10" s="1"/>
  <c r="RZ62" i="10" s="1"/>
  <c r="SA62" i="10" s="1"/>
  <c r="RZ63" i="10" s="1"/>
  <c r="SA63" i="10" s="1"/>
  <c r="RZ64" i="10" s="1"/>
  <c r="SA64" i="10" s="1"/>
  <c r="RZ65" i="10" s="1"/>
  <c r="SA65" i="10" s="1"/>
  <c r="RZ66" i="10" s="1"/>
  <c r="SA66" i="10" s="1"/>
  <c r="SC59" i="10"/>
  <c r="SE59" i="10" s="1"/>
  <c r="SK56" i="10" l="1"/>
  <c r="SM56" i="10"/>
  <c r="SO56" i="10" s="1"/>
  <c r="SM62" i="10" l="1"/>
  <c r="SO62" i="10" s="1"/>
  <c r="SM60" i="10"/>
  <c r="SO60" i="10" s="1"/>
  <c r="SM63" i="10"/>
  <c r="SO63" i="10" s="1"/>
  <c r="SM64" i="10"/>
  <c r="SO64" i="10" s="1"/>
  <c r="SM65" i="10"/>
  <c r="SO65" i="10" s="1"/>
  <c r="SM61" i="10"/>
  <c r="SO61" i="10" s="1"/>
  <c r="SM66" i="10"/>
  <c r="SO66" i="10" s="1"/>
  <c r="SJ57" i="10"/>
  <c r="ST53" i="10"/>
  <c r="SK57" i="10" l="1"/>
  <c r="SJ58" i="10" s="1"/>
  <c r="SM57" i="10"/>
  <c r="SO57" i="10" s="1"/>
  <c r="SU53" i="10"/>
  <c r="ST54" i="10" s="1"/>
  <c r="SW53" i="10"/>
  <c r="SY53" i="10" s="1"/>
  <c r="SU54" i="10" l="1"/>
  <c r="ST55" i="10" s="1"/>
  <c r="SW54" i="10"/>
  <c r="SY54" i="10" s="1"/>
  <c r="SK58" i="10"/>
  <c r="SJ59" i="10" s="1"/>
  <c r="SM58" i="10"/>
  <c r="SO58" i="10" s="1"/>
  <c r="SK59" i="10" l="1"/>
  <c r="SJ60" i="10" s="1"/>
  <c r="SK60" i="10" s="1"/>
  <c r="SJ61" i="10" s="1"/>
  <c r="SK61" i="10" s="1"/>
  <c r="SJ62" i="10" s="1"/>
  <c r="SK62" i="10" s="1"/>
  <c r="SJ63" i="10" s="1"/>
  <c r="SK63" i="10" s="1"/>
  <c r="SJ64" i="10" s="1"/>
  <c r="SK64" i="10" s="1"/>
  <c r="SJ65" i="10" s="1"/>
  <c r="SK65" i="10" s="1"/>
  <c r="SJ66" i="10" s="1"/>
  <c r="SK66" i="10" s="1"/>
  <c r="SM59" i="10"/>
  <c r="SO59" i="10" s="1"/>
  <c r="SU55" i="10"/>
  <c r="ST56" i="10" s="1"/>
  <c r="SW55" i="10"/>
  <c r="SY55" i="10" s="1"/>
  <c r="SU56" i="10" l="1"/>
  <c r="SW56" i="10"/>
  <c r="SY56" i="10" s="1"/>
  <c r="SW61" i="10" l="1"/>
  <c r="SY61" i="10" s="1"/>
  <c r="SW64" i="10"/>
  <c r="SY64" i="10" s="1"/>
  <c r="SW60" i="10"/>
  <c r="SY60" i="10" s="1"/>
  <c r="SW66" i="10"/>
  <c r="SY66" i="10" s="1"/>
  <c r="SW63" i="10"/>
  <c r="SY63" i="10" s="1"/>
  <c r="SW62" i="10"/>
  <c r="SY62" i="10" s="1"/>
  <c r="SW65" i="10"/>
  <c r="SY65" i="10" s="1"/>
  <c r="SW59" i="10"/>
  <c r="SY59" i="10" s="1"/>
  <c r="ST57" i="10"/>
  <c r="TD43" i="10"/>
  <c r="TE43" i="10" l="1"/>
  <c r="TD44" i="10" s="1"/>
  <c r="TG43" i="10"/>
  <c r="TI43" i="10" s="1"/>
  <c r="SU57" i="10"/>
  <c r="ST58" i="10" s="1"/>
  <c r="SW57" i="10"/>
  <c r="SY57" i="10" s="1"/>
  <c r="SU58" i="10" l="1"/>
  <c r="ST59" i="10" s="1"/>
  <c r="SU59" i="10" s="1"/>
  <c r="ST60" i="10" s="1"/>
  <c r="SU60" i="10" s="1"/>
  <c r="ST61" i="10" s="1"/>
  <c r="SU61" i="10" s="1"/>
  <c r="ST62" i="10" s="1"/>
  <c r="SU62" i="10" s="1"/>
  <c r="ST63" i="10" s="1"/>
  <c r="SU63" i="10" s="1"/>
  <c r="ST64" i="10" s="1"/>
  <c r="SU64" i="10" s="1"/>
  <c r="ST65" i="10" s="1"/>
  <c r="SU65" i="10" s="1"/>
  <c r="ST66" i="10" s="1"/>
  <c r="SU66" i="10" s="1"/>
  <c r="SW58" i="10"/>
  <c r="SY58" i="10" s="1"/>
  <c r="TE44" i="10"/>
  <c r="TD45" i="10" s="1"/>
  <c r="TG44" i="10"/>
  <c r="TI44" i="10" s="1"/>
  <c r="TE45" i="10" l="1"/>
  <c r="TD46" i="10" s="1"/>
  <c r="TG45" i="10"/>
  <c r="TI45" i="10" s="1"/>
  <c r="TE46" i="10" l="1"/>
  <c r="TG46" i="10"/>
  <c r="TI46" i="10" s="1"/>
  <c r="TA47" i="10" s="1"/>
  <c r="TD47" i="10" l="1"/>
  <c r="TE47" i="10" l="1"/>
  <c r="TD48" i="10" s="1"/>
  <c r="TG47" i="10"/>
  <c r="TI47" i="10" s="1"/>
  <c r="TE48" i="10" l="1"/>
  <c r="TD49" i="10" s="1"/>
  <c r="TG48" i="10"/>
  <c r="TI48" i="10" s="1"/>
  <c r="TE49" i="10" l="1"/>
  <c r="TD50" i="10" s="1"/>
  <c r="TG49" i="10"/>
  <c r="TI49" i="10" s="1"/>
  <c r="TE50" i="10" l="1"/>
  <c r="TD51" i="10" s="1"/>
  <c r="TG50" i="10"/>
  <c r="TI50" i="10" s="1"/>
  <c r="TE51" i="10" l="1"/>
  <c r="TD52" i="10" s="1"/>
  <c r="TG51" i="10"/>
  <c r="TI51" i="10" s="1"/>
  <c r="TE52" i="10" l="1"/>
  <c r="TG52" i="10"/>
  <c r="TI52" i="10" s="1"/>
  <c r="TA53" i="10" s="1"/>
  <c r="TD53" i="10" l="1"/>
  <c r="TK42" i="10"/>
  <c r="TQ43" i="10" l="1"/>
  <c r="TS43" i="10" s="1"/>
  <c r="TK47" i="10"/>
  <c r="TN47" i="10" s="1"/>
  <c r="TO47" i="10" s="1"/>
  <c r="TN48" i="10" s="1"/>
  <c r="TO48" i="10" s="1"/>
  <c r="TN49" i="10" s="1"/>
  <c r="TO49" i="10" s="1"/>
  <c r="TN50" i="10" s="1"/>
  <c r="TO50" i="10" s="1"/>
  <c r="TN51" i="10" s="1"/>
  <c r="TO51" i="10" s="1"/>
  <c r="TN52" i="10" s="1"/>
  <c r="TO52" i="10" s="1"/>
  <c r="TQ47" i="10"/>
  <c r="TS47" i="10" s="1"/>
  <c r="TQ49" i="10"/>
  <c r="TS49" i="10" s="1"/>
  <c r="TK53" i="10"/>
  <c r="TQ51" i="10"/>
  <c r="TS51" i="10" s="1"/>
  <c r="TN43" i="10"/>
  <c r="TO43" i="10" s="1"/>
  <c r="TN44" i="10" s="1"/>
  <c r="TO44" i="10" s="1"/>
  <c r="TN45" i="10" s="1"/>
  <c r="TO45" i="10" s="1"/>
  <c r="TN46" i="10" s="1"/>
  <c r="TO46" i="10" s="1"/>
  <c r="TE53" i="10"/>
  <c r="TD54" i="10" s="1"/>
  <c r="TG53" i="10"/>
  <c r="TI53" i="10" s="1"/>
  <c r="TQ48" i="10" l="1"/>
  <c r="TS48" i="10" s="1"/>
  <c r="TQ46" i="10"/>
  <c r="TS46" i="10" s="1"/>
  <c r="TQ45" i="10"/>
  <c r="TS45" i="10" s="1"/>
  <c r="TE54" i="10"/>
  <c r="TD55" i="10" s="1"/>
  <c r="TG54" i="10"/>
  <c r="TI54" i="10" s="1"/>
  <c r="TQ52" i="10"/>
  <c r="TS52" i="10" s="1"/>
  <c r="TQ44" i="10"/>
  <c r="TS44" i="10" s="1"/>
  <c r="TQ50" i="10"/>
  <c r="TS50" i="10" s="1"/>
  <c r="TU42" i="10"/>
  <c r="TE55" i="10" l="1"/>
  <c r="TD56" i="10" s="1"/>
  <c r="TG55" i="10"/>
  <c r="TI55" i="10" s="1"/>
  <c r="TX43" i="10"/>
  <c r="TY43" i="10" s="1"/>
  <c r="TX44" i="10" s="1"/>
  <c r="TY44" i="10" s="1"/>
  <c r="TX45" i="10" s="1"/>
  <c r="TY45" i="10" s="1"/>
  <c r="TX46" i="10" s="1"/>
  <c r="TY46" i="10" s="1"/>
  <c r="UA46" i="10"/>
  <c r="UC46" i="10" s="1"/>
  <c r="UA44" i="10"/>
  <c r="UC44" i="10" s="1"/>
  <c r="UA47" i="10"/>
  <c r="UC47" i="10" s="1"/>
  <c r="TU53" i="10"/>
  <c r="TU47" i="10"/>
  <c r="TX47" i="10" s="1"/>
  <c r="TY47" i="10" s="1"/>
  <c r="TX48" i="10" s="1"/>
  <c r="TY48" i="10" s="1"/>
  <c r="TX49" i="10" s="1"/>
  <c r="TY49" i="10" s="1"/>
  <c r="TX50" i="10" s="1"/>
  <c r="TY50" i="10" s="1"/>
  <c r="TX51" i="10" s="1"/>
  <c r="TY51" i="10" s="1"/>
  <c r="TX52" i="10" s="1"/>
  <c r="TY52" i="10" s="1"/>
  <c r="UA49" i="10" l="1"/>
  <c r="UC49" i="10" s="1"/>
  <c r="UA43" i="10"/>
  <c r="UC43" i="10" s="1"/>
  <c r="UA48" i="10"/>
  <c r="UC48" i="10" s="1"/>
  <c r="UA45" i="10"/>
  <c r="UC45" i="10" s="1"/>
  <c r="UE42" i="10"/>
  <c r="UA52" i="10"/>
  <c r="UC52" i="10" s="1"/>
  <c r="UA51" i="10"/>
  <c r="UC51" i="10" s="1"/>
  <c r="UA50" i="10"/>
  <c r="UC50" i="10" s="1"/>
  <c r="TE56" i="10"/>
  <c r="TG56" i="10"/>
  <c r="TI56" i="10" s="1"/>
  <c r="UH43" i="10" l="1"/>
  <c r="UI43" i="10" s="1"/>
  <c r="UH44" i="10" s="1"/>
  <c r="UI44" i="10" s="1"/>
  <c r="UH45" i="10" s="1"/>
  <c r="UI45" i="10" s="1"/>
  <c r="UH46" i="10" s="1"/>
  <c r="UI46" i="10" s="1"/>
  <c r="UK43" i="10"/>
  <c r="UM43" i="10" s="1"/>
  <c r="UK45" i="10"/>
  <c r="UM45" i="10" s="1"/>
  <c r="UE47" i="10"/>
  <c r="UH47" i="10" s="1"/>
  <c r="UI47" i="10" s="1"/>
  <c r="UH48" i="10" s="1"/>
  <c r="UI48" i="10" s="1"/>
  <c r="UH49" i="10" s="1"/>
  <c r="UI49" i="10" s="1"/>
  <c r="UH50" i="10" s="1"/>
  <c r="UI50" i="10" s="1"/>
  <c r="UH51" i="10" s="1"/>
  <c r="UI51" i="10" s="1"/>
  <c r="UH52" i="10" s="1"/>
  <c r="UI52" i="10" s="1"/>
  <c r="UK44" i="10"/>
  <c r="UM44" i="10" s="1"/>
  <c r="UK47" i="10"/>
  <c r="UM47" i="10" s="1"/>
  <c r="UK51" i="10"/>
  <c r="UM51" i="10" s="1"/>
  <c r="UE53" i="10"/>
  <c r="UK49" i="10"/>
  <c r="UM49" i="10" s="1"/>
  <c r="UK46" i="10"/>
  <c r="UM46" i="10" s="1"/>
  <c r="TG60" i="10"/>
  <c r="TI60" i="10" s="1"/>
  <c r="TG62" i="10"/>
  <c r="TI62" i="10" s="1"/>
  <c r="TG64" i="10"/>
  <c r="TI64" i="10" s="1"/>
  <c r="TG63" i="10"/>
  <c r="TI63" i="10" s="1"/>
  <c r="TG61" i="10"/>
  <c r="TI61" i="10" s="1"/>
  <c r="TG66" i="10"/>
  <c r="TI66" i="10" s="1"/>
  <c r="TG65" i="10"/>
  <c r="TI65" i="10" s="1"/>
  <c r="TD57" i="10"/>
  <c r="TN53" i="10"/>
  <c r="TE57" i="10" l="1"/>
  <c r="TD58" i="10" s="1"/>
  <c r="TG57" i="10"/>
  <c r="TI57" i="10" s="1"/>
  <c r="UK48" i="10"/>
  <c r="UM48" i="10" s="1"/>
  <c r="TO53" i="10"/>
  <c r="TN54" i="10" s="1"/>
  <c r="TQ53" i="10"/>
  <c r="TS53" i="10" s="1"/>
  <c r="UK52" i="10"/>
  <c r="UM52" i="10" s="1"/>
  <c r="UK50" i="10"/>
  <c r="UM50" i="10" s="1"/>
  <c r="UO42" i="10"/>
  <c r="TO54" i="10" l="1"/>
  <c r="TN55" i="10" s="1"/>
  <c r="TQ54" i="10"/>
  <c r="TS54" i="10" s="1"/>
  <c r="TE58" i="10"/>
  <c r="TD59" i="10" s="1"/>
  <c r="TG58" i="10"/>
  <c r="TI58" i="10" s="1"/>
  <c r="TE59" i="10" l="1"/>
  <c r="TD60" i="10" s="1"/>
  <c r="TE60" i="10" s="1"/>
  <c r="TD61" i="10" s="1"/>
  <c r="TE61" i="10" s="1"/>
  <c r="TD62" i="10" s="1"/>
  <c r="TE62" i="10" s="1"/>
  <c r="TD63" i="10" s="1"/>
  <c r="TE63" i="10" s="1"/>
  <c r="TD64" i="10" s="1"/>
  <c r="TE64" i="10" s="1"/>
  <c r="TD65" i="10" s="1"/>
  <c r="TE65" i="10" s="1"/>
  <c r="TD66" i="10" s="1"/>
  <c r="TE66" i="10" s="1"/>
  <c r="TG59" i="10"/>
  <c r="TI59" i="10" s="1"/>
  <c r="TO55" i="10"/>
  <c r="TN56" i="10" s="1"/>
  <c r="TQ55" i="10"/>
  <c r="TS55" i="10" s="1"/>
  <c r="TO56" i="10" l="1"/>
  <c r="TQ56" i="10"/>
  <c r="TS56" i="10" s="1"/>
  <c r="TQ66" i="10" l="1"/>
  <c r="TS66" i="10" s="1"/>
  <c r="TQ62" i="10"/>
  <c r="TS62" i="10" s="1"/>
  <c r="TQ65" i="10"/>
  <c r="TS65" i="10" s="1"/>
  <c r="TQ63" i="10"/>
  <c r="TS63" i="10" s="1"/>
  <c r="TQ61" i="10"/>
  <c r="TS61" i="10" s="1"/>
  <c r="TQ60" i="10"/>
  <c r="TS60" i="10" s="1"/>
  <c r="TQ64" i="10"/>
  <c r="TS64" i="10" s="1"/>
  <c r="TN57" i="10"/>
  <c r="TX53" i="10"/>
  <c r="TY53" i="10" l="1"/>
  <c r="TX54" i="10" s="1"/>
  <c r="UA53" i="10"/>
  <c r="UC53" i="10" s="1"/>
  <c r="TO57" i="10"/>
  <c r="TN58" i="10" s="1"/>
  <c r="TQ57" i="10"/>
  <c r="TS57" i="10" s="1"/>
  <c r="TO58" i="10" l="1"/>
  <c r="TN59" i="10" s="1"/>
  <c r="TQ58" i="10"/>
  <c r="TS58" i="10" s="1"/>
  <c r="TY54" i="10"/>
  <c r="TX55" i="10" s="1"/>
  <c r="UA54" i="10"/>
  <c r="UC54" i="10" s="1"/>
  <c r="TY55" i="10" l="1"/>
  <c r="TX56" i="10" s="1"/>
  <c r="UA55" i="10"/>
  <c r="UC55" i="10" s="1"/>
  <c r="TO59" i="10"/>
  <c r="TN60" i="10" s="1"/>
  <c r="TO60" i="10" s="1"/>
  <c r="TN61" i="10" s="1"/>
  <c r="TO61" i="10" s="1"/>
  <c r="TN62" i="10" s="1"/>
  <c r="TO62" i="10" s="1"/>
  <c r="TN63" i="10" s="1"/>
  <c r="TO63" i="10" s="1"/>
  <c r="TN64" i="10" s="1"/>
  <c r="TO64" i="10" s="1"/>
  <c r="TN65" i="10" s="1"/>
  <c r="TO65" i="10" s="1"/>
  <c r="TN66" i="10" s="1"/>
  <c r="TO66" i="10" s="1"/>
  <c r="TQ59" i="10"/>
  <c r="TS59" i="10" s="1"/>
  <c r="TY56" i="10" l="1"/>
  <c r="UA56" i="10"/>
  <c r="UC56" i="10" s="1"/>
  <c r="UA64" i="10" l="1"/>
  <c r="UC64" i="10" s="1"/>
  <c r="UA60" i="10"/>
  <c r="UC60" i="10" s="1"/>
  <c r="UA62" i="10"/>
  <c r="UC62" i="10" s="1"/>
  <c r="UA61" i="10"/>
  <c r="UC61" i="10" s="1"/>
  <c r="UA65" i="10"/>
  <c r="UC65" i="10" s="1"/>
  <c r="UA66" i="10"/>
  <c r="UC66" i="10" s="1"/>
  <c r="UA63" i="10"/>
  <c r="UC63" i="10" s="1"/>
  <c r="TX57" i="10"/>
  <c r="UH53" i="10"/>
  <c r="UI53" i="10" l="1"/>
  <c r="UH54" i="10" s="1"/>
  <c r="UK53" i="10"/>
  <c r="UM53" i="10" s="1"/>
  <c r="TY57" i="10"/>
  <c r="TX58" i="10" s="1"/>
  <c r="UA57" i="10"/>
  <c r="UC57" i="10" s="1"/>
  <c r="TY58" i="10" l="1"/>
  <c r="TX59" i="10" s="1"/>
  <c r="UA58" i="10"/>
  <c r="UC58" i="10" s="1"/>
  <c r="UI54" i="10"/>
  <c r="UH55" i="10" s="1"/>
  <c r="UK54" i="10"/>
  <c r="UM54" i="10" s="1"/>
  <c r="UI55" i="10" l="1"/>
  <c r="UH56" i="10" s="1"/>
  <c r="UK55" i="10"/>
  <c r="UM55" i="10" s="1"/>
  <c r="TY59" i="10"/>
  <c r="TX60" i="10" s="1"/>
  <c r="TY60" i="10" s="1"/>
  <c r="TX61" i="10" s="1"/>
  <c r="TY61" i="10" s="1"/>
  <c r="TX62" i="10" s="1"/>
  <c r="TY62" i="10" s="1"/>
  <c r="TX63" i="10" s="1"/>
  <c r="TY63" i="10" s="1"/>
  <c r="TX64" i="10" s="1"/>
  <c r="TY64" i="10" s="1"/>
  <c r="TX65" i="10" s="1"/>
  <c r="TY65" i="10" s="1"/>
  <c r="TX66" i="10" s="1"/>
  <c r="TY66" i="10" s="1"/>
  <c r="UA59" i="10"/>
  <c r="UC59" i="10" s="1"/>
  <c r="UI56" i="10" l="1"/>
  <c r="UK56" i="10"/>
  <c r="UM56" i="10" s="1"/>
  <c r="UK64" i="10" l="1"/>
  <c r="UM64" i="10" s="1"/>
  <c r="UK65" i="10"/>
  <c r="UM65" i="10" s="1"/>
  <c r="UK59" i="10"/>
  <c r="UM59" i="10" s="1"/>
  <c r="UK66" i="10"/>
  <c r="UM66" i="10" s="1"/>
  <c r="UK61" i="10"/>
  <c r="UM61" i="10" s="1"/>
  <c r="UK60" i="10"/>
  <c r="UM60" i="10" s="1"/>
  <c r="UK62" i="10"/>
  <c r="UM62" i="10" s="1"/>
  <c r="UK63" i="10"/>
  <c r="UM63" i="10" s="1"/>
  <c r="UH57" i="10"/>
  <c r="UR43" i="10"/>
  <c r="US43" i="10" l="1"/>
  <c r="UR44" i="10" s="1"/>
  <c r="UU43" i="10"/>
  <c r="UW43" i="10" s="1"/>
  <c r="UI57" i="10"/>
  <c r="UH58" i="10" s="1"/>
  <c r="UK57" i="10"/>
  <c r="UM57" i="10" s="1"/>
  <c r="UI58" i="10" l="1"/>
  <c r="UH59" i="10" s="1"/>
  <c r="UI59" i="10" s="1"/>
  <c r="UH60" i="10" s="1"/>
  <c r="UI60" i="10" s="1"/>
  <c r="UH61" i="10" s="1"/>
  <c r="UI61" i="10" s="1"/>
  <c r="UH62" i="10" s="1"/>
  <c r="UI62" i="10" s="1"/>
  <c r="UH63" i="10" s="1"/>
  <c r="UI63" i="10" s="1"/>
  <c r="UH64" i="10" s="1"/>
  <c r="UI64" i="10" s="1"/>
  <c r="UH65" i="10" s="1"/>
  <c r="UI65" i="10" s="1"/>
  <c r="UH66" i="10" s="1"/>
  <c r="UI66" i="10" s="1"/>
  <c r="UK58" i="10"/>
  <c r="UM58" i="10" s="1"/>
  <c r="US44" i="10"/>
  <c r="UR45" i="10" s="1"/>
  <c r="UU44" i="10"/>
  <c r="UW44" i="10" s="1"/>
  <c r="US45" i="10" l="1"/>
  <c r="UR46" i="10" s="1"/>
  <c r="UU45" i="10"/>
  <c r="UW45" i="10" s="1"/>
  <c r="US46" i="10" l="1"/>
  <c r="UU46" i="10"/>
  <c r="UW46" i="10" s="1"/>
  <c r="UO47" i="10" s="1"/>
  <c r="UR47" i="10" l="1"/>
  <c r="US47" i="10" l="1"/>
  <c r="UR48" i="10" s="1"/>
  <c r="UU47" i="10"/>
  <c r="UW47" i="10" s="1"/>
  <c r="US48" i="10" l="1"/>
  <c r="UR49" i="10" s="1"/>
  <c r="UU48" i="10"/>
  <c r="UW48" i="10" s="1"/>
  <c r="US49" i="10" l="1"/>
  <c r="UR50" i="10" s="1"/>
  <c r="UU49" i="10"/>
  <c r="UW49" i="10" s="1"/>
  <c r="US50" i="10" l="1"/>
  <c r="UR51" i="10" s="1"/>
  <c r="UU50" i="10"/>
  <c r="UW50" i="10" s="1"/>
  <c r="US51" i="10" l="1"/>
  <c r="UR52" i="10" s="1"/>
  <c r="UU51" i="10"/>
  <c r="UW51" i="10" s="1"/>
  <c r="US52" i="10" l="1"/>
  <c r="UU52" i="10"/>
  <c r="UW52" i="10" s="1"/>
  <c r="UO53" i="10" s="1"/>
  <c r="UR53" i="10" l="1"/>
  <c r="UY42" i="10"/>
  <c r="US53" i="10" l="1"/>
  <c r="UR54" i="10" s="1"/>
  <c r="UU53" i="10"/>
  <c r="UW53" i="10" s="1"/>
  <c r="US54" i="10" l="1"/>
  <c r="UR55" i="10" s="1"/>
  <c r="UU54" i="10"/>
  <c r="UW54" i="10" s="1"/>
  <c r="US55" i="10" l="1"/>
  <c r="UR56" i="10" s="1"/>
  <c r="UU55" i="10"/>
  <c r="UW55" i="10" s="1"/>
  <c r="US56" i="10" l="1"/>
  <c r="UU56" i="10"/>
  <c r="UW56" i="10" s="1"/>
  <c r="UU64" i="10" l="1"/>
  <c r="UW64" i="10" s="1"/>
  <c r="UU63" i="10"/>
  <c r="UW63" i="10" s="1"/>
  <c r="UU62" i="10"/>
  <c r="UW62" i="10" s="1"/>
  <c r="UU66" i="10"/>
  <c r="UW66" i="10" s="1"/>
  <c r="UU65" i="10"/>
  <c r="UW65" i="10" s="1"/>
  <c r="UU60" i="10"/>
  <c r="UW60" i="10" s="1"/>
  <c r="UU61" i="10"/>
  <c r="UW61" i="10" s="1"/>
  <c r="UR57" i="10"/>
  <c r="VB43" i="10"/>
  <c r="VC43" i="10" l="1"/>
  <c r="VB44" i="10" s="1"/>
  <c r="VE43" i="10"/>
  <c r="VG43" i="10" s="1"/>
  <c r="US57" i="10"/>
  <c r="UR58" i="10" s="1"/>
  <c r="UU57" i="10"/>
  <c r="UW57" i="10" s="1"/>
  <c r="US58" i="10" l="1"/>
  <c r="UR59" i="10" s="1"/>
  <c r="UU58" i="10"/>
  <c r="UW58" i="10" s="1"/>
  <c r="VC44" i="10"/>
  <c r="VB45" i="10" s="1"/>
  <c r="VE44" i="10"/>
  <c r="VG44" i="10" s="1"/>
  <c r="VC45" i="10" l="1"/>
  <c r="VB46" i="10" s="1"/>
  <c r="VE45" i="10"/>
  <c r="VG45" i="10" s="1"/>
  <c r="US59" i="10"/>
  <c r="UR60" i="10" s="1"/>
  <c r="US60" i="10" s="1"/>
  <c r="UR61" i="10" s="1"/>
  <c r="US61" i="10" s="1"/>
  <c r="UR62" i="10" s="1"/>
  <c r="US62" i="10" s="1"/>
  <c r="UR63" i="10" s="1"/>
  <c r="US63" i="10" s="1"/>
  <c r="UR64" i="10" s="1"/>
  <c r="US64" i="10" s="1"/>
  <c r="UR65" i="10" s="1"/>
  <c r="US65" i="10" s="1"/>
  <c r="UR66" i="10" s="1"/>
  <c r="US66" i="10" s="1"/>
  <c r="UU59" i="10"/>
  <c r="UW59" i="10" s="1"/>
  <c r="VC46" i="10" l="1"/>
  <c r="VE46" i="10"/>
  <c r="VG46" i="10" s="1"/>
  <c r="UY47" i="10" s="1"/>
  <c r="VB47" i="10" l="1"/>
  <c r="VC47" i="10" l="1"/>
  <c r="VB48" i="10" s="1"/>
  <c r="VE47" i="10"/>
  <c r="VG47" i="10" s="1"/>
  <c r="VC48" i="10" l="1"/>
  <c r="VB49" i="10" s="1"/>
  <c r="VE48" i="10"/>
  <c r="VG48" i="10" s="1"/>
  <c r="VC49" i="10" l="1"/>
  <c r="VB50" i="10" s="1"/>
  <c r="VE49" i="10"/>
  <c r="VG49" i="10" s="1"/>
  <c r="VC50" i="10" l="1"/>
  <c r="VB51" i="10" s="1"/>
  <c r="VE50" i="10"/>
  <c r="VG50" i="10" s="1"/>
  <c r="VC51" i="10" l="1"/>
  <c r="VB52" i="10" s="1"/>
  <c r="VE51" i="10"/>
  <c r="VG51" i="10" s="1"/>
  <c r="VC52" i="10" l="1"/>
  <c r="VE52" i="10"/>
  <c r="VG52" i="10" s="1"/>
  <c r="UY53" i="10" s="1"/>
  <c r="VB53" i="10" l="1"/>
  <c r="VI42" i="10"/>
  <c r="VL43" i="10" l="1"/>
  <c r="VM43" i="10" s="1"/>
  <c r="VL44" i="10" s="1"/>
  <c r="VM44" i="10" s="1"/>
  <c r="VL45" i="10" s="1"/>
  <c r="VM45" i="10" s="1"/>
  <c r="VL46" i="10" s="1"/>
  <c r="VM46" i="10" s="1"/>
  <c r="VO43" i="10"/>
  <c r="VQ43" i="10" s="1"/>
  <c r="VO45" i="10"/>
  <c r="VQ45" i="10" s="1"/>
  <c r="VO44" i="10"/>
  <c r="VQ44" i="10" s="1"/>
  <c r="VO46" i="10"/>
  <c r="VQ46" i="10" s="1"/>
  <c r="VI47" i="10"/>
  <c r="VL47" i="10" s="1"/>
  <c r="VM47" i="10" s="1"/>
  <c r="VL48" i="10" s="1"/>
  <c r="VM48" i="10" s="1"/>
  <c r="VL49" i="10" s="1"/>
  <c r="VM49" i="10" s="1"/>
  <c r="VL50" i="10" s="1"/>
  <c r="VM50" i="10" s="1"/>
  <c r="VL51" i="10" s="1"/>
  <c r="VM51" i="10" s="1"/>
  <c r="VL52" i="10" s="1"/>
  <c r="VM52" i="10" s="1"/>
  <c r="VI53" i="10"/>
  <c r="VC53" i="10"/>
  <c r="VB54" i="10" s="1"/>
  <c r="VE53" i="10"/>
  <c r="VG53" i="10" s="1"/>
  <c r="VC54" i="10" l="1"/>
  <c r="VB55" i="10" s="1"/>
  <c r="VE54" i="10"/>
  <c r="VG54" i="10" s="1"/>
  <c r="VO47" i="10"/>
  <c r="VQ47" i="10" s="1"/>
  <c r="VO48" i="10"/>
  <c r="VQ48" i="10" s="1"/>
  <c r="VO50" i="10"/>
  <c r="VQ50" i="10" s="1"/>
  <c r="VO52" i="10"/>
  <c r="VQ52" i="10" s="1"/>
  <c r="VO51" i="10"/>
  <c r="VQ51" i="10" s="1"/>
  <c r="VO49" i="10"/>
  <c r="VQ49" i="10" s="1"/>
  <c r="VS42" i="10"/>
  <c r="VY43" i="10" l="1"/>
  <c r="WA43" i="10" s="1"/>
  <c r="VV43" i="10"/>
  <c r="VW43" i="10" s="1"/>
  <c r="VV44" i="10" s="1"/>
  <c r="VW44" i="10" s="1"/>
  <c r="VV45" i="10" s="1"/>
  <c r="VW45" i="10" s="1"/>
  <c r="VV46" i="10" s="1"/>
  <c r="VW46" i="10" s="1"/>
  <c r="VY44" i="10"/>
  <c r="WA44" i="10" s="1"/>
  <c r="VY46" i="10"/>
  <c r="WA46" i="10" s="1"/>
  <c r="VY45" i="10"/>
  <c r="WA45" i="10" s="1"/>
  <c r="VS47" i="10"/>
  <c r="VV47" i="10" s="1"/>
  <c r="VW47" i="10" s="1"/>
  <c r="VV48" i="10" s="1"/>
  <c r="VW48" i="10" s="1"/>
  <c r="VV49" i="10" s="1"/>
  <c r="VW49" i="10" s="1"/>
  <c r="VV50" i="10" s="1"/>
  <c r="VW50" i="10" s="1"/>
  <c r="VV51" i="10" s="1"/>
  <c r="VW51" i="10" s="1"/>
  <c r="VV52" i="10" s="1"/>
  <c r="VW52" i="10" s="1"/>
  <c r="VY48" i="10"/>
  <c r="WA48" i="10" s="1"/>
  <c r="VY47" i="10"/>
  <c r="WA47" i="10" s="1"/>
  <c r="VS53" i="10"/>
  <c r="VY49" i="10"/>
  <c r="WA49" i="10" s="1"/>
  <c r="VY50" i="10"/>
  <c r="WA50" i="10" s="1"/>
  <c r="VY52" i="10"/>
  <c r="WA52" i="10" s="1"/>
  <c r="VC55" i="10"/>
  <c r="VB56" i="10" s="1"/>
  <c r="VE55" i="10"/>
  <c r="VG55" i="10" s="1"/>
  <c r="VC56" i="10" l="1"/>
  <c r="VE56" i="10"/>
  <c r="VG56" i="10" s="1"/>
  <c r="VY51" i="10"/>
  <c r="WA51" i="10" s="1"/>
  <c r="WC42" i="10"/>
  <c r="WF43" i="10" l="1"/>
  <c r="WG43" i="10" s="1"/>
  <c r="WF44" i="10" s="1"/>
  <c r="WG44" i="10" s="1"/>
  <c r="WF45" i="10" s="1"/>
  <c r="WG45" i="10" s="1"/>
  <c r="WF46" i="10" s="1"/>
  <c r="WG46" i="10" s="1"/>
  <c r="WI43" i="10"/>
  <c r="WK43" i="10" s="1"/>
  <c r="WI44" i="10"/>
  <c r="WK44" i="10" s="1"/>
  <c r="WI46" i="10"/>
  <c r="WK46" i="10" s="1"/>
  <c r="WI45" i="10"/>
  <c r="WK45" i="10" s="1"/>
  <c r="WC47" i="10"/>
  <c r="WF47" i="10" s="1"/>
  <c r="WG47" i="10" s="1"/>
  <c r="WF48" i="10" s="1"/>
  <c r="WG48" i="10" s="1"/>
  <c r="WF49" i="10" s="1"/>
  <c r="WG49" i="10" s="1"/>
  <c r="WF50" i="10" s="1"/>
  <c r="WG50" i="10" s="1"/>
  <c r="WF51" i="10" s="1"/>
  <c r="WG51" i="10" s="1"/>
  <c r="WF52" i="10" s="1"/>
  <c r="WG52" i="10" s="1"/>
  <c r="WI47" i="10"/>
  <c r="WK47" i="10" s="1"/>
  <c r="WC53" i="10"/>
  <c r="VE64" i="10"/>
  <c r="VG64" i="10" s="1"/>
  <c r="VE66" i="10"/>
  <c r="VG66" i="10" s="1"/>
  <c r="VE61" i="10"/>
  <c r="VG61" i="10" s="1"/>
  <c r="VE62" i="10"/>
  <c r="VG62" i="10" s="1"/>
  <c r="VE60" i="10"/>
  <c r="VG60" i="10" s="1"/>
  <c r="VE65" i="10"/>
  <c r="VG65" i="10" s="1"/>
  <c r="VE63" i="10"/>
  <c r="VG63" i="10" s="1"/>
  <c r="VB57" i="10"/>
  <c r="VL53" i="10"/>
  <c r="VC57" i="10" l="1"/>
  <c r="VB58" i="10" s="1"/>
  <c r="VE57" i="10"/>
  <c r="VG57" i="10" s="1"/>
  <c r="WI52" i="10"/>
  <c r="WK52" i="10" s="1"/>
  <c r="WI51" i="10"/>
  <c r="WK51" i="10" s="1"/>
  <c r="VM53" i="10"/>
  <c r="VL54" i="10" s="1"/>
  <c r="VO53" i="10"/>
  <c r="VQ53" i="10" s="1"/>
  <c r="WI49" i="10"/>
  <c r="WK49" i="10" s="1"/>
  <c r="WI50" i="10"/>
  <c r="WK50" i="10" s="1"/>
  <c r="WI48" i="10"/>
  <c r="WK48" i="10" s="1"/>
  <c r="WM42" i="10"/>
  <c r="VM54" i="10" l="1"/>
  <c r="VL55" i="10" s="1"/>
  <c r="VO54" i="10"/>
  <c r="VQ54" i="10" s="1"/>
  <c r="VC58" i="10"/>
  <c r="VB59" i="10" s="1"/>
  <c r="VE58" i="10"/>
  <c r="VG58" i="10" s="1"/>
  <c r="VC59" i="10" l="1"/>
  <c r="VB60" i="10" s="1"/>
  <c r="VC60" i="10" s="1"/>
  <c r="VB61" i="10" s="1"/>
  <c r="VC61" i="10" s="1"/>
  <c r="VB62" i="10" s="1"/>
  <c r="VC62" i="10" s="1"/>
  <c r="VB63" i="10" s="1"/>
  <c r="VC63" i="10" s="1"/>
  <c r="VB64" i="10" s="1"/>
  <c r="VC64" i="10" s="1"/>
  <c r="VB65" i="10" s="1"/>
  <c r="VC65" i="10" s="1"/>
  <c r="VB66" i="10" s="1"/>
  <c r="VC66" i="10" s="1"/>
  <c r="VE59" i="10"/>
  <c r="VG59" i="10" s="1"/>
  <c r="VM55" i="10"/>
  <c r="VL56" i="10" s="1"/>
  <c r="VO55" i="10"/>
  <c r="VQ55" i="10" s="1"/>
  <c r="VM56" i="10" l="1"/>
  <c r="VO56" i="10"/>
  <c r="VQ56" i="10" s="1"/>
  <c r="VO65" i="10" l="1"/>
  <c r="VQ65" i="10" s="1"/>
  <c r="VO66" i="10"/>
  <c r="VQ66" i="10" s="1"/>
  <c r="VO60" i="10"/>
  <c r="VQ60" i="10" s="1"/>
  <c r="VO63" i="10"/>
  <c r="VQ63" i="10" s="1"/>
  <c r="VO62" i="10"/>
  <c r="VQ62" i="10" s="1"/>
  <c r="VO61" i="10"/>
  <c r="VQ61" i="10" s="1"/>
  <c r="VO64" i="10"/>
  <c r="VQ64" i="10" s="1"/>
  <c r="VL57" i="10"/>
  <c r="VV53" i="10"/>
  <c r="VW53" i="10" l="1"/>
  <c r="VV54" i="10" s="1"/>
  <c r="VY53" i="10"/>
  <c r="WA53" i="10" s="1"/>
  <c r="VM57" i="10"/>
  <c r="VL58" i="10" s="1"/>
  <c r="VO57" i="10"/>
  <c r="VQ57" i="10" s="1"/>
  <c r="VM58" i="10" l="1"/>
  <c r="VL59" i="10" s="1"/>
  <c r="VO58" i="10"/>
  <c r="VQ58" i="10" s="1"/>
  <c r="VW54" i="10"/>
  <c r="VV55" i="10" s="1"/>
  <c r="VY54" i="10"/>
  <c r="WA54" i="10" s="1"/>
  <c r="VW55" i="10" l="1"/>
  <c r="VV56" i="10" s="1"/>
  <c r="VY55" i="10"/>
  <c r="WA55" i="10" s="1"/>
  <c r="VM59" i="10"/>
  <c r="VL60" i="10" s="1"/>
  <c r="VM60" i="10" s="1"/>
  <c r="VL61" i="10" s="1"/>
  <c r="VM61" i="10" s="1"/>
  <c r="VL62" i="10" s="1"/>
  <c r="VM62" i="10" s="1"/>
  <c r="VL63" i="10" s="1"/>
  <c r="VM63" i="10" s="1"/>
  <c r="VL64" i="10" s="1"/>
  <c r="VM64" i="10" s="1"/>
  <c r="VL65" i="10" s="1"/>
  <c r="VM65" i="10" s="1"/>
  <c r="VL66" i="10" s="1"/>
  <c r="VM66" i="10" s="1"/>
  <c r="VO59" i="10"/>
  <c r="VQ59" i="10" s="1"/>
  <c r="VW56" i="10" l="1"/>
  <c r="VY56" i="10"/>
  <c r="WA56" i="10" s="1"/>
  <c r="VY64" i="10" l="1"/>
  <c r="WA64" i="10" s="1"/>
  <c r="VY66" i="10"/>
  <c r="WA66" i="10" s="1"/>
  <c r="VY61" i="10"/>
  <c r="WA61" i="10" s="1"/>
  <c r="VY65" i="10"/>
  <c r="WA65" i="10" s="1"/>
  <c r="VY60" i="10"/>
  <c r="WA60" i="10" s="1"/>
  <c r="VY63" i="10"/>
  <c r="WA63" i="10" s="1"/>
  <c r="VY62" i="10"/>
  <c r="WA62" i="10" s="1"/>
  <c r="VV57" i="10"/>
  <c r="WF53" i="10"/>
  <c r="VW57" i="10" l="1"/>
  <c r="VV58" i="10" s="1"/>
  <c r="VY57" i="10"/>
  <c r="WA57" i="10" s="1"/>
  <c r="WG53" i="10"/>
  <c r="WF54" i="10" s="1"/>
  <c r="WI53" i="10"/>
  <c r="WK53" i="10" s="1"/>
  <c r="WG54" i="10" l="1"/>
  <c r="WF55" i="10" s="1"/>
  <c r="WI54" i="10"/>
  <c r="WK54" i="10" s="1"/>
  <c r="VW58" i="10"/>
  <c r="VV59" i="10" s="1"/>
  <c r="VY58" i="10"/>
  <c r="WA58" i="10" s="1"/>
  <c r="VW59" i="10" l="1"/>
  <c r="VV60" i="10" s="1"/>
  <c r="VW60" i="10" s="1"/>
  <c r="VV61" i="10" s="1"/>
  <c r="VW61" i="10" s="1"/>
  <c r="VV62" i="10" s="1"/>
  <c r="VW62" i="10" s="1"/>
  <c r="VV63" i="10" s="1"/>
  <c r="VW63" i="10" s="1"/>
  <c r="VV64" i="10" s="1"/>
  <c r="VW64" i="10" s="1"/>
  <c r="VV65" i="10" s="1"/>
  <c r="VW65" i="10" s="1"/>
  <c r="VV66" i="10" s="1"/>
  <c r="VW66" i="10" s="1"/>
  <c r="VY59" i="10"/>
  <c r="WA59" i="10" s="1"/>
  <c r="WG55" i="10"/>
  <c r="WF56" i="10" s="1"/>
  <c r="WI55" i="10"/>
  <c r="WK55" i="10" s="1"/>
  <c r="WG56" i="10" l="1"/>
  <c r="WI56" i="10"/>
  <c r="WK56" i="10" s="1"/>
  <c r="WI64" i="10" l="1"/>
  <c r="WK64" i="10" s="1"/>
  <c r="WI61" i="10"/>
  <c r="WK61" i="10" s="1"/>
  <c r="WI65" i="10"/>
  <c r="WK65" i="10" s="1"/>
  <c r="WI66" i="10"/>
  <c r="WK66" i="10" s="1"/>
  <c r="WI62" i="10"/>
  <c r="WK62" i="10" s="1"/>
  <c r="WI63" i="10"/>
  <c r="WK63" i="10" s="1"/>
  <c r="WI59" i="10"/>
  <c r="WK59" i="10" s="1"/>
  <c r="WI60" i="10"/>
  <c r="WK60" i="10" s="1"/>
  <c r="WF57" i="10"/>
  <c r="WP43" i="10"/>
  <c r="WQ43" i="10" l="1"/>
  <c r="WP44" i="10" s="1"/>
  <c r="WS43" i="10"/>
  <c r="WU43" i="10" s="1"/>
  <c r="WG57" i="10"/>
  <c r="WF58" i="10" s="1"/>
  <c r="WI57" i="10"/>
  <c r="WK57" i="10" s="1"/>
  <c r="WG58" i="10" l="1"/>
  <c r="WF59" i="10" s="1"/>
  <c r="WG59" i="10" s="1"/>
  <c r="WF60" i="10" s="1"/>
  <c r="WG60" i="10" s="1"/>
  <c r="WF61" i="10" s="1"/>
  <c r="WG61" i="10" s="1"/>
  <c r="WF62" i="10" s="1"/>
  <c r="WG62" i="10" s="1"/>
  <c r="WF63" i="10" s="1"/>
  <c r="WG63" i="10" s="1"/>
  <c r="WF64" i="10" s="1"/>
  <c r="WG64" i="10" s="1"/>
  <c r="WF65" i="10" s="1"/>
  <c r="WG65" i="10" s="1"/>
  <c r="WF66" i="10" s="1"/>
  <c r="WG66" i="10" s="1"/>
  <c r="WI58" i="10"/>
  <c r="WK58" i="10" s="1"/>
  <c r="WQ44" i="10"/>
  <c r="WP45" i="10" s="1"/>
  <c r="WS44" i="10"/>
  <c r="WU44" i="10" s="1"/>
  <c r="WQ45" i="10" l="1"/>
  <c r="WP46" i="10" s="1"/>
  <c r="WS45" i="10"/>
  <c r="WU45" i="10" s="1"/>
  <c r="WQ46" i="10" l="1"/>
  <c r="WS46" i="10"/>
  <c r="WU46" i="10" s="1"/>
  <c r="WM47" i="10" s="1"/>
  <c r="WP47" i="10" l="1"/>
  <c r="WQ47" i="10" l="1"/>
  <c r="WP48" i="10" s="1"/>
  <c r="WS47" i="10"/>
  <c r="WU47" i="10" s="1"/>
  <c r="WQ48" i="10" l="1"/>
  <c r="WP49" i="10" s="1"/>
  <c r="WS48" i="10"/>
  <c r="WU48" i="10" s="1"/>
  <c r="WQ49" i="10" l="1"/>
  <c r="WP50" i="10" s="1"/>
  <c r="WS49" i="10"/>
  <c r="WU49" i="10" s="1"/>
  <c r="WQ50" i="10" l="1"/>
  <c r="WP51" i="10" s="1"/>
  <c r="WS50" i="10"/>
  <c r="WU50" i="10" s="1"/>
  <c r="WQ51" i="10" l="1"/>
  <c r="WP52" i="10" s="1"/>
  <c r="WS51" i="10"/>
  <c r="WU51" i="10" s="1"/>
  <c r="WQ52" i="10" l="1"/>
  <c r="WS52" i="10"/>
  <c r="WU52" i="10" s="1"/>
  <c r="WM53" i="10" s="1"/>
  <c r="WP53" i="10" l="1"/>
  <c r="WW42" i="10"/>
  <c r="XC47" i="10" l="1"/>
  <c r="XE47" i="10" s="1"/>
  <c r="WZ43" i="10"/>
  <c r="XA43" i="10" s="1"/>
  <c r="WZ44" i="10" s="1"/>
  <c r="XA44" i="10" s="1"/>
  <c r="WZ45" i="10" s="1"/>
  <c r="XA45" i="10" s="1"/>
  <c r="WZ46" i="10" s="1"/>
  <c r="XA46" i="10" s="1"/>
  <c r="XC45" i="10"/>
  <c r="XE45" i="10" s="1"/>
  <c r="XC50" i="10"/>
  <c r="XE50" i="10" s="1"/>
  <c r="XC48" i="10"/>
  <c r="XE48" i="10" s="1"/>
  <c r="XC52" i="10"/>
  <c r="XE52" i="10" s="1"/>
  <c r="WW53" i="10"/>
  <c r="XC49" i="10"/>
  <c r="XE49" i="10" s="1"/>
  <c r="WW47" i="10"/>
  <c r="WZ47" i="10" s="1"/>
  <c r="XA47" i="10" s="1"/>
  <c r="WZ48" i="10" s="1"/>
  <c r="XA48" i="10" s="1"/>
  <c r="WZ49" i="10" s="1"/>
  <c r="XA49" i="10" s="1"/>
  <c r="WZ50" i="10" s="1"/>
  <c r="XA50" i="10" s="1"/>
  <c r="WZ51" i="10" s="1"/>
  <c r="XA51" i="10" s="1"/>
  <c r="WZ52" i="10" s="1"/>
  <c r="XA52" i="10" s="1"/>
  <c r="WQ53" i="10"/>
  <c r="WP54" i="10" s="1"/>
  <c r="WS53" i="10"/>
  <c r="WU53" i="10" s="1"/>
  <c r="XC44" i="10" l="1"/>
  <c r="XE44" i="10" s="1"/>
  <c r="XC46" i="10"/>
  <c r="XE46" i="10" s="1"/>
  <c r="XC51" i="10"/>
  <c r="XE51" i="10" s="1"/>
  <c r="XG42" i="10"/>
  <c r="WQ54" i="10"/>
  <c r="WP55" i="10" s="1"/>
  <c r="WS54" i="10"/>
  <c r="WU54" i="10" s="1"/>
  <c r="XC43" i="10"/>
  <c r="XE43" i="10" s="1"/>
  <c r="WQ55" i="10" l="1"/>
  <c r="WP56" i="10" s="1"/>
  <c r="WS55" i="10"/>
  <c r="WU55" i="10" s="1"/>
  <c r="XJ43" i="10"/>
  <c r="XK43" i="10" s="1"/>
  <c r="XJ44" i="10" s="1"/>
  <c r="XK44" i="10" s="1"/>
  <c r="XJ45" i="10" s="1"/>
  <c r="XK45" i="10" s="1"/>
  <c r="XJ46" i="10" s="1"/>
  <c r="XK46" i="10" s="1"/>
  <c r="XM44" i="10"/>
  <c r="XO44" i="10" s="1"/>
  <c r="XM43" i="10"/>
  <c r="XO43" i="10" s="1"/>
  <c r="XM45" i="10"/>
  <c r="XO45" i="10" s="1"/>
  <c r="XG47" i="10"/>
  <c r="XJ47" i="10" s="1"/>
  <c r="XK47" i="10" s="1"/>
  <c r="XJ48" i="10" s="1"/>
  <c r="XK48" i="10" s="1"/>
  <c r="XJ49" i="10" s="1"/>
  <c r="XK49" i="10" s="1"/>
  <c r="XJ50" i="10" s="1"/>
  <c r="XK50" i="10" s="1"/>
  <c r="XJ51" i="10" s="1"/>
  <c r="XK51" i="10" s="1"/>
  <c r="XJ52" i="10" s="1"/>
  <c r="XK52" i="10" s="1"/>
  <c r="XM46" i="10"/>
  <c r="XO46" i="10" s="1"/>
  <c r="XG53" i="10"/>
  <c r="XM47" i="10"/>
  <c r="XO47" i="10" s="1"/>
  <c r="XQ42" i="10" l="1"/>
  <c r="XM52" i="10"/>
  <c r="XO52" i="10" s="1"/>
  <c r="XM49" i="10"/>
  <c r="XO49" i="10" s="1"/>
  <c r="XM50" i="10"/>
  <c r="XO50" i="10" s="1"/>
  <c r="XM51" i="10"/>
  <c r="XO51" i="10" s="1"/>
  <c r="XM48" i="10"/>
  <c r="XO48" i="10" s="1"/>
  <c r="WQ56" i="10"/>
  <c r="WS56" i="10"/>
  <c r="WU56" i="10" s="1"/>
  <c r="WP57" i="10" l="1"/>
  <c r="WZ53" i="10"/>
  <c r="WS61" i="10"/>
  <c r="WU61" i="10" s="1"/>
  <c r="WS66" i="10"/>
  <c r="WU66" i="10" s="1"/>
  <c r="WS62" i="10"/>
  <c r="WU62" i="10" s="1"/>
  <c r="WS63" i="10"/>
  <c r="WU63" i="10" s="1"/>
  <c r="WS60" i="10"/>
  <c r="WU60" i="10" s="1"/>
  <c r="WS65" i="10"/>
  <c r="WU65" i="10" s="1"/>
  <c r="WS64" i="10"/>
  <c r="WU64" i="10" s="1"/>
  <c r="XT43" i="10"/>
  <c r="XU43" i="10" s="1"/>
  <c r="XT44" i="10" s="1"/>
  <c r="XU44" i="10" s="1"/>
  <c r="XT45" i="10" s="1"/>
  <c r="XU45" i="10" s="1"/>
  <c r="XT46" i="10" s="1"/>
  <c r="XU46" i="10" s="1"/>
  <c r="XW43" i="10"/>
  <c r="XY43" i="10" s="1"/>
  <c r="XW44" i="10"/>
  <c r="XY44" i="10" s="1"/>
  <c r="XW45" i="10"/>
  <c r="XY45" i="10" s="1"/>
  <c r="XW47" i="10"/>
  <c r="XY47" i="10" s="1"/>
  <c r="XQ47" i="10"/>
  <c r="XT47" i="10" s="1"/>
  <c r="XU47" i="10" s="1"/>
  <c r="XT48" i="10" s="1"/>
  <c r="XU48" i="10" s="1"/>
  <c r="XT49" i="10" s="1"/>
  <c r="XU49" i="10" s="1"/>
  <c r="XT50" i="10" s="1"/>
  <c r="XU50" i="10" s="1"/>
  <c r="XT51" i="10" s="1"/>
  <c r="XU51" i="10" s="1"/>
  <c r="XT52" i="10" s="1"/>
  <c r="XU52" i="10" s="1"/>
  <c r="XW48" i="10"/>
  <c r="XY48" i="10" s="1"/>
  <c r="XW46" i="10"/>
  <c r="XY46" i="10" s="1"/>
  <c r="XW49" i="10"/>
  <c r="XY49" i="10" s="1"/>
  <c r="XW50" i="10"/>
  <c r="XY50" i="10" s="1"/>
  <c r="XW52" i="10"/>
  <c r="XY52" i="10" s="1"/>
  <c r="XQ53" i="10"/>
  <c r="XW51" i="10"/>
  <c r="XY51" i="10" s="1"/>
  <c r="YA42" i="10" l="1"/>
  <c r="XA53" i="10"/>
  <c r="WZ54" i="10" s="1"/>
  <c r="XC53" i="10"/>
  <c r="XE53" i="10" s="1"/>
  <c r="WQ57" i="10"/>
  <c r="WP58" i="10" s="1"/>
  <c r="WS57" i="10"/>
  <c r="WU57" i="10" s="1"/>
  <c r="XA54" i="10" l="1"/>
  <c r="WZ55" i="10" s="1"/>
  <c r="XC54" i="10"/>
  <c r="XE54" i="10" s="1"/>
  <c r="WQ58" i="10"/>
  <c r="WP59" i="10" s="1"/>
  <c r="WS58" i="10"/>
  <c r="WU58" i="10" s="1"/>
  <c r="WQ59" i="10" l="1"/>
  <c r="WP60" i="10" s="1"/>
  <c r="WQ60" i="10" s="1"/>
  <c r="WP61" i="10" s="1"/>
  <c r="WQ61" i="10" s="1"/>
  <c r="WP62" i="10" s="1"/>
  <c r="WQ62" i="10" s="1"/>
  <c r="WP63" i="10" s="1"/>
  <c r="WQ63" i="10" s="1"/>
  <c r="WP64" i="10" s="1"/>
  <c r="WQ64" i="10" s="1"/>
  <c r="WP65" i="10" s="1"/>
  <c r="WQ65" i="10" s="1"/>
  <c r="WP66" i="10" s="1"/>
  <c r="WQ66" i="10" s="1"/>
  <c r="WS59" i="10"/>
  <c r="WU59" i="10" s="1"/>
  <c r="XA55" i="10"/>
  <c r="WZ56" i="10" s="1"/>
  <c r="XC55" i="10"/>
  <c r="XE55" i="10" s="1"/>
  <c r="XA56" i="10" l="1"/>
  <c r="XC56" i="10"/>
  <c r="XE56" i="10" s="1"/>
  <c r="XC60" i="10" l="1"/>
  <c r="XE60" i="10" s="1"/>
  <c r="XC65" i="10"/>
  <c r="XE65" i="10" s="1"/>
  <c r="XC61" i="10"/>
  <c r="XE61" i="10" s="1"/>
  <c r="XC62" i="10"/>
  <c r="XE62" i="10" s="1"/>
  <c r="XC64" i="10"/>
  <c r="XE64" i="10" s="1"/>
  <c r="XC66" i="10"/>
  <c r="XE66" i="10" s="1"/>
  <c r="XC63" i="10"/>
  <c r="XE63" i="10" s="1"/>
  <c r="WZ57" i="10"/>
  <c r="XJ53" i="10"/>
  <c r="XK53" i="10" l="1"/>
  <c r="XJ54" i="10" s="1"/>
  <c r="XM53" i="10"/>
  <c r="XO53" i="10" s="1"/>
  <c r="XA57" i="10"/>
  <c r="WZ58" i="10" s="1"/>
  <c r="XC57" i="10"/>
  <c r="XE57" i="10" s="1"/>
  <c r="XA58" i="10" l="1"/>
  <c r="WZ59" i="10" s="1"/>
  <c r="XC58" i="10"/>
  <c r="XE58" i="10" s="1"/>
  <c r="XK54" i="10"/>
  <c r="XJ55" i="10" s="1"/>
  <c r="XM54" i="10"/>
  <c r="XO54" i="10" s="1"/>
  <c r="XK55" i="10" l="1"/>
  <c r="XJ56" i="10" s="1"/>
  <c r="XM55" i="10"/>
  <c r="XO55" i="10" s="1"/>
  <c r="XA59" i="10"/>
  <c r="WZ60" i="10" s="1"/>
  <c r="XA60" i="10" s="1"/>
  <c r="WZ61" i="10" s="1"/>
  <c r="XA61" i="10" s="1"/>
  <c r="WZ62" i="10" s="1"/>
  <c r="XA62" i="10" s="1"/>
  <c r="WZ63" i="10" s="1"/>
  <c r="XA63" i="10" s="1"/>
  <c r="WZ64" i="10" s="1"/>
  <c r="XA64" i="10" s="1"/>
  <c r="WZ65" i="10" s="1"/>
  <c r="XA65" i="10" s="1"/>
  <c r="WZ66" i="10" s="1"/>
  <c r="XA66" i="10" s="1"/>
  <c r="XC59" i="10"/>
  <c r="XE59" i="10" s="1"/>
  <c r="XK56" i="10" l="1"/>
  <c r="XM56" i="10"/>
  <c r="XO56" i="10" s="1"/>
  <c r="XM63" i="10" l="1"/>
  <c r="XO63" i="10" s="1"/>
  <c r="XM60" i="10"/>
  <c r="XO60" i="10" s="1"/>
  <c r="XM62" i="10"/>
  <c r="XO62" i="10" s="1"/>
  <c r="XM64" i="10"/>
  <c r="XO64" i="10" s="1"/>
  <c r="XM65" i="10"/>
  <c r="XO65" i="10" s="1"/>
  <c r="XM61" i="10"/>
  <c r="XO61" i="10" s="1"/>
  <c r="XM66" i="10"/>
  <c r="XO66" i="10" s="1"/>
  <c r="XJ57" i="10"/>
  <c r="XT53" i="10"/>
  <c r="XK57" i="10" l="1"/>
  <c r="XJ58" i="10" s="1"/>
  <c r="XM57" i="10"/>
  <c r="XO57" i="10" s="1"/>
  <c r="XU53" i="10"/>
  <c r="XT54" i="10" s="1"/>
  <c r="XW53" i="10"/>
  <c r="XY53" i="10" s="1"/>
  <c r="XU54" i="10" l="1"/>
  <c r="XT55" i="10" s="1"/>
  <c r="XW54" i="10"/>
  <c r="XY54" i="10" s="1"/>
  <c r="XK58" i="10"/>
  <c r="XJ59" i="10" s="1"/>
  <c r="XM58" i="10"/>
  <c r="XO58" i="10" s="1"/>
  <c r="XK59" i="10" l="1"/>
  <c r="XJ60" i="10" s="1"/>
  <c r="XK60" i="10" s="1"/>
  <c r="XJ61" i="10" s="1"/>
  <c r="XK61" i="10" s="1"/>
  <c r="XJ62" i="10" s="1"/>
  <c r="XK62" i="10" s="1"/>
  <c r="XJ63" i="10" s="1"/>
  <c r="XK63" i="10" s="1"/>
  <c r="XJ64" i="10" s="1"/>
  <c r="XK64" i="10" s="1"/>
  <c r="XJ65" i="10" s="1"/>
  <c r="XK65" i="10" s="1"/>
  <c r="XJ66" i="10" s="1"/>
  <c r="XK66" i="10" s="1"/>
  <c r="XM59" i="10"/>
  <c r="XO59" i="10" s="1"/>
  <c r="XU55" i="10"/>
  <c r="XT56" i="10" s="1"/>
  <c r="XW55" i="10"/>
  <c r="XY55" i="10" s="1"/>
  <c r="XU56" i="10" l="1"/>
  <c r="XW56" i="10"/>
  <c r="XY56" i="10" s="1"/>
  <c r="XW64" i="10" l="1"/>
  <c r="XY64" i="10" s="1"/>
  <c r="XW61" i="10"/>
  <c r="XY61" i="10" s="1"/>
  <c r="XW65" i="10"/>
  <c r="XY65" i="10" s="1"/>
  <c r="XW60" i="10"/>
  <c r="XY60" i="10" s="1"/>
  <c r="XW59" i="10"/>
  <c r="XY59" i="10" s="1"/>
  <c r="XW62" i="10"/>
  <c r="XY62" i="10" s="1"/>
  <c r="XW63" i="10"/>
  <c r="XY63" i="10" s="1"/>
  <c r="XW66" i="10"/>
  <c r="XY66" i="10" s="1"/>
  <c r="XT57" i="10"/>
  <c r="YD43" i="10"/>
  <c r="XU57" i="10" l="1"/>
  <c r="XT58" i="10" s="1"/>
  <c r="XW57" i="10"/>
  <c r="XY57" i="10" s="1"/>
  <c r="YE43" i="10"/>
  <c r="YD44" i="10" s="1"/>
  <c r="YG43" i="10"/>
  <c r="YI43" i="10" s="1"/>
  <c r="YE44" i="10" l="1"/>
  <c r="YD45" i="10" s="1"/>
  <c r="YG44" i="10"/>
  <c r="YI44" i="10" s="1"/>
  <c r="XU58" i="10"/>
  <c r="XT59" i="10" s="1"/>
  <c r="XU59" i="10" s="1"/>
  <c r="XT60" i="10" s="1"/>
  <c r="XU60" i="10" s="1"/>
  <c r="XT61" i="10" s="1"/>
  <c r="XU61" i="10" s="1"/>
  <c r="XT62" i="10" s="1"/>
  <c r="XU62" i="10" s="1"/>
  <c r="XT63" i="10" s="1"/>
  <c r="XU63" i="10" s="1"/>
  <c r="XT64" i="10" s="1"/>
  <c r="XU64" i="10" s="1"/>
  <c r="XT65" i="10" s="1"/>
  <c r="XU65" i="10" s="1"/>
  <c r="XT66" i="10" s="1"/>
  <c r="XU66" i="10" s="1"/>
  <c r="XW58" i="10"/>
  <c r="XY58" i="10" s="1"/>
  <c r="YE45" i="10" l="1"/>
  <c r="YD46" i="10" s="1"/>
  <c r="YG45" i="10"/>
  <c r="YI45" i="10" s="1"/>
  <c r="YE46" i="10" l="1"/>
  <c r="YG46" i="10"/>
  <c r="YI46" i="10" s="1"/>
  <c r="YA47" i="10" s="1"/>
  <c r="YD47" i="10" l="1"/>
  <c r="YE47" i="10" l="1"/>
  <c r="YD48" i="10" s="1"/>
  <c r="YG47" i="10"/>
  <c r="YI47" i="10" s="1"/>
  <c r="YE48" i="10" l="1"/>
  <c r="YD49" i="10" s="1"/>
  <c r="YG48" i="10"/>
  <c r="YI48" i="10" s="1"/>
  <c r="YE49" i="10" l="1"/>
  <c r="YD50" i="10" s="1"/>
  <c r="YG49" i="10"/>
  <c r="YI49" i="10" s="1"/>
  <c r="YE50" i="10" l="1"/>
  <c r="YD51" i="10" s="1"/>
  <c r="YG50" i="10"/>
  <c r="YI50" i="10" s="1"/>
  <c r="YE51" i="10" l="1"/>
  <c r="YD52" i="10" s="1"/>
  <c r="YG51" i="10"/>
  <c r="YI51" i="10" s="1"/>
  <c r="YE52" i="10" l="1"/>
  <c r="YG52" i="10"/>
  <c r="YI52" i="10" s="1"/>
  <c r="YA53" i="10" s="1"/>
  <c r="YD53" i="10" l="1"/>
  <c r="YK42" i="10"/>
  <c r="YE53" i="10" l="1"/>
  <c r="YD54" i="10" s="1"/>
  <c r="YG53" i="10"/>
  <c r="YI53" i="10" s="1"/>
  <c r="YE54" i="10" l="1"/>
  <c r="YD55" i="10" s="1"/>
  <c r="YG54" i="10"/>
  <c r="YI54" i="10" s="1"/>
  <c r="YE55" i="10" l="1"/>
  <c r="YD56" i="10" s="1"/>
  <c r="YG55" i="10"/>
  <c r="YI55" i="10" s="1"/>
  <c r="YE56" i="10" l="1"/>
  <c r="YG56" i="10"/>
  <c r="YI56" i="10" s="1"/>
  <c r="YG66" i="10" l="1"/>
  <c r="YI66" i="10" s="1"/>
  <c r="YG65" i="10"/>
  <c r="YI65" i="10" s="1"/>
  <c r="YG63" i="10"/>
  <c r="YI63" i="10" s="1"/>
  <c r="YG60" i="10"/>
  <c r="YI60" i="10" s="1"/>
  <c r="YG62" i="10"/>
  <c r="YI62" i="10" s="1"/>
  <c r="YG61" i="10"/>
  <c r="YI61" i="10" s="1"/>
  <c r="YG64" i="10"/>
  <c r="YI64" i="10" s="1"/>
  <c r="YD57" i="10"/>
  <c r="YN43" i="10"/>
  <c r="YE57" i="10" l="1"/>
  <c r="YD58" i="10" s="1"/>
  <c r="YG57" i="10"/>
  <c r="YI57" i="10" s="1"/>
  <c r="YO43" i="10"/>
  <c r="YN44" i="10" s="1"/>
  <c r="YQ43" i="10"/>
  <c r="YS43" i="10" s="1"/>
  <c r="YO44" i="10" l="1"/>
  <c r="YN45" i="10" s="1"/>
  <c r="YQ44" i="10"/>
  <c r="YS44" i="10" s="1"/>
  <c r="YE58" i="10"/>
  <c r="YD59" i="10" s="1"/>
  <c r="YG58" i="10"/>
  <c r="YI58" i="10" s="1"/>
  <c r="YE59" i="10" l="1"/>
  <c r="YD60" i="10" s="1"/>
  <c r="YE60" i="10" s="1"/>
  <c r="YD61" i="10" s="1"/>
  <c r="YE61" i="10" s="1"/>
  <c r="YD62" i="10" s="1"/>
  <c r="YE62" i="10" s="1"/>
  <c r="YD63" i="10" s="1"/>
  <c r="YE63" i="10" s="1"/>
  <c r="YD64" i="10" s="1"/>
  <c r="YE64" i="10" s="1"/>
  <c r="YD65" i="10" s="1"/>
  <c r="YE65" i="10" s="1"/>
  <c r="YD66" i="10" s="1"/>
  <c r="YE66" i="10" s="1"/>
  <c r="YG59" i="10"/>
  <c r="YI59" i="10" s="1"/>
  <c r="YO45" i="10"/>
  <c r="YN46" i="10" s="1"/>
  <c r="YQ45" i="10"/>
  <c r="YS45" i="10" s="1"/>
  <c r="YO46" i="10" l="1"/>
  <c r="YQ46" i="10"/>
  <c r="YS46" i="10" s="1"/>
  <c r="YK47" i="10" s="1"/>
  <c r="YN47" i="10" l="1"/>
  <c r="YO47" i="10" l="1"/>
  <c r="YN48" i="10" s="1"/>
  <c r="YQ47" i="10"/>
  <c r="YS47" i="10" s="1"/>
  <c r="YO48" i="10" l="1"/>
  <c r="YN49" i="10" s="1"/>
  <c r="YQ48" i="10"/>
  <c r="YS48" i="10" s="1"/>
  <c r="YO49" i="10" l="1"/>
  <c r="YN50" i="10" s="1"/>
  <c r="YQ49" i="10"/>
  <c r="YS49" i="10" s="1"/>
  <c r="YO50" i="10" l="1"/>
  <c r="YN51" i="10" s="1"/>
  <c r="YQ50" i="10"/>
  <c r="YS50" i="10" s="1"/>
  <c r="YO51" i="10" l="1"/>
  <c r="YN52" i="10" s="1"/>
  <c r="YQ51" i="10"/>
  <c r="YS51" i="10" s="1"/>
  <c r="YO52" i="10" l="1"/>
  <c r="YQ52" i="10"/>
  <c r="YS52" i="10" s="1"/>
  <c r="YK53" i="10" s="1"/>
  <c r="YN53" i="10" l="1"/>
  <c r="YU42" i="10"/>
  <c r="ZA43" i="10" l="1"/>
  <c r="ZC43" i="10" s="1"/>
  <c r="YX43" i="10"/>
  <c r="YY43" i="10" s="1"/>
  <c r="YX44" i="10" s="1"/>
  <c r="YY44" i="10" s="1"/>
  <c r="YX45" i="10" s="1"/>
  <c r="YY45" i="10" s="1"/>
  <c r="YX46" i="10" s="1"/>
  <c r="YY46" i="10" s="1"/>
  <c r="ZA46" i="10"/>
  <c r="ZC46" i="10" s="1"/>
  <c r="ZA47" i="10"/>
  <c r="ZC47" i="10" s="1"/>
  <c r="ZA45" i="10"/>
  <c r="ZC45" i="10" s="1"/>
  <c r="ZA44" i="10"/>
  <c r="ZC44" i="10" s="1"/>
  <c r="ZA48" i="10"/>
  <c r="ZC48" i="10" s="1"/>
  <c r="YU47" i="10"/>
  <c r="YX47" i="10" s="1"/>
  <c r="YY47" i="10" s="1"/>
  <c r="YX48" i="10" s="1"/>
  <c r="YY48" i="10" s="1"/>
  <c r="YX49" i="10" s="1"/>
  <c r="YY49" i="10" s="1"/>
  <c r="YX50" i="10" s="1"/>
  <c r="YY50" i="10" s="1"/>
  <c r="YX51" i="10" s="1"/>
  <c r="YY51" i="10" s="1"/>
  <c r="YX52" i="10" s="1"/>
  <c r="YY52" i="10" s="1"/>
  <c r="YU53" i="10"/>
  <c r="YO53" i="10"/>
  <c r="YN54" i="10" s="1"/>
  <c r="YQ53" i="10"/>
  <c r="YS53" i="10" s="1"/>
  <c r="YO54" i="10" l="1"/>
  <c r="YN55" i="10" s="1"/>
  <c r="YQ54" i="10"/>
  <c r="YS54" i="10" s="1"/>
  <c r="ZA50" i="10"/>
  <c r="ZC50" i="10" s="1"/>
  <c r="ZA49" i="10"/>
  <c r="ZC49" i="10" s="1"/>
  <c r="ZA52" i="10"/>
  <c r="ZC52" i="10" s="1"/>
  <c r="ZA51" i="10"/>
  <c r="ZC51" i="10" s="1"/>
  <c r="ZE42" i="10"/>
  <c r="ZH43" i="10" l="1"/>
  <c r="ZI43" i="10" s="1"/>
  <c r="ZH44" i="10" s="1"/>
  <c r="ZI44" i="10" s="1"/>
  <c r="ZH45" i="10" s="1"/>
  <c r="ZI45" i="10" s="1"/>
  <c r="ZH46" i="10" s="1"/>
  <c r="ZI46" i="10" s="1"/>
  <c r="ZK43" i="10"/>
  <c r="ZM43" i="10" s="1"/>
  <c r="ZK46" i="10"/>
  <c r="ZM46" i="10" s="1"/>
  <c r="ZE47" i="10"/>
  <c r="ZH47" i="10" s="1"/>
  <c r="ZI47" i="10" s="1"/>
  <c r="ZH48" i="10" s="1"/>
  <c r="ZI48" i="10" s="1"/>
  <c r="ZH49" i="10" s="1"/>
  <c r="ZI49" i="10" s="1"/>
  <c r="ZH50" i="10" s="1"/>
  <c r="ZI50" i="10" s="1"/>
  <c r="ZH51" i="10" s="1"/>
  <c r="ZI51" i="10" s="1"/>
  <c r="ZH52" i="10" s="1"/>
  <c r="ZI52" i="10" s="1"/>
  <c r="ZK45" i="10"/>
  <c r="ZM45" i="10" s="1"/>
  <c r="ZK50" i="10"/>
  <c r="ZM50" i="10" s="1"/>
  <c r="ZK44" i="10"/>
  <c r="ZM44" i="10" s="1"/>
  <c r="ZE53" i="10"/>
  <c r="ZK47" i="10"/>
  <c r="ZM47" i="10" s="1"/>
  <c r="ZK52" i="10"/>
  <c r="ZM52" i="10" s="1"/>
  <c r="ZK51" i="10"/>
  <c r="ZM51" i="10" s="1"/>
  <c r="YO55" i="10"/>
  <c r="YN56" i="10" s="1"/>
  <c r="YQ55" i="10"/>
  <c r="YS55" i="10" s="1"/>
  <c r="YO56" i="10" l="1"/>
  <c r="YQ56" i="10"/>
  <c r="YS56" i="10" s="1"/>
  <c r="ZK49" i="10"/>
  <c r="ZM49" i="10" s="1"/>
  <c r="ZK48" i="10"/>
  <c r="ZM48" i="10" s="1"/>
  <c r="ZO42" i="10"/>
  <c r="ZR43" i="10" l="1"/>
  <c r="ZS43" i="10" s="1"/>
  <c r="ZR44" i="10" s="1"/>
  <c r="ZS44" i="10" s="1"/>
  <c r="ZR45" i="10" s="1"/>
  <c r="ZS45" i="10" s="1"/>
  <c r="ZR46" i="10" s="1"/>
  <c r="ZS46" i="10" s="1"/>
  <c r="ZU47" i="10"/>
  <c r="ZW47" i="10" s="1"/>
  <c r="ZU46" i="10"/>
  <c r="ZW46" i="10" s="1"/>
  <c r="ZU49" i="10"/>
  <c r="ZW49" i="10" s="1"/>
  <c r="ZO53" i="10"/>
  <c r="ZU52" i="10"/>
  <c r="ZW52" i="10" s="1"/>
  <c r="ZO47" i="10"/>
  <c r="ZR47" i="10" s="1"/>
  <c r="ZS47" i="10" s="1"/>
  <c r="ZR48" i="10" s="1"/>
  <c r="ZS48" i="10" s="1"/>
  <c r="ZR49" i="10" s="1"/>
  <c r="ZS49" i="10" s="1"/>
  <c r="ZR50" i="10" s="1"/>
  <c r="ZS50" i="10" s="1"/>
  <c r="ZR51" i="10" s="1"/>
  <c r="ZS51" i="10" s="1"/>
  <c r="ZR52" i="10" s="1"/>
  <c r="ZS52" i="10" s="1"/>
  <c r="YQ64" i="10"/>
  <c r="YS64" i="10" s="1"/>
  <c r="YQ65" i="10"/>
  <c r="YS65" i="10" s="1"/>
  <c r="YQ61" i="10"/>
  <c r="YS61" i="10" s="1"/>
  <c r="YQ63" i="10"/>
  <c r="YS63" i="10" s="1"/>
  <c r="YQ62" i="10"/>
  <c r="YS62" i="10" s="1"/>
  <c r="YQ60" i="10"/>
  <c r="YS60" i="10" s="1"/>
  <c r="YQ66" i="10"/>
  <c r="YS66" i="10" s="1"/>
  <c r="YN57" i="10"/>
  <c r="YX53" i="10"/>
  <c r="YO57" i="10" l="1"/>
  <c r="YN58" i="10" s="1"/>
  <c r="YQ57" i="10"/>
  <c r="YS57" i="10" s="1"/>
  <c r="ZU43" i="10"/>
  <c r="ZW43" i="10" s="1"/>
  <c r="ZU48" i="10"/>
  <c r="ZW48" i="10" s="1"/>
  <c r="ZU45" i="10"/>
  <c r="ZW45" i="10" s="1"/>
  <c r="ZU44" i="10"/>
  <c r="ZW44" i="10" s="1"/>
  <c r="YY53" i="10"/>
  <c r="YX54" i="10" s="1"/>
  <c r="ZA53" i="10"/>
  <c r="ZC53" i="10" s="1"/>
  <c r="ZU50" i="10"/>
  <c r="ZW50" i="10" s="1"/>
  <c r="ZU51" i="10"/>
  <c r="ZW51" i="10" s="1"/>
  <c r="ZY42" i="10"/>
  <c r="YY54" i="10" l="1"/>
  <c r="YX55" i="10" s="1"/>
  <c r="ZA54" i="10"/>
  <c r="ZC54" i="10" s="1"/>
  <c r="YO58" i="10"/>
  <c r="YN59" i="10" s="1"/>
  <c r="YQ58" i="10"/>
  <c r="YS58" i="10" s="1"/>
  <c r="YO59" i="10" l="1"/>
  <c r="YN60" i="10" s="1"/>
  <c r="YO60" i="10" s="1"/>
  <c r="YN61" i="10" s="1"/>
  <c r="YO61" i="10" s="1"/>
  <c r="YN62" i="10" s="1"/>
  <c r="YO62" i="10" s="1"/>
  <c r="YN63" i="10" s="1"/>
  <c r="YO63" i="10" s="1"/>
  <c r="YN64" i="10" s="1"/>
  <c r="YO64" i="10" s="1"/>
  <c r="YN65" i="10" s="1"/>
  <c r="YO65" i="10" s="1"/>
  <c r="YN66" i="10" s="1"/>
  <c r="YO66" i="10" s="1"/>
  <c r="YQ59" i="10"/>
  <c r="YS59" i="10" s="1"/>
  <c r="YY55" i="10"/>
  <c r="YX56" i="10" s="1"/>
  <c r="ZA55" i="10"/>
  <c r="ZC55" i="10" s="1"/>
  <c r="YY56" i="10" l="1"/>
  <c r="ZA56" i="10"/>
  <c r="ZC56" i="10" s="1"/>
  <c r="ZA65" i="10" l="1"/>
  <c r="ZC65" i="10" s="1"/>
  <c r="ZA66" i="10"/>
  <c r="ZC66" i="10" s="1"/>
  <c r="ZA60" i="10"/>
  <c r="ZC60" i="10" s="1"/>
  <c r="ZA63" i="10"/>
  <c r="ZC63" i="10" s="1"/>
  <c r="ZA62" i="10"/>
  <c r="ZC62" i="10" s="1"/>
  <c r="ZA61" i="10"/>
  <c r="ZC61" i="10" s="1"/>
  <c r="ZA64" i="10"/>
  <c r="ZC64" i="10" s="1"/>
  <c r="YX57" i="10"/>
  <c r="ZH53" i="10"/>
  <c r="ZI53" i="10" l="1"/>
  <c r="ZH54" i="10" s="1"/>
  <c r="ZK53" i="10"/>
  <c r="ZM53" i="10" s="1"/>
  <c r="YY57" i="10"/>
  <c r="YX58" i="10" s="1"/>
  <c r="ZA57" i="10"/>
  <c r="ZC57" i="10" s="1"/>
  <c r="YY58" i="10" l="1"/>
  <c r="YX59" i="10" s="1"/>
  <c r="ZA58" i="10"/>
  <c r="ZC58" i="10" s="1"/>
  <c r="ZI54" i="10"/>
  <c r="ZH55" i="10" s="1"/>
  <c r="ZK54" i="10"/>
  <c r="ZM54" i="10" s="1"/>
  <c r="ZI55" i="10" l="1"/>
  <c r="ZH56" i="10" s="1"/>
  <c r="ZK55" i="10"/>
  <c r="ZM55" i="10" s="1"/>
  <c r="YY59" i="10"/>
  <c r="YX60" i="10" s="1"/>
  <c r="YY60" i="10" s="1"/>
  <c r="YX61" i="10" s="1"/>
  <c r="YY61" i="10" s="1"/>
  <c r="YX62" i="10" s="1"/>
  <c r="YY62" i="10" s="1"/>
  <c r="YX63" i="10" s="1"/>
  <c r="YY63" i="10" s="1"/>
  <c r="YX64" i="10" s="1"/>
  <c r="YY64" i="10" s="1"/>
  <c r="YX65" i="10" s="1"/>
  <c r="YY65" i="10" s="1"/>
  <c r="YX66" i="10" s="1"/>
  <c r="YY66" i="10" s="1"/>
  <c r="ZA59" i="10"/>
  <c r="ZC59" i="10" s="1"/>
  <c r="ZI56" i="10" l="1"/>
  <c r="ZK56" i="10"/>
  <c r="ZM56" i="10" s="1"/>
  <c r="ZK62" i="10" l="1"/>
  <c r="ZM62" i="10" s="1"/>
  <c r="ZK66" i="10"/>
  <c r="ZM66" i="10" s="1"/>
  <c r="ZK61" i="10"/>
  <c r="ZM61" i="10" s="1"/>
  <c r="ZK64" i="10"/>
  <c r="ZM64" i="10" s="1"/>
  <c r="ZK65" i="10"/>
  <c r="ZM65" i="10" s="1"/>
  <c r="ZK60" i="10"/>
  <c r="ZM60" i="10" s="1"/>
  <c r="ZK63" i="10"/>
  <c r="ZM63" i="10" s="1"/>
  <c r="ZH57" i="10"/>
  <c r="ZR53" i="10"/>
  <c r="ZS53" i="10" l="1"/>
  <c r="ZR54" i="10" s="1"/>
  <c r="ZU53" i="10"/>
  <c r="ZW53" i="10" s="1"/>
  <c r="ZI57" i="10"/>
  <c r="ZH58" i="10" s="1"/>
  <c r="ZK57" i="10"/>
  <c r="ZM57" i="10" s="1"/>
  <c r="ZI58" i="10" l="1"/>
  <c r="ZH59" i="10" s="1"/>
  <c r="ZK58" i="10"/>
  <c r="ZM58" i="10" s="1"/>
  <c r="ZS54" i="10"/>
  <c r="ZR55" i="10" s="1"/>
  <c r="ZU54" i="10"/>
  <c r="ZW54" i="10" s="1"/>
  <c r="ZS55" i="10" l="1"/>
  <c r="ZR56" i="10" s="1"/>
  <c r="ZU55" i="10"/>
  <c r="ZW55" i="10" s="1"/>
  <c r="ZI59" i="10"/>
  <c r="ZH60" i="10" s="1"/>
  <c r="ZI60" i="10" s="1"/>
  <c r="ZH61" i="10" s="1"/>
  <c r="ZI61" i="10" s="1"/>
  <c r="ZH62" i="10" s="1"/>
  <c r="ZI62" i="10" s="1"/>
  <c r="ZH63" i="10" s="1"/>
  <c r="ZI63" i="10" s="1"/>
  <c r="ZH64" i="10" s="1"/>
  <c r="ZI64" i="10" s="1"/>
  <c r="ZH65" i="10" s="1"/>
  <c r="ZI65" i="10" s="1"/>
  <c r="ZH66" i="10" s="1"/>
  <c r="ZI66" i="10" s="1"/>
  <c r="ZK59" i="10"/>
  <c r="ZM59" i="10" s="1"/>
  <c r="ZS56" i="10" l="1"/>
  <c r="ZU56" i="10"/>
  <c r="ZW56" i="10" s="1"/>
  <c r="ZU65" i="10" l="1"/>
  <c r="ZW65" i="10" s="1"/>
  <c r="ZU66" i="10"/>
  <c r="ZW66" i="10" s="1"/>
  <c r="ZU62" i="10"/>
  <c r="ZW62" i="10" s="1"/>
  <c r="ZU63" i="10"/>
  <c r="ZW63" i="10" s="1"/>
  <c r="ZU59" i="10"/>
  <c r="ZW59" i="10" s="1"/>
  <c r="ZU61" i="10"/>
  <c r="ZW61" i="10" s="1"/>
  <c r="ZU64" i="10"/>
  <c r="ZW64" i="10" s="1"/>
  <c r="ZU60" i="10"/>
  <c r="ZW60" i="10" s="1"/>
  <c r="ZR57" i="10"/>
  <c r="AAB43" i="10"/>
  <c r="ZS57" i="10" l="1"/>
  <c r="ZR58" i="10" s="1"/>
  <c r="ZU57" i="10"/>
  <c r="ZW57" i="10" s="1"/>
  <c r="AAC43" i="10"/>
  <c r="AAB44" i="10" s="1"/>
  <c r="AAE43" i="10"/>
  <c r="AAG43" i="10" s="1"/>
  <c r="AAC44" i="10" l="1"/>
  <c r="AAB45" i="10" s="1"/>
  <c r="AAE44" i="10"/>
  <c r="AAG44" i="10" s="1"/>
  <c r="ZS58" i="10"/>
  <c r="ZR59" i="10" s="1"/>
  <c r="ZS59" i="10" s="1"/>
  <c r="ZR60" i="10" s="1"/>
  <c r="ZS60" i="10" s="1"/>
  <c r="ZR61" i="10" s="1"/>
  <c r="ZS61" i="10" s="1"/>
  <c r="ZR62" i="10" s="1"/>
  <c r="ZS62" i="10" s="1"/>
  <c r="ZR63" i="10" s="1"/>
  <c r="ZS63" i="10" s="1"/>
  <c r="ZR64" i="10" s="1"/>
  <c r="ZS64" i="10" s="1"/>
  <c r="ZR65" i="10" s="1"/>
  <c r="ZS65" i="10" s="1"/>
  <c r="ZR66" i="10" s="1"/>
  <c r="ZS66" i="10" s="1"/>
  <c r="ZU58" i="10"/>
  <c r="ZW58" i="10" s="1"/>
  <c r="AAC45" i="10" l="1"/>
  <c r="AAB46" i="10" s="1"/>
  <c r="AAE45" i="10"/>
  <c r="AAG45" i="10" s="1"/>
  <c r="AAC46" i="10" l="1"/>
  <c r="AAE46" i="10"/>
  <c r="AAG46" i="10" s="1"/>
  <c r="ZY47" i="10" s="1"/>
  <c r="AAB47" i="10" l="1"/>
  <c r="AAC47" i="10" l="1"/>
  <c r="AAB48" i="10" s="1"/>
  <c r="AAE47" i="10"/>
  <c r="AAG47" i="10" s="1"/>
  <c r="AAC48" i="10" l="1"/>
  <c r="AAB49" i="10" s="1"/>
  <c r="AAE48" i="10"/>
  <c r="AAG48" i="10" s="1"/>
  <c r="AAC49" i="10" l="1"/>
  <c r="AAB50" i="10" s="1"/>
  <c r="AAE49" i="10"/>
  <c r="AAG49" i="10" s="1"/>
  <c r="AAC50" i="10" l="1"/>
  <c r="AAB51" i="10" s="1"/>
  <c r="AAE50" i="10"/>
  <c r="AAG50" i="10" s="1"/>
  <c r="AAC51" i="10" l="1"/>
  <c r="AAB52" i="10" s="1"/>
  <c r="AAE51" i="10"/>
  <c r="AAG51" i="10" s="1"/>
  <c r="AAC52" i="10" l="1"/>
  <c r="AAE52" i="10"/>
  <c r="AAG52" i="10" s="1"/>
  <c r="ZY53" i="10" s="1"/>
  <c r="AAB53" i="10" l="1"/>
  <c r="AAI42" i="10"/>
  <c r="AAC53" i="10" l="1"/>
  <c r="AAB54" i="10" s="1"/>
  <c r="AAE53" i="10"/>
  <c r="AAG53" i="10" s="1"/>
  <c r="AAC54" i="10" l="1"/>
  <c r="AAB55" i="10" s="1"/>
  <c r="AAE54" i="10"/>
  <c r="AAG54" i="10" s="1"/>
  <c r="AAC55" i="10" l="1"/>
  <c r="AAB56" i="10" s="1"/>
  <c r="AAE55" i="10"/>
  <c r="AAG55" i="10" s="1"/>
  <c r="AAC56" i="10" l="1"/>
  <c r="AAE56" i="10"/>
  <c r="AAG56" i="10" s="1"/>
  <c r="AAE63" i="10" l="1"/>
  <c r="AAG63" i="10" s="1"/>
  <c r="AAE64" i="10"/>
  <c r="AAG64" i="10" s="1"/>
  <c r="AAE62" i="10"/>
  <c r="AAG62" i="10" s="1"/>
  <c r="AAE60" i="10"/>
  <c r="AAG60" i="10" s="1"/>
  <c r="AAE66" i="10"/>
  <c r="AAG66" i="10" s="1"/>
  <c r="AAE65" i="10"/>
  <c r="AAG65" i="10" s="1"/>
  <c r="AAE61" i="10"/>
  <c r="AAG61" i="10" s="1"/>
  <c r="AAB57" i="10"/>
  <c r="AAL43" i="10"/>
  <c r="AAC57" i="10" l="1"/>
  <c r="AAB58" i="10" s="1"/>
  <c r="AAE57" i="10"/>
  <c r="AAG57" i="10" s="1"/>
  <c r="AAM43" i="10"/>
  <c r="AAL44" i="10" s="1"/>
  <c r="AAO43" i="10"/>
  <c r="AAQ43" i="10" s="1"/>
  <c r="AAM44" i="10" l="1"/>
  <c r="AAL45" i="10" s="1"/>
  <c r="AAO44" i="10"/>
  <c r="AAQ44" i="10" s="1"/>
  <c r="AAC58" i="10"/>
  <c r="AAB59" i="10" s="1"/>
  <c r="AAE58" i="10"/>
  <c r="AAG58" i="10" s="1"/>
  <c r="AAC59" i="10" l="1"/>
  <c r="AAB60" i="10" s="1"/>
  <c r="AAC60" i="10" s="1"/>
  <c r="AAB61" i="10" s="1"/>
  <c r="AAC61" i="10" s="1"/>
  <c r="AAB62" i="10" s="1"/>
  <c r="AAC62" i="10" s="1"/>
  <c r="AAB63" i="10" s="1"/>
  <c r="AAC63" i="10" s="1"/>
  <c r="AAB64" i="10" s="1"/>
  <c r="AAC64" i="10" s="1"/>
  <c r="AAB65" i="10" s="1"/>
  <c r="AAC65" i="10" s="1"/>
  <c r="AAB66" i="10" s="1"/>
  <c r="AAC66" i="10" s="1"/>
  <c r="AAE59" i="10"/>
  <c r="AAG59" i="10" s="1"/>
  <c r="AAM45" i="10"/>
  <c r="AAL46" i="10" s="1"/>
  <c r="AAO45" i="10"/>
  <c r="AAQ45" i="10" s="1"/>
  <c r="AAM46" i="10" l="1"/>
  <c r="AAO46" i="10"/>
  <c r="AAQ46" i="10" s="1"/>
  <c r="AAI47" i="10" s="1"/>
  <c r="AAL47" i="10" l="1"/>
  <c r="AAM47" i="10" l="1"/>
  <c r="AAL48" i="10" s="1"/>
  <c r="AAO47" i="10"/>
  <c r="AAQ47" i="10" s="1"/>
  <c r="AAM48" i="10" l="1"/>
  <c r="AAL49" i="10" s="1"/>
  <c r="AAO48" i="10"/>
  <c r="AAQ48" i="10" s="1"/>
  <c r="AAM49" i="10" l="1"/>
  <c r="AAL50" i="10" s="1"/>
  <c r="AAO49" i="10"/>
  <c r="AAQ49" i="10" s="1"/>
  <c r="AAM50" i="10" l="1"/>
  <c r="AAL51" i="10" s="1"/>
  <c r="AAO50" i="10"/>
  <c r="AAQ50" i="10" s="1"/>
  <c r="AAM51" i="10" l="1"/>
  <c r="AAL52" i="10" s="1"/>
  <c r="AAO51" i="10"/>
  <c r="AAQ51" i="10" s="1"/>
  <c r="AAM52" i="10" l="1"/>
  <c r="AAO52" i="10"/>
  <c r="AAQ52" i="10" s="1"/>
  <c r="AAI53" i="10" s="1"/>
  <c r="AAL53" i="10" l="1"/>
  <c r="AAS42" i="10"/>
  <c r="AAM53" i="10" l="1"/>
  <c r="AAL54" i="10" s="1"/>
  <c r="AAO53" i="10"/>
  <c r="AAQ53" i="10" s="1"/>
  <c r="AAM54" i="10" l="1"/>
  <c r="AAL55" i="10" s="1"/>
  <c r="AAO54" i="10"/>
  <c r="AAQ54" i="10" s="1"/>
  <c r="AAM55" i="10" l="1"/>
  <c r="AAL56" i="10" s="1"/>
  <c r="AAO55" i="10"/>
  <c r="AAQ55" i="10" s="1"/>
  <c r="AAM56" i="10" l="1"/>
  <c r="AAO56" i="10"/>
  <c r="AAQ56" i="10" s="1"/>
  <c r="AAO65" i="10" l="1"/>
  <c r="AAQ65" i="10" s="1"/>
  <c r="AAO64" i="10"/>
  <c r="AAQ64" i="10" s="1"/>
  <c r="AAO62" i="10"/>
  <c r="AAQ62" i="10" s="1"/>
  <c r="AAO61" i="10"/>
  <c r="AAQ61" i="10" s="1"/>
  <c r="AAO66" i="10"/>
  <c r="AAQ66" i="10" s="1"/>
  <c r="AAO63" i="10"/>
  <c r="AAQ63" i="10" s="1"/>
  <c r="AAO60" i="10"/>
  <c r="AAQ60" i="10" s="1"/>
  <c r="AAL57" i="10"/>
  <c r="AAV43" i="10"/>
  <c r="AAW43" i="10" l="1"/>
  <c r="AAV44" i="10" s="1"/>
  <c r="AAY43" i="10"/>
  <c r="ABA43" i="10" s="1"/>
  <c r="AAM57" i="10"/>
  <c r="AAL58" i="10" s="1"/>
  <c r="AAO57" i="10"/>
  <c r="AAQ57" i="10" s="1"/>
  <c r="AAM58" i="10" l="1"/>
  <c r="AAL59" i="10" s="1"/>
  <c r="AAO58" i="10"/>
  <c r="AAQ58" i="10" s="1"/>
  <c r="AAW44" i="10"/>
  <c r="AAV45" i="10" s="1"/>
  <c r="AAY44" i="10"/>
  <c r="ABA44" i="10" s="1"/>
  <c r="AAW45" i="10" l="1"/>
  <c r="AAV46" i="10" s="1"/>
  <c r="AAY45" i="10"/>
  <c r="ABA45" i="10" s="1"/>
  <c r="AAM59" i="10"/>
  <c r="AAL60" i="10" s="1"/>
  <c r="AAM60" i="10" s="1"/>
  <c r="AAL61" i="10" s="1"/>
  <c r="AAM61" i="10" s="1"/>
  <c r="AAL62" i="10" s="1"/>
  <c r="AAM62" i="10" s="1"/>
  <c r="AAL63" i="10" s="1"/>
  <c r="AAM63" i="10" s="1"/>
  <c r="AAL64" i="10" s="1"/>
  <c r="AAM64" i="10" s="1"/>
  <c r="AAL65" i="10" s="1"/>
  <c r="AAM65" i="10" s="1"/>
  <c r="AAL66" i="10" s="1"/>
  <c r="AAM66" i="10" s="1"/>
  <c r="AAO59" i="10"/>
  <c r="AAQ59" i="10" s="1"/>
  <c r="AAW46" i="10" l="1"/>
  <c r="AAY46" i="10"/>
  <c r="ABA46" i="10" s="1"/>
  <c r="AAS47" i="10" s="1"/>
  <c r="AAV47" i="10" l="1"/>
  <c r="AAW47" i="10" l="1"/>
  <c r="AAV48" i="10" s="1"/>
  <c r="AAY47" i="10"/>
  <c r="ABA47" i="10" s="1"/>
  <c r="AAW48" i="10" l="1"/>
  <c r="AAV49" i="10" s="1"/>
  <c r="AAY48" i="10"/>
  <c r="ABA48" i="10" s="1"/>
  <c r="AAW49" i="10" l="1"/>
  <c r="AAV50" i="10" s="1"/>
  <c r="AAY49" i="10"/>
  <c r="ABA49" i="10" s="1"/>
  <c r="AAW50" i="10" l="1"/>
  <c r="AAV51" i="10" s="1"/>
  <c r="AAY50" i="10"/>
  <c r="ABA50" i="10" s="1"/>
  <c r="AAW51" i="10" l="1"/>
  <c r="AAV52" i="10" s="1"/>
  <c r="AAY51" i="10"/>
  <c r="ABA51" i="10" s="1"/>
  <c r="AAW52" i="10" l="1"/>
  <c r="AAY52" i="10"/>
  <c r="ABA52" i="10" s="1"/>
  <c r="AAS53" i="10" s="1"/>
  <c r="AAV53" i="10" l="1"/>
  <c r="ABC42" i="10"/>
  <c r="ABF43" i="10" l="1"/>
  <c r="ABG43" i="10" s="1"/>
  <c r="ABF44" i="10" s="1"/>
  <c r="ABG44" i="10" s="1"/>
  <c r="ABF45" i="10" s="1"/>
  <c r="ABG45" i="10" s="1"/>
  <c r="ABF46" i="10" s="1"/>
  <c r="ABG46" i="10" s="1"/>
  <c r="ABI43" i="10"/>
  <c r="ABK43" i="10" s="1"/>
  <c r="ABI44" i="10"/>
  <c r="ABK44" i="10" s="1"/>
  <c r="ABI46" i="10"/>
  <c r="ABK46" i="10" s="1"/>
  <c r="ABI45" i="10"/>
  <c r="ABK45" i="10" s="1"/>
  <c r="ABC47" i="10"/>
  <c r="AAW53" i="10"/>
  <c r="AAV54" i="10" s="1"/>
  <c r="AAY53" i="10"/>
  <c r="ABA53" i="10" s="1"/>
  <c r="AAW54" i="10" l="1"/>
  <c r="AAV55" i="10" s="1"/>
  <c r="AAY54" i="10"/>
  <c r="ABA54" i="10" s="1"/>
  <c r="AAW55" i="10" l="1"/>
  <c r="AAV56" i="10" s="1"/>
  <c r="AAY55" i="10"/>
  <c r="ABA55" i="10" s="1"/>
  <c r="AAW56" i="10" l="1"/>
  <c r="AAY56" i="10"/>
  <c r="ABA56" i="10" s="1"/>
  <c r="AAY65" i="10" l="1"/>
  <c r="ABA65" i="10" s="1"/>
  <c r="AAY66" i="10"/>
  <c r="ABA66" i="10" s="1"/>
  <c r="AAY64" i="10"/>
  <c r="ABA64" i="10" s="1"/>
  <c r="AAY61" i="10"/>
  <c r="ABA61" i="10" s="1"/>
  <c r="AAY63" i="10"/>
  <c r="ABA63" i="10" s="1"/>
  <c r="AAY60" i="10"/>
  <c r="ABA60" i="10" s="1"/>
  <c r="AAY62" i="10"/>
  <c r="ABA62" i="10" s="1"/>
  <c r="AAV57" i="10"/>
  <c r="ABF47" i="10"/>
  <c r="ABG47" i="10" l="1"/>
  <c r="ABF48" i="10" s="1"/>
  <c r="ABI47" i="10"/>
  <c r="ABK47" i="10" s="1"/>
  <c r="AAW57" i="10"/>
  <c r="AAV58" i="10" s="1"/>
  <c r="AAY57" i="10"/>
  <c r="ABA57" i="10" s="1"/>
  <c r="AAW58" i="10" l="1"/>
  <c r="AAV59" i="10" s="1"/>
  <c r="AAY58" i="10"/>
  <c r="ABA58" i="10" s="1"/>
  <c r="ABG48" i="10"/>
  <c r="ABF49" i="10" s="1"/>
  <c r="ABI48" i="10"/>
  <c r="ABK48" i="10" s="1"/>
  <c r="ABG49" i="10" l="1"/>
  <c r="ABF50" i="10" s="1"/>
  <c r="ABI49" i="10"/>
  <c r="ABK49" i="10" s="1"/>
  <c r="AAW59" i="10"/>
  <c r="AAV60" i="10" s="1"/>
  <c r="AAW60" i="10" s="1"/>
  <c r="AAV61" i="10" s="1"/>
  <c r="AAW61" i="10" s="1"/>
  <c r="AAV62" i="10" s="1"/>
  <c r="AAW62" i="10" s="1"/>
  <c r="AAV63" i="10" s="1"/>
  <c r="AAW63" i="10" s="1"/>
  <c r="AAV64" i="10" s="1"/>
  <c r="AAW64" i="10" s="1"/>
  <c r="AAV65" i="10" s="1"/>
  <c r="AAW65" i="10" s="1"/>
  <c r="AAV66" i="10" s="1"/>
  <c r="AAW66" i="10" s="1"/>
  <c r="AAY59" i="10"/>
  <c r="ABA59" i="10" s="1"/>
  <c r="ABG50" i="10" l="1"/>
  <c r="ABF51" i="10" s="1"/>
  <c r="ABI50" i="10"/>
  <c r="ABK50" i="10" s="1"/>
  <c r="ABG51" i="10" l="1"/>
  <c r="ABF52" i="10" s="1"/>
  <c r="ABI51" i="10"/>
  <c r="ABK51" i="10" s="1"/>
  <c r="ABG52" i="10" l="1"/>
  <c r="ABI52" i="10"/>
  <c r="ABK52" i="10" s="1"/>
  <c r="ABC53" i="10" s="1"/>
  <c r="ABF53" i="10" l="1"/>
  <c r="ABM42" i="10"/>
  <c r="ABP43" i="10" l="1"/>
  <c r="ABQ43" i="10" s="1"/>
  <c r="ABP44" i="10" s="1"/>
  <c r="ABQ44" i="10" s="1"/>
  <c r="ABP45" i="10" s="1"/>
  <c r="ABQ45" i="10" s="1"/>
  <c r="ABP46" i="10" s="1"/>
  <c r="ABQ46" i="10" s="1"/>
  <c r="ABS45" i="10"/>
  <c r="ABU45" i="10" s="1"/>
  <c r="ABS46" i="10"/>
  <c r="ABU46" i="10" s="1"/>
  <c r="ABS44" i="10"/>
  <c r="ABU44" i="10" s="1"/>
  <c r="ABS43" i="10"/>
  <c r="ABU43" i="10" s="1"/>
  <c r="ABM47" i="10"/>
  <c r="ABG53" i="10"/>
  <c r="ABF54" i="10" s="1"/>
  <c r="ABI53" i="10"/>
  <c r="ABK53" i="10" s="1"/>
  <c r="ABG54" i="10" l="1"/>
  <c r="ABF55" i="10" s="1"/>
  <c r="ABI54" i="10"/>
  <c r="ABK54" i="10" s="1"/>
  <c r="ABG55" i="10" l="1"/>
  <c r="ABF56" i="10" s="1"/>
  <c r="ABI55" i="10"/>
  <c r="ABK55" i="10" s="1"/>
  <c r="ABG56" i="10" l="1"/>
  <c r="ABI56" i="10"/>
  <c r="ABK56" i="10" s="1"/>
  <c r="ABI64" i="10" l="1"/>
  <c r="ABK64" i="10" s="1"/>
  <c r="ABI66" i="10"/>
  <c r="ABK66" i="10" s="1"/>
  <c r="ABI63" i="10"/>
  <c r="ABK63" i="10" s="1"/>
  <c r="ABI62" i="10"/>
  <c r="ABK62" i="10" s="1"/>
  <c r="ABI65" i="10"/>
  <c r="ABK65" i="10" s="1"/>
  <c r="ABI61" i="10"/>
  <c r="ABK61" i="10" s="1"/>
  <c r="ABI60" i="10"/>
  <c r="ABK60" i="10" s="1"/>
  <c r="ABF57" i="10"/>
  <c r="ABP47" i="10"/>
  <c r="ABQ47" i="10" l="1"/>
  <c r="ABP48" i="10" s="1"/>
  <c r="ABS47" i="10"/>
  <c r="ABU47" i="10" s="1"/>
  <c r="ABG57" i="10"/>
  <c r="ABF58" i="10" s="1"/>
  <c r="ABI57" i="10"/>
  <c r="ABK57" i="10" s="1"/>
  <c r="ABG58" i="10" l="1"/>
  <c r="ABF59" i="10" s="1"/>
  <c r="ABI58" i="10"/>
  <c r="ABK58" i="10" s="1"/>
  <c r="ABQ48" i="10"/>
  <c r="ABP49" i="10" s="1"/>
  <c r="ABS48" i="10"/>
  <c r="ABU48" i="10" s="1"/>
  <c r="ABQ49" i="10" l="1"/>
  <c r="ABP50" i="10" s="1"/>
  <c r="ABS49" i="10"/>
  <c r="ABU49" i="10" s="1"/>
  <c r="ABG59" i="10"/>
  <c r="ABF60" i="10" s="1"/>
  <c r="ABG60" i="10" s="1"/>
  <c r="ABF61" i="10" s="1"/>
  <c r="ABG61" i="10" s="1"/>
  <c r="ABF62" i="10" s="1"/>
  <c r="ABG62" i="10" s="1"/>
  <c r="ABF63" i="10" s="1"/>
  <c r="ABG63" i="10" s="1"/>
  <c r="ABF64" i="10" s="1"/>
  <c r="ABG64" i="10" s="1"/>
  <c r="ABF65" i="10" s="1"/>
  <c r="ABG65" i="10" s="1"/>
  <c r="ABF66" i="10" s="1"/>
  <c r="ABG66" i="10" s="1"/>
  <c r="ABI59" i="10"/>
  <c r="ABK59" i="10" s="1"/>
  <c r="ABQ50" i="10" l="1"/>
  <c r="ABP51" i="10" s="1"/>
  <c r="ABS50" i="10"/>
  <c r="ABU50" i="10" s="1"/>
  <c r="ABQ51" i="10" l="1"/>
  <c r="ABP52" i="10" s="1"/>
  <c r="ABS51" i="10"/>
  <c r="ABU51" i="10" s="1"/>
  <c r="ABQ52" i="10" l="1"/>
  <c r="ABS52" i="10"/>
  <c r="ABU52" i="10" s="1"/>
  <c r="ABM53" i="10" s="1"/>
  <c r="ABP53" i="10" l="1"/>
  <c r="ABW42" i="10"/>
  <c r="ABQ53" i="10" l="1"/>
  <c r="ABP54" i="10" s="1"/>
  <c r="ABS53" i="10"/>
  <c r="ABU53" i="10" s="1"/>
  <c r="ABQ54" i="10" l="1"/>
  <c r="ABP55" i="10" s="1"/>
  <c r="ABS54" i="10"/>
  <c r="ABU54" i="10" s="1"/>
  <c r="ABQ55" i="10" l="1"/>
  <c r="ABP56" i="10" s="1"/>
  <c r="ABS55" i="10"/>
  <c r="ABU55" i="10" s="1"/>
  <c r="ABQ56" i="10" l="1"/>
  <c r="ABS56" i="10"/>
  <c r="ABU56" i="10" s="1"/>
  <c r="ABS65" i="10" l="1"/>
  <c r="ABU65" i="10" s="1"/>
  <c r="ABS61" i="10"/>
  <c r="ABU61" i="10" s="1"/>
  <c r="ABS63" i="10"/>
  <c r="ABU63" i="10" s="1"/>
  <c r="ABS60" i="10"/>
  <c r="ABU60" i="10" s="1"/>
  <c r="ABS66" i="10"/>
  <c r="ABU66" i="10" s="1"/>
  <c r="ABS62" i="10"/>
  <c r="ABU62" i="10" s="1"/>
  <c r="ABS64" i="10"/>
  <c r="ABU64" i="10" s="1"/>
  <c r="ABP57" i="10"/>
  <c r="ABZ43" i="10"/>
  <c r="ACA43" i="10" l="1"/>
  <c r="ABZ44" i="10" s="1"/>
  <c r="ACC43" i="10"/>
  <c r="ACE43" i="10" s="1"/>
  <c r="ABQ57" i="10"/>
  <c r="ABP58" i="10" s="1"/>
  <c r="ABS57" i="10"/>
  <c r="ABU57" i="10" s="1"/>
  <c r="ABQ58" i="10" l="1"/>
  <c r="ABP59" i="10" s="1"/>
  <c r="ABS58" i="10"/>
  <c r="ABU58" i="10" s="1"/>
  <c r="ACA44" i="10"/>
  <c r="ABZ45" i="10" s="1"/>
  <c r="ACC44" i="10"/>
  <c r="ACE44" i="10" s="1"/>
  <c r="ACA45" i="10" l="1"/>
  <c r="ABZ46" i="10" s="1"/>
  <c r="ACC45" i="10"/>
  <c r="ACE45" i="10" s="1"/>
  <c r="ABQ59" i="10"/>
  <c r="ABP60" i="10" s="1"/>
  <c r="ABQ60" i="10" s="1"/>
  <c r="ABP61" i="10" s="1"/>
  <c r="ABQ61" i="10" s="1"/>
  <c r="ABP62" i="10" s="1"/>
  <c r="ABQ62" i="10" s="1"/>
  <c r="ABP63" i="10" s="1"/>
  <c r="ABQ63" i="10" s="1"/>
  <c r="ABP64" i="10" s="1"/>
  <c r="ABQ64" i="10" s="1"/>
  <c r="ABP65" i="10" s="1"/>
  <c r="ABQ65" i="10" s="1"/>
  <c r="ABP66" i="10" s="1"/>
  <c r="ABQ66" i="10" s="1"/>
  <c r="ABS59" i="10"/>
  <c r="ABU59" i="10" s="1"/>
  <c r="ACA46" i="10" l="1"/>
  <c r="ACC46" i="10"/>
  <c r="ACE46" i="10" s="1"/>
  <c r="ABW47" i="10" s="1"/>
  <c r="ABZ47" i="10" l="1"/>
  <c r="ACA47" i="10" l="1"/>
  <c r="ABZ48" i="10" s="1"/>
  <c r="ACC47" i="10"/>
  <c r="ACE47" i="10" s="1"/>
  <c r="ACA48" i="10" l="1"/>
  <c r="ABZ49" i="10" s="1"/>
  <c r="ACC48" i="10"/>
  <c r="ACE48" i="10" s="1"/>
  <c r="ACA49" i="10" l="1"/>
  <c r="ABZ50" i="10" s="1"/>
  <c r="ACC49" i="10"/>
  <c r="ACE49" i="10" s="1"/>
  <c r="ACA50" i="10" l="1"/>
  <c r="ABZ51" i="10" s="1"/>
  <c r="ACC50" i="10"/>
  <c r="ACE50" i="10" s="1"/>
  <c r="ACA51" i="10" l="1"/>
  <c r="ABZ52" i="10" s="1"/>
  <c r="ACC51" i="10"/>
  <c r="ACE51" i="10" s="1"/>
  <c r="ACA52" i="10" l="1"/>
  <c r="ACC52" i="10"/>
  <c r="ACE52" i="10" s="1"/>
  <c r="ABW53" i="10" s="1"/>
  <c r="ABZ53" i="10" l="1"/>
  <c r="ACG42" i="10"/>
  <c r="ACJ43" i="10" l="1"/>
  <c r="ACK43" i="10" s="1"/>
  <c r="ACJ44" i="10" s="1"/>
  <c r="ACK44" i="10" s="1"/>
  <c r="ACJ45" i="10" s="1"/>
  <c r="ACK45" i="10" s="1"/>
  <c r="ACJ46" i="10" s="1"/>
  <c r="ACK46" i="10" s="1"/>
  <c r="ACM43" i="10"/>
  <c r="ACO43" i="10" s="1"/>
  <c r="ACM44" i="10"/>
  <c r="ACO44" i="10" s="1"/>
  <c r="ACM46" i="10"/>
  <c r="ACO46" i="10" s="1"/>
  <c r="ACM45" i="10"/>
  <c r="ACO45" i="10" s="1"/>
  <c r="ACG47" i="10"/>
  <c r="ACJ47" i="10" s="1"/>
  <c r="ACK47" i="10" s="1"/>
  <c r="ACJ48" i="10" s="1"/>
  <c r="ACK48" i="10" s="1"/>
  <c r="ACJ49" i="10" s="1"/>
  <c r="ACK49" i="10" s="1"/>
  <c r="ACJ50" i="10" s="1"/>
  <c r="ACK50" i="10" s="1"/>
  <c r="ACJ51" i="10" s="1"/>
  <c r="ACK51" i="10" s="1"/>
  <c r="ACJ52" i="10" s="1"/>
  <c r="ACK52" i="10" s="1"/>
  <c r="ACM49" i="10"/>
  <c r="ACO49" i="10" s="1"/>
  <c r="ACM47" i="10"/>
  <c r="ACO47" i="10" s="1"/>
  <c r="ACG53" i="10"/>
  <c r="ACM51" i="10"/>
  <c r="ACO51" i="10" s="1"/>
  <c r="ACM52" i="10"/>
  <c r="ACO52" i="10" s="1"/>
  <c r="ACA53" i="10"/>
  <c r="ABZ54" i="10" s="1"/>
  <c r="ACC53" i="10"/>
  <c r="ACE53" i="10" s="1"/>
  <c r="ACA54" i="10" l="1"/>
  <c r="ABZ55" i="10" s="1"/>
  <c r="ACC54" i="10"/>
  <c r="ACE54" i="10" s="1"/>
  <c r="ACM48" i="10"/>
  <c r="ACO48" i="10" s="1"/>
  <c r="ACM50" i="10"/>
  <c r="ACO50" i="10" s="1"/>
  <c r="ACQ42" i="10"/>
  <c r="ACQ47" i="10" l="1"/>
  <c r="ACT47" i="10" s="1"/>
  <c r="ACU47" i="10" s="1"/>
  <c r="ACT48" i="10" s="1"/>
  <c r="ACU48" i="10" s="1"/>
  <c r="ACT49" i="10" s="1"/>
  <c r="ACU49" i="10" s="1"/>
  <c r="ACT50" i="10" s="1"/>
  <c r="ACU50" i="10" s="1"/>
  <c r="ACT51" i="10" s="1"/>
  <c r="ACU51" i="10" s="1"/>
  <c r="ACT52" i="10" s="1"/>
  <c r="ACU52" i="10" s="1"/>
  <c r="ACW47" i="10"/>
  <c r="ACY47" i="10" s="1"/>
  <c r="ACW51" i="10"/>
  <c r="ACY51" i="10" s="1"/>
  <c r="ACT43" i="10"/>
  <c r="ACU43" i="10" s="1"/>
  <c r="ACT44" i="10" s="1"/>
  <c r="ACU44" i="10" s="1"/>
  <c r="ACT45" i="10" s="1"/>
  <c r="ACU45" i="10" s="1"/>
  <c r="ACT46" i="10" s="1"/>
  <c r="ACU46" i="10" s="1"/>
  <c r="ACQ53" i="10"/>
  <c r="ACA55" i="10"/>
  <c r="ABZ56" i="10" s="1"/>
  <c r="ACC55" i="10"/>
  <c r="ACE55" i="10" s="1"/>
  <c r="ACA56" i="10" l="1"/>
  <c r="ACC56" i="10"/>
  <c r="ACE56" i="10" s="1"/>
  <c r="ACW44" i="10"/>
  <c r="ACY44" i="10" s="1"/>
  <c r="ACW49" i="10"/>
  <c r="ACY49" i="10" s="1"/>
  <c r="ACW45" i="10"/>
  <c r="ACY45" i="10" s="1"/>
  <c r="ACW52" i="10"/>
  <c r="ACY52" i="10" s="1"/>
  <c r="ACW43" i="10"/>
  <c r="ACY43" i="10" s="1"/>
  <c r="ACW46" i="10"/>
  <c r="ACY46" i="10" s="1"/>
  <c r="ACW50" i="10"/>
  <c r="ACY50" i="10" s="1"/>
  <c r="ACW48" i="10"/>
  <c r="ACY48" i="10" s="1"/>
  <c r="ADA42" i="10"/>
  <c r="ADG43" i="10" l="1"/>
  <c r="ADI43" i="10" s="1"/>
  <c r="ADG44" i="10"/>
  <c r="ADI44" i="10" s="1"/>
  <c r="ADD43" i="10"/>
  <c r="ADE43" i="10" s="1"/>
  <c r="ADD44" i="10" s="1"/>
  <c r="ADE44" i="10" s="1"/>
  <c r="ADD45" i="10" s="1"/>
  <c r="ADE45" i="10" s="1"/>
  <c r="ADD46" i="10" s="1"/>
  <c r="ADE46" i="10" s="1"/>
  <c r="ADG46" i="10"/>
  <c r="ADI46" i="10" s="1"/>
  <c r="ADG45" i="10"/>
  <c r="ADI45" i="10" s="1"/>
  <c r="ADA47" i="10"/>
  <c r="ADD47" i="10" s="1"/>
  <c r="ADE47" i="10" s="1"/>
  <c r="ADD48" i="10" s="1"/>
  <c r="ADE48" i="10" s="1"/>
  <c r="ADD49" i="10" s="1"/>
  <c r="ADE49" i="10" s="1"/>
  <c r="ADD50" i="10" s="1"/>
  <c r="ADE50" i="10" s="1"/>
  <c r="ADD51" i="10" s="1"/>
  <c r="ADE51" i="10" s="1"/>
  <c r="ADD52" i="10" s="1"/>
  <c r="ADE52" i="10" s="1"/>
  <c r="ADA53" i="10"/>
  <c r="ACC64" i="10"/>
  <c r="ACE64" i="10" s="1"/>
  <c r="ACC65" i="10"/>
  <c r="ACE65" i="10" s="1"/>
  <c r="ACC63" i="10"/>
  <c r="ACE63" i="10" s="1"/>
  <c r="ACC66" i="10"/>
  <c r="ACE66" i="10" s="1"/>
  <c r="ACC60" i="10"/>
  <c r="ACE60" i="10" s="1"/>
  <c r="ACC61" i="10"/>
  <c r="ACE61" i="10" s="1"/>
  <c r="ACC62" i="10"/>
  <c r="ACE62" i="10" s="1"/>
  <c r="ABZ57" i="10"/>
  <c r="ACJ53" i="10"/>
  <c r="ACK53" i="10" l="1"/>
  <c r="ACJ54" i="10" s="1"/>
  <c r="ACM53" i="10"/>
  <c r="ACO53" i="10" s="1"/>
  <c r="ADG51" i="10"/>
  <c r="ADI51" i="10" s="1"/>
  <c r="ADG47" i="10"/>
  <c r="ADI47" i="10" s="1"/>
  <c r="ADG49" i="10"/>
  <c r="ADI49" i="10" s="1"/>
  <c r="ACA57" i="10"/>
  <c r="ABZ58" i="10" s="1"/>
  <c r="ACC57" i="10"/>
  <c r="ACE57" i="10" s="1"/>
  <c r="ADG52" i="10"/>
  <c r="ADI52" i="10" s="1"/>
  <c r="ADG48" i="10"/>
  <c r="ADI48" i="10" s="1"/>
  <c r="ADG50" i="10"/>
  <c r="ADI50" i="10" s="1"/>
  <c r="ADK42" i="10"/>
  <c r="ADQ44" i="10" l="1"/>
  <c r="ADS44" i="10" s="1"/>
  <c r="ADQ45" i="10"/>
  <c r="ADS45" i="10" s="1"/>
  <c r="ADQ43" i="10"/>
  <c r="ADS43" i="10" s="1"/>
  <c r="ADK47" i="10"/>
  <c r="ADQ47" i="10"/>
  <c r="ADS47" i="10" s="1"/>
  <c r="ADQ46" i="10"/>
  <c r="ADS46" i="10" s="1"/>
  <c r="ADQ51" i="10"/>
  <c r="ADS51" i="10" s="1"/>
  <c r="ADQ49" i="10"/>
  <c r="ADS49" i="10" s="1"/>
  <c r="ADQ50" i="10"/>
  <c r="ADS50" i="10" s="1"/>
  <c r="ADK53" i="10"/>
  <c r="ADQ54" i="10"/>
  <c r="ADS54" i="10" s="1"/>
  <c r="ADQ55" i="10"/>
  <c r="ADS55" i="10" s="1"/>
  <c r="ADQ56" i="10"/>
  <c r="ADS56" i="10" s="1"/>
  <c r="ADQ57" i="10"/>
  <c r="ADS57" i="10" s="1"/>
  <c r="ADQ48" i="10"/>
  <c r="ADS48" i="10" s="1"/>
  <c r="ADQ53" i="10"/>
  <c r="ADS53" i="10" s="1"/>
  <c r="ADQ52" i="10"/>
  <c r="ADS52" i="10" s="1"/>
  <c r="ADQ59" i="10"/>
  <c r="ADS59" i="10" s="1"/>
  <c r="ADQ61" i="10"/>
  <c r="ADS61" i="10" s="1"/>
  <c r="ADQ58" i="10"/>
  <c r="ADS58" i="10" s="1"/>
  <c r="ADQ60" i="10"/>
  <c r="ADS60" i="10" s="1"/>
  <c r="ADQ62" i="10"/>
  <c r="ADS62" i="10" s="1"/>
  <c r="ADQ65" i="10"/>
  <c r="ADS65" i="10" s="1"/>
  <c r="ADQ64" i="10"/>
  <c r="ADS64" i="10" s="1"/>
  <c r="ADQ66" i="10"/>
  <c r="ADS66" i="10" s="1"/>
  <c r="ADQ63" i="10"/>
  <c r="ADS63" i="10" s="1"/>
  <c r="ACA58" i="10"/>
  <c r="ABZ59" i="10" s="1"/>
  <c r="ACC58" i="10"/>
  <c r="ACE58" i="10" s="1"/>
  <c r="ACK54" i="10"/>
  <c r="ACJ55" i="10" s="1"/>
  <c r="ACM54" i="10"/>
  <c r="ACO54" i="10" s="1"/>
  <c r="ACA59" i="10" l="1"/>
  <c r="ABZ60" i="10" s="1"/>
  <c r="ACA60" i="10" s="1"/>
  <c r="ABZ61" i="10" s="1"/>
  <c r="ACA61" i="10" s="1"/>
  <c r="ABZ62" i="10" s="1"/>
  <c r="ACA62" i="10" s="1"/>
  <c r="ABZ63" i="10" s="1"/>
  <c r="ACA63" i="10" s="1"/>
  <c r="ABZ64" i="10" s="1"/>
  <c r="ACA64" i="10" s="1"/>
  <c r="ABZ65" i="10" s="1"/>
  <c r="ACA65" i="10" s="1"/>
  <c r="ABZ66" i="10" s="1"/>
  <c r="ACA66" i="10" s="1"/>
  <c r="ACC59" i="10"/>
  <c r="ACE59" i="10" s="1"/>
  <c r="ACK55" i="10"/>
  <c r="ACJ56" i="10" s="1"/>
  <c r="ACM55" i="10"/>
  <c r="ACO55" i="10" s="1"/>
  <c r="ADU42" i="10"/>
  <c r="AEA43" i="10" l="1"/>
  <c r="AEC43" i="10" s="1"/>
  <c r="AEA45" i="10"/>
  <c r="AEC45" i="10" s="1"/>
  <c r="AEA47" i="10"/>
  <c r="AEC47" i="10" s="1"/>
  <c r="AEA48" i="10"/>
  <c r="AEC48" i="10" s="1"/>
  <c r="AEA46" i="10"/>
  <c r="AEC46" i="10" s="1"/>
  <c r="ADU47" i="10"/>
  <c r="AEA49" i="10"/>
  <c r="AEC49" i="10" s="1"/>
  <c r="AEA50" i="10"/>
  <c r="AEC50" i="10" s="1"/>
  <c r="AEA53" i="10"/>
  <c r="AEC53" i="10" s="1"/>
  <c r="AEA52" i="10"/>
  <c r="AEC52" i="10" s="1"/>
  <c r="AEA44" i="10"/>
  <c r="AEC44" i="10" s="1"/>
  <c r="ADU53" i="10"/>
  <c r="AEA55" i="10"/>
  <c r="AEC55" i="10" s="1"/>
  <c r="AEA57" i="10"/>
  <c r="AEC57" i="10" s="1"/>
  <c r="AEA54" i="10"/>
  <c r="AEC54" i="10" s="1"/>
  <c r="AEA51" i="10"/>
  <c r="AEC51" i="10" s="1"/>
  <c r="AEA58" i="10"/>
  <c r="AEC58" i="10" s="1"/>
  <c r="AEA60" i="10"/>
  <c r="AEC60" i="10" s="1"/>
  <c r="AEA59" i="10"/>
  <c r="AEC59" i="10" s="1"/>
  <c r="AEA64" i="10"/>
  <c r="AEC64" i="10" s="1"/>
  <c r="AEA62" i="10"/>
  <c r="AEC62" i="10" s="1"/>
  <c r="AEA63" i="10"/>
  <c r="AEC63" i="10" s="1"/>
  <c r="AEA56" i="10"/>
  <c r="AEC56" i="10" s="1"/>
  <c r="AEA65" i="10"/>
  <c r="AEC65" i="10" s="1"/>
  <c r="AEA66" i="10"/>
  <c r="AEC66" i="10" s="1"/>
  <c r="AEA61" i="10"/>
  <c r="AEC61" i="10" s="1"/>
  <c r="ACK56" i="10"/>
  <c r="ACM56" i="10"/>
  <c r="ACO56" i="10" s="1"/>
  <c r="ACJ57" i="10" l="1"/>
  <c r="ACT53" i="10"/>
  <c r="ACM62" i="10"/>
  <c r="ACO62" i="10" s="1"/>
  <c r="ACM64" i="10"/>
  <c r="ACO64" i="10" s="1"/>
  <c r="ACM66" i="10"/>
  <c r="ACO66" i="10" s="1"/>
  <c r="ACM61" i="10"/>
  <c r="ACO61" i="10" s="1"/>
  <c r="ACM60" i="10"/>
  <c r="ACO60" i="10" s="1"/>
  <c r="ACM63" i="10"/>
  <c r="ACO63" i="10" s="1"/>
  <c r="ACM65" i="10"/>
  <c r="ACO65" i="10" s="1"/>
  <c r="AEE42" i="10"/>
  <c r="ACU53" i="10" l="1"/>
  <c r="ACT54" i="10" s="1"/>
  <c r="ACW53" i="10"/>
  <c r="ACY53" i="10" s="1"/>
  <c r="ACK57" i="10"/>
  <c r="ACJ58" i="10" s="1"/>
  <c r="ACM57" i="10"/>
  <c r="ACO57" i="10" s="1"/>
  <c r="AEK44" i="10"/>
  <c r="AEM44" i="10" s="1"/>
  <c r="AEK46" i="10"/>
  <c r="AEM46" i="10" s="1"/>
  <c r="AEK45" i="10"/>
  <c r="AEM45" i="10" s="1"/>
  <c r="AEE47" i="10"/>
  <c r="AEO42" i="10" s="1"/>
  <c r="AEK48" i="10"/>
  <c r="AEM48" i="10" s="1"/>
  <c r="AEK43" i="10"/>
  <c r="AEM43" i="10" s="1"/>
  <c r="AEK51" i="10"/>
  <c r="AEM51" i="10" s="1"/>
  <c r="AEK50" i="10"/>
  <c r="AEM50" i="10" s="1"/>
  <c r="AEK54" i="10"/>
  <c r="AEM54" i="10" s="1"/>
  <c r="AEK55" i="10"/>
  <c r="AEM55" i="10" s="1"/>
  <c r="AEK56" i="10"/>
  <c r="AEM56" i="10" s="1"/>
  <c r="AEK57" i="10"/>
  <c r="AEM57" i="10" s="1"/>
  <c r="AEE53" i="10"/>
  <c r="AEK47" i="10"/>
  <c r="AEM47" i="10" s="1"/>
  <c r="AEK52" i="10"/>
  <c r="AEM52" i="10" s="1"/>
  <c r="AEK53" i="10"/>
  <c r="AEM53" i="10" s="1"/>
  <c r="AEK58" i="10"/>
  <c r="AEM58" i="10" s="1"/>
  <c r="AEK60" i="10"/>
  <c r="AEM60" i="10" s="1"/>
  <c r="AEK63" i="10"/>
  <c r="AEM63" i="10" s="1"/>
  <c r="AEK59" i="10"/>
  <c r="AEM59" i="10" s="1"/>
  <c r="AEK64" i="10"/>
  <c r="AEM64" i="10" s="1"/>
  <c r="AEK66" i="10"/>
  <c r="AEM66" i="10" s="1"/>
  <c r="AEK49" i="10"/>
  <c r="AEM49" i="10" s="1"/>
  <c r="AEK62" i="10"/>
  <c r="AEM62" i="10" s="1"/>
  <c r="AEK65" i="10"/>
  <c r="AEM65" i="10" s="1"/>
  <c r="AEK61" i="10"/>
  <c r="AEM61" i="10" s="1"/>
  <c r="ACK58" i="10" l="1"/>
  <c r="ACJ59" i="10" s="1"/>
  <c r="ACM58" i="10"/>
  <c r="ACO58" i="10" s="1"/>
  <c r="AEU44" i="10"/>
  <c r="AEW44" i="10" s="1"/>
  <c r="AEU45" i="10"/>
  <c r="AEW45" i="10" s="1"/>
  <c r="AEU43" i="10"/>
  <c r="AEW43" i="10" s="1"/>
  <c r="AEO47" i="10"/>
  <c r="AEU47" i="10"/>
  <c r="AEW47" i="10" s="1"/>
  <c r="AEU46" i="10"/>
  <c r="AEW46" i="10" s="1"/>
  <c r="AEU49" i="10"/>
  <c r="AEW49" i="10" s="1"/>
  <c r="AEU48" i="10"/>
  <c r="AEW48" i="10" s="1"/>
  <c r="AEU50" i="10"/>
  <c r="AEW50" i="10" s="1"/>
  <c r="AEU51" i="10"/>
  <c r="AEW51" i="10" s="1"/>
  <c r="AEO53" i="10"/>
  <c r="AEU57" i="10"/>
  <c r="AEW57" i="10" s="1"/>
  <c r="AEU56" i="10"/>
  <c r="AEW56" i="10" s="1"/>
  <c r="AEU55" i="10"/>
  <c r="AEW55" i="10" s="1"/>
  <c r="AEU52" i="10"/>
  <c r="AEW52" i="10" s="1"/>
  <c r="AEU59" i="10"/>
  <c r="AEW59" i="10" s="1"/>
  <c r="AEU54" i="10"/>
  <c r="AEW54" i="10" s="1"/>
  <c r="AEU58" i="10"/>
  <c r="AEW58" i="10" s="1"/>
  <c r="AEU60" i="10"/>
  <c r="AEW60" i="10" s="1"/>
  <c r="AEU62" i="10"/>
  <c r="AEW62" i="10" s="1"/>
  <c r="AEU53" i="10"/>
  <c r="AEW53" i="10" s="1"/>
  <c r="AEU64" i="10"/>
  <c r="AEW64" i="10" s="1"/>
  <c r="AEU61" i="10"/>
  <c r="AEW61" i="10" s="1"/>
  <c r="AEU65" i="10"/>
  <c r="AEW65" i="10" s="1"/>
  <c r="AEU63" i="10"/>
  <c r="AEW63" i="10" s="1"/>
  <c r="AEU66" i="10"/>
  <c r="AEW66" i="10" s="1"/>
  <c r="ACU54" i="10"/>
  <c r="ACT55" i="10" s="1"/>
  <c r="ACW54" i="10"/>
  <c r="ACY54" i="10" s="1"/>
  <c r="AEY42" i="10" l="1"/>
  <c r="AFE43" i="10" s="1"/>
  <c r="AFG43" i="10" s="1"/>
  <c r="AFE48" i="10"/>
  <c r="AFG48" i="10" s="1"/>
  <c r="AFE45" i="10"/>
  <c r="AFG45" i="10" s="1"/>
  <c r="AFE56" i="10"/>
  <c r="AFG56" i="10" s="1"/>
  <c r="AFE58" i="10"/>
  <c r="AFG58" i="10" s="1"/>
  <c r="AFE61" i="10"/>
  <c r="AFG61" i="10" s="1"/>
  <c r="AFE63" i="10"/>
  <c r="AFG63" i="10" s="1"/>
  <c r="ACK59" i="10"/>
  <c r="ACJ60" i="10" s="1"/>
  <c r="ACK60" i="10" s="1"/>
  <c r="ACJ61" i="10" s="1"/>
  <c r="ACK61" i="10" s="1"/>
  <c r="ACJ62" i="10" s="1"/>
  <c r="ACK62" i="10" s="1"/>
  <c r="ACJ63" i="10" s="1"/>
  <c r="ACK63" i="10" s="1"/>
  <c r="ACJ64" i="10" s="1"/>
  <c r="ACK64" i="10" s="1"/>
  <c r="ACJ65" i="10" s="1"/>
  <c r="ACK65" i="10" s="1"/>
  <c r="ACJ66" i="10" s="1"/>
  <c r="ACK66" i="10" s="1"/>
  <c r="ACM59" i="10"/>
  <c r="ACO59" i="10" s="1"/>
  <c r="ACU55" i="10"/>
  <c r="ACT56" i="10" s="1"/>
  <c r="ACW55" i="10"/>
  <c r="ACY55" i="10" s="1"/>
  <c r="AFE66" i="10" l="1"/>
  <c r="AFG66" i="10" s="1"/>
  <c r="AFE59" i="10"/>
  <c r="AFG59" i="10" s="1"/>
  <c r="AFE50" i="10"/>
  <c r="AFG50" i="10" s="1"/>
  <c r="AFE55" i="10"/>
  <c r="AFG55" i="10" s="1"/>
  <c r="AFE49" i="10"/>
  <c r="AFG49" i="10" s="1"/>
  <c r="AFE44" i="10"/>
  <c r="AFG44" i="10" s="1"/>
  <c r="AFE65" i="10"/>
  <c r="AFG65" i="10" s="1"/>
  <c r="AEY53" i="10"/>
  <c r="AFE54" i="10"/>
  <c r="AFG54" i="10" s="1"/>
  <c r="AFE51" i="10"/>
  <c r="AFG51" i="10" s="1"/>
  <c r="AFE46" i="10"/>
  <c r="AFG46" i="10" s="1"/>
  <c r="AFE53" i="10"/>
  <c r="AFG53" i="10" s="1"/>
  <c r="AFE62" i="10"/>
  <c r="AFG62" i="10" s="1"/>
  <c r="AFE57" i="10"/>
  <c r="AFG57" i="10" s="1"/>
  <c r="AFE64" i="10"/>
  <c r="AFG64" i="10" s="1"/>
  <c r="AFE60" i="10"/>
  <c r="AFG60" i="10" s="1"/>
  <c r="AFE52" i="10"/>
  <c r="AFG52" i="10" s="1"/>
  <c r="AFE47" i="10"/>
  <c r="AFG47" i="10" s="1"/>
  <c r="AEY47" i="10"/>
  <c r="AFI42" i="10" s="1"/>
  <c r="ACU56" i="10"/>
  <c r="ACW56" i="10"/>
  <c r="ACY56" i="10" s="1"/>
  <c r="AFO43" i="10" l="1"/>
  <c r="AFQ43" i="10" s="1"/>
  <c r="AFO46" i="10"/>
  <c r="AFQ46" i="10" s="1"/>
  <c r="AFO45" i="10"/>
  <c r="AFQ45" i="10" s="1"/>
  <c r="AFO47" i="10"/>
  <c r="AFQ47" i="10" s="1"/>
  <c r="AFO44" i="10"/>
  <c r="AFQ44" i="10" s="1"/>
  <c r="AFI47" i="10"/>
  <c r="AFO50" i="10"/>
  <c r="AFQ50" i="10" s="1"/>
  <c r="AFI53" i="10"/>
  <c r="AFO49" i="10"/>
  <c r="AFQ49" i="10" s="1"/>
  <c r="AFO56" i="10"/>
  <c r="AFQ56" i="10" s="1"/>
  <c r="AFO55" i="10"/>
  <c r="AFQ55" i="10" s="1"/>
  <c r="AFO57" i="10"/>
  <c r="AFQ57" i="10" s="1"/>
  <c r="AFO48" i="10"/>
  <c r="AFQ48" i="10" s="1"/>
  <c r="AFO53" i="10"/>
  <c r="AFQ53" i="10" s="1"/>
  <c r="AFO52" i="10"/>
  <c r="AFQ52" i="10" s="1"/>
  <c r="AFO59" i="10"/>
  <c r="AFQ59" i="10" s="1"/>
  <c r="AFO51" i="10"/>
  <c r="AFQ51" i="10" s="1"/>
  <c r="AFO54" i="10"/>
  <c r="AFQ54" i="10" s="1"/>
  <c r="AFO58" i="10"/>
  <c r="AFQ58" i="10" s="1"/>
  <c r="AFO60" i="10"/>
  <c r="AFQ60" i="10" s="1"/>
  <c r="AFO63" i="10"/>
  <c r="AFQ63" i="10" s="1"/>
  <c r="AFO65" i="10"/>
  <c r="AFQ65" i="10" s="1"/>
  <c r="AFO62" i="10"/>
  <c r="AFQ62" i="10" s="1"/>
  <c r="AFO64" i="10"/>
  <c r="AFQ64" i="10" s="1"/>
  <c r="AFO61" i="10"/>
  <c r="AFQ61" i="10" s="1"/>
  <c r="AFO66" i="10"/>
  <c r="AFQ66" i="10" s="1"/>
  <c r="ACW66" i="10"/>
  <c r="ACY66" i="10" s="1"/>
  <c r="ACW61" i="10"/>
  <c r="ACY61" i="10" s="1"/>
  <c r="ACW65" i="10"/>
  <c r="ACY65" i="10" s="1"/>
  <c r="ACW62" i="10"/>
  <c r="ACY62" i="10" s="1"/>
  <c r="ACW63" i="10"/>
  <c r="ACY63" i="10" s="1"/>
  <c r="ACW60" i="10"/>
  <c r="ACY60" i="10" s="1"/>
  <c r="ACW64" i="10"/>
  <c r="ACY64" i="10" s="1"/>
  <c r="ACT57" i="10"/>
  <c r="ADD53" i="10"/>
  <c r="ADE53" i="10" l="1"/>
  <c r="ADD54" i="10" s="1"/>
  <c r="ADG53" i="10"/>
  <c r="ADI53" i="10" s="1"/>
  <c r="ACU57" i="10"/>
  <c r="ACT58" i="10" s="1"/>
  <c r="ACW57" i="10"/>
  <c r="ACY57" i="10" s="1"/>
  <c r="AFS42" i="10"/>
  <c r="AFY43" i="10" l="1"/>
  <c r="AGA43" i="10" s="1"/>
  <c r="AFY44" i="10"/>
  <c r="AGA44" i="10" s="1"/>
  <c r="AFY45" i="10"/>
  <c r="AGA45" i="10" s="1"/>
  <c r="AFY46" i="10"/>
  <c r="AGA46" i="10" s="1"/>
  <c r="AFS47" i="10"/>
  <c r="AFY48" i="10"/>
  <c r="AGA48" i="10" s="1"/>
  <c r="AFY49" i="10"/>
  <c r="AGA49" i="10" s="1"/>
  <c r="AFY51" i="10"/>
  <c r="AGA51" i="10" s="1"/>
  <c r="AFY47" i="10"/>
  <c r="AGA47" i="10" s="1"/>
  <c r="AFY52" i="10"/>
  <c r="AGA52" i="10" s="1"/>
  <c r="AFY53" i="10"/>
  <c r="AGA53" i="10" s="1"/>
  <c r="AFY54" i="10"/>
  <c r="AGA54" i="10" s="1"/>
  <c r="AFY55" i="10"/>
  <c r="AGA55" i="10" s="1"/>
  <c r="AFY56" i="10"/>
  <c r="AGA56" i="10" s="1"/>
  <c r="AFS53" i="10"/>
  <c r="AFY50" i="10"/>
  <c r="AGA50" i="10" s="1"/>
  <c r="AFY57" i="10"/>
  <c r="AGA57" i="10" s="1"/>
  <c r="AFY59" i="10"/>
  <c r="AGA59" i="10" s="1"/>
  <c r="AFY62" i="10"/>
  <c r="AGA62" i="10" s="1"/>
  <c r="AFY64" i="10"/>
  <c r="AGA64" i="10" s="1"/>
  <c r="AFY58" i="10"/>
  <c r="AGA58" i="10" s="1"/>
  <c r="AFY60" i="10"/>
  <c r="AGA60" i="10" s="1"/>
  <c r="AFY63" i="10"/>
  <c r="AGA63" i="10" s="1"/>
  <c r="AFY65" i="10"/>
  <c r="AGA65" i="10" s="1"/>
  <c r="AFY61" i="10"/>
  <c r="AGA61" i="10" s="1"/>
  <c r="AFY66" i="10"/>
  <c r="AGA66" i="10" s="1"/>
  <c r="ACU58" i="10"/>
  <c r="ACT59" i="10" s="1"/>
  <c r="ACW58" i="10"/>
  <c r="ACY58" i="10" s="1"/>
  <c r="ADE54" i="10"/>
  <c r="ADD55" i="10" s="1"/>
  <c r="ADG54" i="10"/>
  <c r="ADI54" i="10" s="1"/>
  <c r="ADE55" i="10" l="1"/>
  <c r="ADD56" i="10" s="1"/>
  <c r="ADG55" i="10"/>
  <c r="ADI55" i="10" s="1"/>
  <c r="ACU59" i="10"/>
  <c r="ACT60" i="10" s="1"/>
  <c r="ACU60" i="10" s="1"/>
  <c r="ACT61" i="10" s="1"/>
  <c r="ACU61" i="10" s="1"/>
  <c r="ACT62" i="10" s="1"/>
  <c r="ACU62" i="10" s="1"/>
  <c r="ACT63" i="10" s="1"/>
  <c r="ACU63" i="10" s="1"/>
  <c r="ACT64" i="10" s="1"/>
  <c r="ACU64" i="10" s="1"/>
  <c r="ACT65" i="10" s="1"/>
  <c r="ACU65" i="10" s="1"/>
  <c r="ACT66" i="10" s="1"/>
  <c r="ACU66" i="10" s="1"/>
  <c r="ACW59" i="10"/>
  <c r="ACY59" i="10" s="1"/>
  <c r="AGC42" i="10"/>
  <c r="AGI43" i="10" l="1"/>
  <c r="AGK43" i="10" s="1"/>
  <c r="AGI44" i="10"/>
  <c r="AGK44" i="10" s="1"/>
  <c r="AGC47" i="10"/>
  <c r="AGI45" i="10"/>
  <c r="AGK45" i="10" s="1"/>
  <c r="AGI46" i="10"/>
  <c r="AGK46" i="10" s="1"/>
  <c r="AGI50" i="10"/>
  <c r="AGK50" i="10" s="1"/>
  <c r="AGI48" i="10"/>
  <c r="AGK48" i="10" s="1"/>
  <c r="AGI49" i="10"/>
  <c r="AGK49" i="10" s="1"/>
  <c r="AGI47" i="10"/>
  <c r="AGK47" i="10" s="1"/>
  <c r="AGI52" i="10"/>
  <c r="AGK52" i="10" s="1"/>
  <c r="AGC53" i="10"/>
  <c r="AGI51" i="10"/>
  <c r="AGK51" i="10" s="1"/>
  <c r="AGI57" i="10"/>
  <c r="AGK57" i="10" s="1"/>
  <c r="AGI58" i="10"/>
  <c r="AGK58" i="10" s="1"/>
  <c r="AGI60" i="10"/>
  <c r="AGK60" i="10" s="1"/>
  <c r="AGI53" i="10"/>
  <c r="AGK53" i="10" s="1"/>
  <c r="AGI59" i="10"/>
  <c r="AGK59" i="10" s="1"/>
  <c r="AGI61" i="10"/>
  <c r="AGK61" i="10" s="1"/>
  <c r="AGI54" i="10"/>
  <c r="AGK54" i="10" s="1"/>
  <c r="AGI63" i="10"/>
  <c r="AGK63" i="10" s="1"/>
  <c r="AGI64" i="10"/>
  <c r="AGK64" i="10" s="1"/>
  <c r="AGI56" i="10"/>
  <c r="AGK56" i="10" s="1"/>
  <c r="AGI66" i="10"/>
  <c r="AGK66" i="10" s="1"/>
  <c r="AGI65" i="10"/>
  <c r="AGK65" i="10" s="1"/>
  <c r="AGI55" i="10"/>
  <c r="AGK55" i="10" s="1"/>
  <c r="AGI62" i="10"/>
  <c r="AGK62" i="10" s="1"/>
  <c r="ADE56" i="10"/>
  <c r="ADG56" i="10"/>
  <c r="ADI56" i="10" s="1"/>
  <c r="AGM42" i="10" l="1"/>
  <c r="ADD57" i="10"/>
  <c r="ADN43" i="10"/>
  <c r="ADG63" i="10"/>
  <c r="ADI63" i="10" s="1"/>
  <c r="ADG60" i="10"/>
  <c r="ADI60" i="10" s="1"/>
  <c r="ADG65" i="10"/>
  <c r="ADI65" i="10" s="1"/>
  <c r="ADG61" i="10"/>
  <c r="ADI61" i="10" s="1"/>
  <c r="ADG64" i="10"/>
  <c r="ADI64" i="10" s="1"/>
  <c r="ADG59" i="10"/>
  <c r="ADI59" i="10" s="1"/>
  <c r="ADG66" i="10"/>
  <c r="ADI66" i="10" s="1"/>
  <c r="ADG62" i="10"/>
  <c r="ADI62" i="10" s="1"/>
  <c r="ADE57" i="10" l="1"/>
  <c r="ADD58" i="10" s="1"/>
  <c r="ADG57" i="10"/>
  <c r="ADI57" i="10" s="1"/>
  <c r="AGS45" i="10"/>
  <c r="AGU45" i="10" s="1"/>
  <c r="AGM47" i="10"/>
  <c r="AGW42" i="10" s="1"/>
  <c r="AGS43" i="10"/>
  <c r="AGU43" i="10" s="1"/>
  <c r="AGS44" i="10"/>
  <c r="AGU44" i="10" s="1"/>
  <c r="AGS47" i="10"/>
  <c r="AGU47" i="10" s="1"/>
  <c r="AGS51" i="10"/>
  <c r="AGU51" i="10" s="1"/>
  <c r="AGS48" i="10"/>
  <c r="AGU48" i="10" s="1"/>
  <c r="AGS50" i="10"/>
  <c r="AGU50" i="10" s="1"/>
  <c r="AGM53" i="10"/>
  <c r="AGS46" i="10"/>
  <c r="AGU46" i="10" s="1"/>
  <c r="AGS54" i="10"/>
  <c r="AGU54" i="10" s="1"/>
  <c r="AGS55" i="10"/>
  <c r="AGU55" i="10" s="1"/>
  <c r="AGS56" i="10"/>
  <c r="AGU56" i="10" s="1"/>
  <c r="AGS49" i="10"/>
  <c r="AGU49" i="10" s="1"/>
  <c r="AGS53" i="10"/>
  <c r="AGU53" i="10" s="1"/>
  <c r="AGS52" i="10"/>
  <c r="AGU52" i="10" s="1"/>
  <c r="AGS59" i="10"/>
  <c r="AGU59" i="10" s="1"/>
  <c r="AGS61" i="10"/>
  <c r="AGU61" i="10" s="1"/>
  <c r="AGS58" i="10"/>
  <c r="AGU58" i="10" s="1"/>
  <c r="AGS60" i="10"/>
  <c r="AGU60" i="10" s="1"/>
  <c r="AGS62" i="10"/>
  <c r="AGU62" i="10" s="1"/>
  <c r="AGS64" i="10"/>
  <c r="AGU64" i="10" s="1"/>
  <c r="AGS65" i="10"/>
  <c r="AGU65" i="10" s="1"/>
  <c r="AGS63" i="10"/>
  <c r="AGU63" i="10" s="1"/>
  <c r="AGS66" i="10"/>
  <c r="AGU66" i="10" s="1"/>
  <c r="AGS57" i="10"/>
  <c r="AGU57" i="10" s="1"/>
  <c r="ADO43" i="10"/>
  <c r="ADN44" i="10" s="1"/>
  <c r="ADO44" i="10" s="1"/>
  <c r="ADN45" i="10" s="1"/>
  <c r="ADO45" i="10" s="1"/>
  <c r="ADN46" i="10" s="1"/>
  <c r="ADO46" i="10" s="1"/>
  <c r="ADN47" i="10" s="1"/>
  <c r="ADX43" i="10"/>
  <c r="AHC46" i="10" l="1"/>
  <c r="AHE46" i="10" s="1"/>
  <c r="AHC44" i="10"/>
  <c r="AHE44" i="10" s="1"/>
  <c r="AHC45" i="10"/>
  <c r="AHE45" i="10" s="1"/>
  <c r="AHC47" i="10"/>
  <c r="AHE47" i="10" s="1"/>
  <c r="AHC48" i="10"/>
  <c r="AHE48" i="10" s="1"/>
  <c r="AHC43" i="10"/>
  <c r="AHE43" i="10" s="1"/>
  <c r="AHC53" i="10"/>
  <c r="AHE53" i="10" s="1"/>
  <c r="AHC51" i="10"/>
  <c r="AHE51" i="10" s="1"/>
  <c r="AHC52" i="10"/>
  <c r="AHE52" i="10" s="1"/>
  <c r="AGW47" i="10"/>
  <c r="AGW53" i="10"/>
  <c r="AHC54" i="10"/>
  <c r="AHE54" i="10" s="1"/>
  <c r="AHC49" i="10"/>
  <c r="AHE49" i="10" s="1"/>
  <c r="AHC55" i="10"/>
  <c r="AHE55" i="10" s="1"/>
  <c r="AHC57" i="10"/>
  <c r="AHE57" i="10" s="1"/>
  <c r="AHC56" i="10"/>
  <c r="AHE56" i="10" s="1"/>
  <c r="AHC50" i="10"/>
  <c r="AHE50" i="10" s="1"/>
  <c r="AHC58" i="10"/>
  <c r="AHE58" i="10" s="1"/>
  <c r="AHC60" i="10"/>
  <c r="AHE60" i="10" s="1"/>
  <c r="AHC59" i="10"/>
  <c r="AHE59" i="10" s="1"/>
  <c r="AHC64" i="10"/>
  <c r="AHE64" i="10" s="1"/>
  <c r="AHC63" i="10"/>
  <c r="AHE63" i="10" s="1"/>
  <c r="AHC61" i="10"/>
  <c r="AHE61" i="10" s="1"/>
  <c r="AHC65" i="10"/>
  <c r="AHE65" i="10" s="1"/>
  <c r="AHC62" i="10"/>
  <c r="AHE62" i="10" s="1"/>
  <c r="AHC66" i="10"/>
  <c r="AHE66" i="10" s="1"/>
  <c r="ADY43" i="10"/>
  <c r="ADX44" i="10" s="1"/>
  <c r="ADY44" i="10" s="1"/>
  <c r="ADX45" i="10" s="1"/>
  <c r="ADY45" i="10" s="1"/>
  <c r="ADX46" i="10" s="1"/>
  <c r="ADY46" i="10" s="1"/>
  <c r="AEH43" i="10"/>
  <c r="ADO47" i="10"/>
  <c r="ADN48" i="10" s="1"/>
  <c r="ADO48" i="10" s="1"/>
  <c r="ADN49" i="10" s="1"/>
  <c r="ADO49" i="10" s="1"/>
  <c r="ADN50" i="10" s="1"/>
  <c r="ADO50" i="10" s="1"/>
  <c r="ADN51" i="10" s="1"/>
  <c r="ADO51" i="10" s="1"/>
  <c r="ADN52" i="10" s="1"/>
  <c r="ADO52" i="10" s="1"/>
  <c r="ADN53" i="10" s="1"/>
  <c r="ADO53" i="10" s="1"/>
  <c r="ADN54" i="10" s="1"/>
  <c r="ADO54" i="10" s="1"/>
  <c r="ADN55" i="10" s="1"/>
  <c r="ADO55" i="10" s="1"/>
  <c r="ADN56" i="10" s="1"/>
  <c r="ADO56" i="10" s="1"/>
  <c r="ADN57" i="10" s="1"/>
  <c r="ADO57" i="10" s="1"/>
  <c r="ADN58" i="10" s="1"/>
  <c r="ADO58" i="10" s="1"/>
  <c r="ADN59" i="10" s="1"/>
  <c r="ADO59" i="10" s="1"/>
  <c r="ADN60" i="10" s="1"/>
  <c r="ADO60" i="10" s="1"/>
  <c r="ADN61" i="10" s="1"/>
  <c r="ADO61" i="10" s="1"/>
  <c r="ADN62" i="10" s="1"/>
  <c r="ADO62" i="10" s="1"/>
  <c r="ADN63" i="10" s="1"/>
  <c r="ADO63" i="10" s="1"/>
  <c r="ADN64" i="10" s="1"/>
  <c r="ADO64" i="10" s="1"/>
  <c r="ADN65" i="10" s="1"/>
  <c r="ADO65" i="10" s="1"/>
  <c r="ADN66" i="10" s="1"/>
  <c r="ADO66" i="10" s="1"/>
  <c r="ADX47" i="10"/>
  <c r="ADE58" i="10"/>
  <c r="ADD59" i="10" s="1"/>
  <c r="ADE59" i="10" s="1"/>
  <c r="ADD60" i="10" s="1"/>
  <c r="ADE60" i="10" s="1"/>
  <c r="ADD61" i="10" s="1"/>
  <c r="ADE61" i="10" s="1"/>
  <c r="ADD62" i="10" s="1"/>
  <c r="ADE62" i="10" s="1"/>
  <c r="ADD63" i="10" s="1"/>
  <c r="ADE63" i="10" s="1"/>
  <c r="ADD64" i="10" s="1"/>
  <c r="ADE64" i="10" s="1"/>
  <c r="ADD65" i="10" s="1"/>
  <c r="ADE65" i="10" s="1"/>
  <c r="ADD66" i="10" s="1"/>
  <c r="ADE66" i="10" s="1"/>
  <c r="ADG58" i="10"/>
  <c r="ADI58" i="10" s="1"/>
  <c r="AEI43" i="10" l="1"/>
  <c r="AEH44" i="10" s="1"/>
  <c r="AEI44" i="10" s="1"/>
  <c r="AEH45" i="10" s="1"/>
  <c r="AEI45" i="10" s="1"/>
  <c r="AEH46" i="10" s="1"/>
  <c r="AEI46" i="10" s="1"/>
  <c r="AER43" i="10"/>
  <c r="ADY47" i="10"/>
  <c r="ADX48" i="10" s="1"/>
  <c r="ADY48" i="10" s="1"/>
  <c r="ADX49" i="10" s="1"/>
  <c r="ADY49" i="10" s="1"/>
  <c r="ADX50" i="10" s="1"/>
  <c r="ADY50" i="10" s="1"/>
  <c r="ADX51" i="10" s="1"/>
  <c r="ADY51" i="10" s="1"/>
  <c r="ADX52" i="10" s="1"/>
  <c r="ADY52" i="10" s="1"/>
  <c r="ADX53" i="10" s="1"/>
  <c r="ADY53" i="10" s="1"/>
  <c r="ADX54" i="10" s="1"/>
  <c r="ADY54" i="10" s="1"/>
  <c r="ADX55" i="10" s="1"/>
  <c r="ADY55" i="10" s="1"/>
  <c r="ADX56" i="10" s="1"/>
  <c r="ADY56" i="10" s="1"/>
  <c r="ADX57" i="10" s="1"/>
  <c r="ADY57" i="10" s="1"/>
  <c r="ADX58" i="10" s="1"/>
  <c r="ADY58" i="10" s="1"/>
  <c r="ADX59" i="10" s="1"/>
  <c r="ADY59" i="10" s="1"/>
  <c r="ADX60" i="10" s="1"/>
  <c r="ADY60" i="10" s="1"/>
  <c r="ADX61" i="10" s="1"/>
  <c r="ADY61" i="10" s="1"/>
  <c r="ADX62" i="10" s="1"/>
  <c r="ADY62" i="10" s="1"/>
  <c r="ADX63" i="10" s="1"/>
  <c r="ADY63" i="10" s="1"/>
  <c r="ADX64" i="10" s="1"/>
  <c r="ADY64" i="10" s="1"/>
  <c r="ADX65" i="10" s="1"/>
  <c r="ADY65" i="10" s="1"/>
  <c r="ADX66" i="10" s="1"/>
  <c r="ADY66" i="10" s="1"/>
  <c r="AEH47" i="10"/>
  <c r="AHG42" i="10"/>
  <c r="AEI47" i="10" l="1"/>
  <c r="AEH48" i="10" s="1"/>
  <c r="AEI48" i="10" s="1"/>
  <c r="AEH49" i="10" s="1"/>
  <c r="AEI49" i="10" s="1"/>
  <c r="AEH50" i="10" s="1"/>
  <c r="AEI50" i="10" s="1"/>
  <c r="AEH51" i="10" s="1"/>
  <c r="AEI51" i="10" s="1"/>
  <c r="AEH52" i="10" s="1"/>
  <c r="AEI52" i="10" s="1"/>
  <c r="AEH53" i="10" s="1"/>
  <c r="AEI53" i="10" s="1"/>
  <c r="AEH54" i="10" s="1"/>
  <c r="AEI54" i="10" s="1"/>
  <c r="AEH55" i="10" s="1"/>
  <c r="AEI55" i="10" s="1"/>
  <c r="AEH56" i="10" s="1"/>
  <c r="AEI56" i="10" s="1"/>
  <c r="AEH57" i="10" s="1"/>
  <c r="AEI57" i="10" s="1"/>
  <c r="AEH58" i="10" s="1"/>
  <c r="AEI58" i="10" s="1"/>
  <c r="AEH59" i="10" s="1"/>
  <c r="AEI59" i="10" s="1"/>
  <c r="AEH60" i="10" s="1"/>
  <c r="AEI60" i="10" s="1"/>
  <c r="AEH61" i="10" s="1"/>
  <c r="AEI61" i="10" s="1"/>
  <c r="AEH62" i="10" s="1"/>
  <c r="AEI62" i="10" s="1"/>
  <c r="AEH63" i="10" s="1"/>
  <c r="AEI63" i="10" s="1"/>
  <c r="AEH64" i="10" s="1"/>
  <c r="AEI64" i="10" s="1"/>
  <c r="AEH65" i="10" s="1"/>
  <c r="AEI65" i="10" s="1"/>
  <c r="AEH66" i="10" s="1"/>
  <c r="AEI66" i="10" s="1"/>
  <c r="AER47" i="10"/>
  <c r="AHM43" i="10"/>
  <c r="AHO43" i="10" s="1"/>
  <c r="AHM47" i="10"/>
  <c r="AHO47" i="10" s="1"/>
  <c r="AHM48" i="10"/>
  <c r="AHO48" i="10" s="1"/>
  <c r="AHG47" i="10"/>
  <c r="AHM51" i="10"/>
  <c r="AHO51" i="10" s="1"/>
  <c r="AHM50" i="10"/>
  <c r="AHO50" i="10" s="1"/>
  <c r="AHM49" i="10"/>
  <c r="AHO49" i="10" s="1"/>
  <c r="AHM44" i="10"/>
  <c r="AHO44" i="10" s="1"/>
  <c r="AHM54" i="10"/>
  <c r="AHO54" i="10" s="1"/>
  <c r="AHM55" i="10"/>
  <c r="AHO55" i="10" s="1"/>
  <c r="AHM56" i="10"/>
  <c r="AHO56" i="10" s="1"/>
  <c r="AHM45" i="10"/>
  <c r="AHO45" i="10" s="1"/>
  <c r="AHM46" i="10"/>
  <c r="AHO46" i="10" s="1"/>
  <c r="AHG53" i="10"/>
  <c r="AHM53" i="10"/>
  <c r="AHO53" i="10" s="1"/>
  <c r="AHM52" i="10"/>
  <c r="AHO52" i="10" s="1"/>
  <c r="AHM58" i="10"/>
  <c r="AHO58" i="10" s="1"/>
  <c r="AHM60" i="10"/>
  <c r="AHO60" i="10" s="1"/>
  <c r="AHM63" i="10"/>
  <c r="AHO63" i="10" s="1"/>
  <c r="AHM57" i="10"/>
  <c r="AHO57" i="10" s="1"/>
  <c r="AHM59" i="10"/>
  <c r="AHO59" i="10" s="1"/>
  <c r="AHM64" i="10"/>
  <c r="AHO64" i="10" s="1"/>
  <c r="AHM66" i="10"/>
  <c r="AHO66" i="10" s="1"/>
  <c r="AHM65" i="10"/>
  <c r="AHO65" i="10" s="1"/>
  <c r="AHM61" i="10"/>
  <c r="AHO61" i="10" s="1"/>
  <c r="AHM62" i="10"/>
  <c r="AHO62" i="10" s="1"/>
  <c r="AES43" i="10"/>
  <c r="AER44" i="10" s="1"/>
  <c r="AES44" i="10" s="1"/>
  <c r="AER45" i="10" s="1"/>
  <c r="AES45" i="10" s="1"/>
  <c r="AER46" i="10" s="1"/>
  <c r="AES46" i="10" s="1"/>
  <c r="AFB43" i="10"/>
  <c r="AFC43" i="10" l="1"/>
  <c r="AFB44" i="10" s="1"/>
  <c r="AFC44" i="10" s="1"/>
  <c r="AFB45" i="10" s="1"/>
  <c r="AFC45" i="10" s="1"/>
  <c r="AFB46" i="10" s="1"/>
  <c r="AFC46" i="10" s="1"/>
  <c r="AFL43" i="10"/>
  <c r="AHQ42" i="10"/>
  <c r="AES47" i="10"/>
  <c r="AER48" i="10" s="1"/>
  <c r="AES48" i="10" s="1"/>
  <c r="AER49" i="10" s="1"/>
  <c r="AES49" i="10" s="1"/>
  <c r="AER50" i="10" s="1"/>
  <c r="AES50" i="10" s="1"/>
  <c r="AER51" i="10" s="1"/>
  <c r="AES51" i="10" s="1"/>
  <c r="AER52" i="10" s="1"/>
  <c r="AES52" i="10" s="1"/>
  <c r="AER53" i="10" s="1"/>
  <c r="AES53" i="10" s="1"/>
  <c r="AER54" i="10" s="1"/>
  <c r="AES54" i="10" s="1"/>
  <c r="AER55" i="10" s="1"/>
  <c r="AES55" i="10" s="1"/>
  <c r="AER56" i="10" s="1"/>
  <c r="AES56" i="10" s="1"/>
  <c r="AER57" i="10" s="1"/>
  <c r="AES57" i="10" s="1"/>
  <c r="AER58" i="10" s="1"/>
  <c r="AES58" i="10" s="1"/>
  <c r="AER59" i="10" s="1"/>
  <c r="AES59" i="10" s="1"/>
  <c r="AER60" i="10" s="1"/>
  <c r="AES60" i="10" s="1"/>
  <c r="AER61" i="10" s="1"/>
  <c r="AES61" i="10" s="1"/>
  <c r="AER62" i="10" s="1"/>
  <c r="AES62" i="10" s="1"/>
  <c r="AER63" i="10" s="1"/>
  <c r="AES63" i="10" s="1"/>
  <c r="AER64" i="10" s="1"/>
  <c r="AES64" i="10" s="1"/>
  <c r="AER65" i="10" s="1"/>
  <c r="AES65" i="10" s="1"/>
  <c r="AER66" i="10" s="1"/>
  <c r="AES66" i="10" s="1"/>
  <c r="AFB47" i="10"/>
  <c r="AHW43" i="10" l="1"/>
  <c r="AHY43" i="10" s="1"/>
  <c r="AHW45" i="10"/>
  <c r="AHY45" i="10" s="1"/>
  <c r="AHW44" i="10"/>
  <c r="AHY44" i="10" s="1"/>
  <c r="AHQ47" i="10"/>
  <c r="AHW46" i="10"/>
  <c r="AHY46" i="10" s="1"/>
  <c r="AHW47" i="10"/>
  <c r="AHY47" i="10" s="1"/>
  <c r="AHW48" i="10"/>
  <c r="AHY48" i="10" s="1"/>
  <c r="AHW50" i="10"/>
  <c r="AHY50" i="10" s="1"/>
  <c r="AHW51" i="10"/>
  <c r="AHY51" i="10" s="1"/>
  <c r="AHW49" i="10"/>
  <c r="AHY49" i="10" s="1"/>
  <c r="AHW57" i="10"/>
  <c r="AHY57" i="10" s="1"/>
  <c r="AHW52" i="10"/>
  <c r="AHY52" i="10" s="1"/>
  <c r="AHW53" i="10"/>
  <c r="AHY53" i="10" s="1"/>
  <c r="AHW54" i="10"/>
  <c r="AHY54" i="10" s="1"/>
  <c r="AHW59" i="10"/>
  <c r="AHY59" i="10" s="1"/>
  <c r="AHW58" i="10"/>
  <c r="AHY58" i="10" s="1"/>
  <c r="AHW60" i="10"/>
  <c r="AHY60" i="10" s="1"/>
  <c r="AHW62" i="10"/>
  <c r="AHY62" i="10" s="1"/>
  <c r="AHW64" i="10"/>
  <c r="AHY64" i="10" s="1"/>
  <c r="AHQ53" i="10"/>
  <c r="AHW61" i="10"/>
  <c r="AHY61" i="10" s="1"/>
  <c r="AHW56" i="10"/>
  <c r="AHY56" i="10" s="1"/>
  <c r="AHW55" i="10"/>
  <c r="AHY55" i="10" s="1"/>
  <c r="AHW65" i="10"/>
  <c r="AHY65" i="10" s="1"/>
  <c r="AHW63" i="10"/>
  <c r="AHY63" i="10" s="1"/>
  <c r="AHW66" i="10"/>
  <c r="AHY66" i="10" s="1"/>
  <c r="AFC47" i="10"/>
  <c r="AFB48" i="10" s="1"/>
  <c r="AFC48" i="10" s="1"/>
  <c r="AFB49" i="10" s="1"/>
  <c r="AFC49" i="10" s="1"/>
  <c r="AFB50" i="10" s="1"/>
  <c r="AFC50" i="10" s="1"/>
  <c r="AFB51" i="10" s="1"/>
  <c r="AFC51" i="10" s="1"/>
  <c r="AFB52" i="10" s="1"/>
  <c r="AFC52" i="10" s="1"/>
  <c r="AFB53" i="10" s="1"/>
  <c r="AFC53" i="10" s="1"/>
  <c r="AFB54" i="10" s="1"/>
  <c r="AFC54" i="10" s="1"/>
  <c r="AFB55" i="10" s="1"/>
  <c r="AFC55" i="10" s="1"/>
  <c r="AFB56" i="10" s="1"/>
  <c r="AFC56" i="10" s="1"/>
  <c r="AFB57" i="10" s="1"/>
  <c r="AFC57" i="10" s="1"/>
  <c r="AFB58" i="10" s="1"/>
  <c r="AFC58" i="10" s="1"/>
  <c r="AFB59" i="10" s="1"/>
  <c r="AFC59" i="10" s="1"/>
  <c r="AFB60" i="10" s="1"/>
  <c r="AFC60" i="10" s="1"/>
  <c r="AFB61" i="10" s="1"/>
  <c r="AFC61" i="10" s="1"/>
  <c r="AFB62" i="10" s="1"/>
  <c r="AFC62" i="10" s="1"/>
  <c r="AFB63" i="10" s="1"/>
  <c r="AFC63" i="10" s="1"/>
  <c r="AFB64" i="10" s="1"/>
  <c r="AFC64" i="10" s="1"/>
  <c r="AFB65" i="10" s="1"/>
  <c r="AFC65" i="10" s="1"/>
  <c r="AFB66" i="10" s="1"/>
  <c r="AFC66" i="10" s="1"/>
  <c r="AFL47" i="10"/>
  <c r="AFM43" i="10"/>
  <c r="AFL44" i="10" s="1"/>
  <c r="AFM44" i="10" s="1"/>
  <c r="AFL45" i="10" s="1"/>
  <c r="AFM45" i="10" s="1"/>
  <c r="AFL46" i="10" s="1"/>
  <c r="AFM46" i="10" s="1"/>
  <c r="AFV43" i="10"/>
  <c r="AFM47" i="10" l="1"/>
  <c r="AFL48" i="10" s="1"/>
  <c r="AFM48" i="10" s="1"/>
  <c r="AFL49" i="10" s="1"/>
  <c r="AFM49" i="10" s="1"/>
  <c r="AFL50" i="10" s="1"/>
  <c r="AFM50" i="10" s="1"/>
  <c r="AFL51" i="10" s="1"/>
  <c r="AFM51" i="10" s="1"/>
  <c r="AFL52" i="10" s="1"/>
  <c r="AFM52" i="10" s="1"/>
  <c r="AFL53" i="10" s="1"/>
  <c r="AFM53" i="10" s="1"/>
  <c r="AFL54" i="10" s="1"/>
  <c r="AFM54" i="10" s="1"/>
  <c r="AFL55" i="10" s="1"/>
  <c r="AFM55" i="10" s="1"/>
  <c r="AFL56" i="10" s="1"/>
  <c r="AFM56" i="10" s="1"/>
  <c r="AFL57" i="10" s="1"/>
  <c r="AFM57" i="10" s="1"/>
  <c r="AFL58" i="10" s="1"/>
  <c r="AFM58" i="10" s="1"/>
  <c r="AFL59" i="10" s="1"/>
  <c r="AFM59" i="10" s="1"/>
  <c r="AFL60" i="10" s="1"/>
  <c r="AFM60" i="10" s="1"/>
  <c r="AFL61" i="10" s="1"/>
  <c r="AFM61" i="10" s="1"/>
  <c r="AFL62" i="10" s="1"/>
  <c r="AFM62" i="10" s="1"/>
  <c r="AFL63" i="10" s="1"/>
  <c r="AFM63" i="10" s="1"/>
  <c r="AFL64" i="10" s="1"/>
  <c r="AFM64" i="10" s="1"/>
  <c r="AFL65" i="10" s="1"/>
  <c r="AFM65" i="10" s="1"/>
  <c r="AFL66" i="10" s="1"/>
  <c r="AFM66" i="10" s="1"/>
  <c r="AFV47" i="10"/>
  <c r="AFW43" i="10"/>
  <c r="AFV44" i="10" s="1"/>
  <c r="AFW44" i="10" s="1"/>
  <c r="AFV45" i="10" s="1"/>
  <c r="AFW45" i="10" s="1"/>
  <c r="AFV46" i="10" s="1"/>
  <c r="AFW46" i="10" s="1"/>
  <c r="AGF43" i="10"/>
  <c r="AIA42" i="10"/>
  <c r="AGG43" i="10" l="1"/>
  <c r="AGF44" i="10" s="1"/>
  <c r="AGG44" i="10" s="1"/>
  <c r="AGF45" i="10" s="1"/>
  <c r="AGG45" i="10" s="1"/>
  <c r="AGF46" i="10" s="1"/>
  <c r="AGG46" i="10" s="1"/>
  <c r="AGP43" i="10"/>
  <c r="AIG43" i="10"/>
  <c r="AII43" i="10" s="1"/>
  <c r="AIG44" i="10"/>
  <c r="AII44" i="10" s="1"/>
  <c r="AIG45" i="10"/>
  <c r="AII45" i="10" s="1"/>
  <c r="AIG46" i="10"/>
  <c r="AII46" i="10" s="1"/>
  <c r="AIG47" i="10"/>
  <c r="AII47" i="10" s="1"/>
  <c r="AIG48" i="10"/>
  <c r="AII48" i="10" s="1"/>
  <c r="AIG51" i="10"/>
  <c r="AII51" i="10" s="1"/>
  <c r="AIA47" i="10"/>
  <c r="AIG49" i="10"/>
  <c r="AII49" i="10" s="1"/>
  <c r="AIG50" i="10"/>
  <c r="AII50" i="10" s="1"/>
  <c r="AIG54" i="10"/>
  <c r="AII54" i="10" s="1"/>
  <c r="AIG55" i="10"/>
  <c r="AII55" i="10" s="1"/>
  <c r="AIG56" i="10"/>
  <c r="AII56" i="10" s="1"/>
  <c r="AIG52" i="10"/>
  <c r="AII52" i="10" s="1"/>
  <c r="AIA53" i="10"/>
  <c r="AIG53" i="10"/>
  <c r="AII53" i="10" s="1"/>
  <c r="AIG58" i="10"/>
  <c r="AII58" i="10" s="1"/>
  <c r="AIG60" i="10"/>
  <c r="AII60" i="10" s="1"/>
  <c r="AIG59" i="10"/>
  <c r="AII59" i="10" s="1"/>
  <c r="AIG61" i="10"/>
  <c r="AII61" i="10" s="1"/>
  <c r="AIG62" i="10"/>
  <c r="AII62" i="10" s="1"/>
  <c r="AIG66" i="10"/>
  <c r="AII66" i="10" s="1"/>
  <c r="AIG64" i="10"/>
  <c r="AII64" i="10" s="1"/>
  <c r="AIG57" i="10"/>
  <c r="AII57" i="10" s="1"/>
  <c r="AIG63" i="10"/>
  <c r="AII63" i="10" s="1"/>
  <c r="AIG65" i="10"/>
  <c r="AII65" i="10" s="1"/>
  <c r="AFW47" i="10"/>
  <c r="AFV48" i="10" s="1"/>
  <c r="AFW48" i="10" s="1"/>
  <c r="AFV49" i="10" s="1"/>
  <c r="AFW49" i="10" s="1"/>
  <c r="AFV50" i="10" s="1"/>
  <c r="AFW50" i="10" s="1"/>
  <c r="AFV51" i="10" s="1"/>
  <c r="AFW51" i="10" s="1"/>
  <c r="AFV52" i="10" s="1"/>
  <c r="AFW52" i="10" s="1"/>
  <c r="AFV53" i="10" s="1"/>
  <c r="AFW53" i="10" s="1"/>
  <c r="AFV54" i="10" s="1"/>
  <c r="AFW54" i="10" s="1"/>
  <c r="AFV55" i="10" s="1"/>
  <c r="AFW55" i="10" s="1"/>
  <c r="AFV56" i="10" s="1"/>
  <c r="AFW56" i="10" s="1"/>
  <c r="AFV57" i="10" s="1"/>
  <c r="AFW57" i="10" s="1"/>
  <c r="AFV58" i="10" s="1"/>
  <c r="AFW58" i="10" s="1"/>
  <c r="AFV59" i="10" s="1"/>
  <c r="AFW59" i="10" s="1"/>
  <c r="AFV60" i="10" s="1"/>
  <c r="AFW60" i="10" s="1"/>
  <c r="AFV61" i="10" s="1"/>
  <c r="AFW61" i="10" s="1"/>
  <c r="AFV62" i="10" s="1"/>
  <c r="AFW62" i="10" s="1"/>
  <c r="AFV63" i="10" s="1"/>
  <c r="AFW63" i="10" s="1"/>
  <c r="AFV64" i="10" s="1"/>
  <c r="AFW64" i="10" s="1"/>
  <c r="AFV65" i="10" s="1"/>
  <c r="AFW65" i="10" s="1"/>
  <c r="AFV66" i="10" s="1"/>
  <c r="AFW66" i="10" s="1"/>
  <c r="AGF47" i="10"/>
  <c r="AIK42" i="10" l="1"/>
  <c r="AIQ43" i="10" s="1"/>
  <c r="AIS43" i="10" s="1"/>
  <c r="AIK47" i="10"/>
  <c r="AIQ44" i="10"/>
  <c r="AIS44" i="10" s="1"/>
  <c r="AIQ47" i="10"/>
  <c r="AIS47" i="10" s="1"/>
  <c r="AIQ49" i="10"/>
  <c r="AIS49" i="10" s="1"/>
  <c r="AIQ50" i="10"/>
  <c r="AIS50" i="10" s="1"/>
  <c r="AIQ51" i="10"/>
  <c r="AIS51" i="10" s="1"/>
  <c r="AIQ52" i="10"/>
  <c r="AIS52" i="10" s="1"/>
  <c r="AIQ54" i="10"/>
  <c r="AIS54" i="10" s="1"/>
  <c r="AIQ57" i="10"/>
  <c r="AIS57" i="10" s="1"/>
  <c r="AIQ55" i="10"/>
  <c r="AIS55" i="10" s="1"/>
  <c r="AIQ48" i="10"/>
  <c r="AIS48" i="10" s="1"/>
  <c r="AIQ59" i="10"/>
  <c r="AIS59" i="10" s="1"/>
  <c r="AIQ58" i="10"/>
  <c r="AIS58" i="10" s="1"/>
  <c r="AIQ60" i="10"/>
  <c r="AIS60" i="10" s="1"/>
  <c r="AIQ62" i="10"/>
  <c r="AIS62" i="10" s="1"/>
  <c r="AIQ63" i="10"/>
  <c r="AIS63" i="10" s="1"/>
  <c r="AIQ65" i="10"/>
  <c r="AIS65" i="10" s="1"/>
  <c r="AIQ64" i="10"/>
  <c r="AIS64" i="10" s="1"/>
  <c r="AIQ66" i="10"/>
  <c r="AIS66" i="10" s="1"/>
  <c r="AIQ61" i="10"/>
  <c r="AIS61" i="10" s="1"/>
  <c r="AGQ43" i="10"/>
  <c r="AGP44" i="10" s="1"/>
  <c r="AGQ44" i="10" s="1"/>
  <c r="AGP45" i="10" s="1"/>
  <c r="AGQ45" i="10" s="1"/>
  <c r="AGP46" i="10" s="1"/>
  <c r="AGQ46" i="10" s="1"/>
  <c r="AGZ43" i="10"/>
  <c r="AGG47" i="10"/>
  <c r="AGF48" i="10" s="1"/>
  <c r="AGG48" i="10" s="1"/>
  <c r="AGF49" i="10" s="1"/>
  <c r="AGG49" i="10" s="1"/>
  <c r="AGF50" i="10" s="1"/>
  <c r="AGG50" i="10" s="1"/>
  <c r="AGF51" i="10" s="1"/>
  <c r="AGG51" i="10" s="1"/>
  <c r="AGF52" i="10" s="1"/>
  <c r="AGG52" i="10" s="1"/>
  <c r="AGF53" i="10" s="1"/>
  <c r="AGG53" i="10" s="1"/>
  <c r="AGF54" i="10" s="1"/>
  <c r="AGG54" i="10" s="1"/>
  <c r="AGF55" i="10" s="1"/>
  <c r="AGG55" i="10" s="1"/>
  <c r="AGF56" i="10" s="1"/>
  <c r="AGG56" i="10" s="1"/>
  <c r="AGF57" i="10" s="1"/>
  <c r="AGG57" i="10" s="1"/>
  <c r="AGF58" i="10" s="1"/>
  <c r="AGG58" i="10" s="1"/>
  <c r="AGF59" i="10" s="1"/>
  <c r="AGG59" i="10" s="1"/>
  <c r="AGF60" i="10" s="1"/>
  <c r="AGG60" i="10" s="1"/>
  <c r="AGF61" i="10" s="1"/>
  <c r="AGG61" i="10" s="1"/>
  <c r="AGF62" i="10" s="1"/>
  <c r="AGG62" i="10" s="1"/>
  <c r="AGF63" i="10" s="1"/>
  <c r="AGG63" i="10" s="1"/>
  <c r="AGF64" i="10" s="1"/>
  <c r="AGG64" i="10" s="1"/>
  <c r="AGF65" i="10" s="1"/>
  <c r="AGG65" i="10" s="1"/>
  <c r="AGF66" i="10" s="1"/>
  <c r="AGG66" i="10" s="1"/>
  <c r="AGP47" i="10"/>
  <c r="AIQ45" i="10" l="1"/>
  <c r="AIS45" i="10" s="1"/>
  <c r="AIQ53" i="10"/>
  <c r="AIS53" i="10" s="1"/>
  <c r="AIQ56" i="10"/>
  <c r="AIS56" i="10" s="1"/>
  <c r="AIK53" i="10"/>
  <c r="AIQ46" i="10"/>
  <c r="AIS46" i="10" s="1"/>
  <c r="AHA43" i="10"/>
  <c r="AGZ44" i="10" s="1"/>
  <c r="AHA44" i="10" s="1"/>
  <c r="AGZ45" i="10" s="1"/>
  <c r="AHA45" i="10" s="1"/>
  <c r="AGZ46" i="10" s="1"/>
  <c r="AHA46" i="10" s="1"/>
  <c r="AHJ43" i="10"/>
  <c r="AGQ47" i="10"/>
  <c r="AGP48" i="10" s="1"/>
  <c r="AGQ48" i="10" s="1"/>
  <c r="AGP49" i="10" s="1"/>
  <c r="AGQ49" i="10" s="1"/>
  <c r="AGP50" i="10" s="1"/>
  <c r="AGQ50" i="10" s="1"/>
  <c r="AGP51" i="10" s="1"/>
  <c r="AGQ51" i="10" s="1"/>
  <c r="AGP52" i="10" s="1"/>
  <c r="AGQ52" i="10" s="1"/>
  <c r="AGP53" i="10" s="1"/>
  <c r="AGQ53" i="10" s="1"/>
  <c r="AGP54" i="10" s="1"/>
  <c r="AGQ54" i="10" s="1"/>
  <c r="AGP55" i="10" s="1"/>
  <c r="AGQ55" i="10" s="1"/>
  <c r="AGP56" i="10" s="1"/>
  <c r="AGQ56" i="10" s="1"/>
  <c r="AGP57" i="10" s="1"/>
  <c r="AGQ57" i="10" s="1"/>
  <c r="AGP58" i="10" s="1"/>
  <c r="AGQ58" i="10" s="1"/>
  <c r="AGP59" i="10" s="1"/>
  <c r="AGQ59" i="10" s="1"/>
  <c r="AGP60" i="10" s="1"/>
  <c r="AGQ60" i="10" s="1"/>
  <c r="AGP61" i="10" s="1"/>
  <c r="AGQ61" i="10" s="1"/>
  <c r="AGP62" i="10" s="1"/>
  <c r="AGQ62" i="10" s="1"/>
  <c r="AGP63" i="10" s="1"/>
  <c r="AGQ63" i="10" s="1"/>
  <c r="AGP64" i="10" s="1"/>
  <c r="AGQ64" i="10" s="1"/>
  <c r="AGP65" i="10" s="1"/>
  <c r="AGQ65" i="10" s="1"/>
  <c r="AGP66" i="10" s="1"/>
  <c r="AGQ66" i="10" s="1"/>
  <c r="AGZ47" i="10"/>
  <c r="AIU42" i="10"/>
  <c r="AJA43" i="10" l="1"/>
  <c r="AJC43" i="10" s="1"/>
  <c r="AJA45" i="10"/>
  <c r="AJC45" i="10" s="1"/>
  <c r="AJA46" i="10"/>
  <c r="AJC46" i="10" s="1"/>
  <c r="AJA51" i="10"/>
  <c r="AJC51" i="10" s="1"/>
  <c r="AJA47" i="10"/>
  <c r="AJC47" i="10" s="1"/>
  <c r="AJA44" i="10"/>
  <c r="AJC44" i="10" s="1"/>
  <c r="AJA48" i="10"/>
  <c r="AJC48" i="10" s="1"/>
  <c r="AJA52" i="10"/>
  <c r="AJC52" i="10" s="1"/>
  <c r="AJA53" i="10"/>
  <c r="AJC53" i="10" s="1"/>
  <c r="AJA54" i="10"/>
  <c r="AJC54" i="10" s="1"/>
  <c r="AJA55" i="10"/>
  <c r="AJC55" i="10" s="1"/>
  <c r="AJA56" i="10"/>
  <c r="AJC56" i="10" s="1"/>
  <c r="AJA49" i="10"/>
  <c r="AJC49" i="10" s="1"/>
  <c r="AJA50" i="10"/>
  <c r="AJC50" i="10" s="1"/>
  <c r="AIU47" i="10"/>
  <c r="AIU53" i="10"/>
  <c r="AJA57" i="10"/>
  <c r="AJC57" i="10" s="1"/>
  <c r="AJA59" i="10"/>
  <c r="AJC59" i="10" s="1"/>
  <c r="AJA58" i="10"/>
  <c r="AJC58" i="10" s="1"/>
  <c r="AJA60" i="10"/>
  <c r="AJC60" i="10" s="1"/>
  <c r="AJA63" i="10"/>
  <c r="AJC63" i="10" s="1"/>
  <c r="AJA66" i="10"/>
  <c r="AJC66" i="10" s="1"/>
  <c r="AJA61" i="10"/>
  <c r="AJC61" i="10" s="1"/>
  <c r="AJA62" i="10"/>
  <c r="AJC62" i="10" s="1"/>
  <c r="AJA65" i="10"/>
  <c r="AJC65" i="10" s="1"/>
  <c r="AJA64" i="10"/>
  <c r="AJC64" i="10" s="1"/>
  <c r="AHA47" i="10"/>
  <c r="AGZ48" i="10" s="1"/>
  <c r="AHA48" i="10" s="1"/>
  <c r="AGZ49" i="10" s="1"/>
  <c r="AHA49" i="10" s="1"/>
  <c r="AGZ50" i="10" s="1"/>
  <c r="AHA50" i="10" s="1"/>
  <c r="AGZ51" i="10" s="1"/>
  <c r="AHA51" i="10" s="1"/>
  <c r="AGZ52" i="10" s="1"/>
  <c r="AHA52" i="10" s="1"/>
  <c r="AGZ53" i="10" s="1"/>
  <c r="AHA53" i="10" s="1"/>
  <c r="AGZ54" i="10" s="1"/>
  <c r="AHA54" i="10" s="1"/>
  <c r="AGZ55" i="10" s="1"/>
  <c r="AHA55" i="10" s="1"/>
  <c r="AGZ56" i="10" s="1"/>
  <c r="AHA56" i="10" s="1"/>
  <c r="AGZ57" i="10" s="1"/>
  <c r="AHA57" i="10" s="1"/>
  <c r="AGZ58" i="10" s="1"/>
  <c r="AHA58" i="10" s="1"/>
  <c r="AGZ59" i="10" s="1"/>
  <c r="AHA59" i="10" s="1"/>
  <c r="AGZ60" i="10" s="1"/>
  <c r="AHA60" i="10" s="1"/>
  <c r="AGZ61" i="10" s="1"/>
  <c r="AHA61" i="10" s="1"/>
  <c r="AGZ62" i="10" s="1"/>
  <c r="AHA62" i="10" s="1"/>
  <c r="AGZ63" i="10" s="1"/>
  <c r="AHA63" i="10" s="1"/>
  <c r="AGZ64" i="10" s="1"/>
  <c r="AHA64" i="10" s="1"/>
  <c r="AGZ65" i="10" s="1"/>
  <c r="AHA65" i="10" s="1"/>
  <c r="AGZ66" i="10" s="1"/>
  <c r="AHA66" i="10" s="1"/>
  <c r="AHJ47" i="10"/>
  <c r="AHK43" i="10"/>
  <c r="AHJ44" i="10" s="1"/>
  <c r="AHK44" i="10" s="1"/>
  <c r="AHJ45" i="10" s="1"/>
  <c r="AHK45" i="10" s="1"/>
  <c r="AHJ46" i="10" s="1"/>
  <c r="AHK46" i="10" s="1"/>
  <c r="AHT43" i="10"/>
  <c r="AHU43" i="10" l="1"/>
  <c r="AHT44" i="10" s="1"/>
  <c r="AHU44" i="10" s="1"/>
  <c r="AHT45" i="10" s="1"/>
  <c r="AHU45" i="10" s="1"/>
  <c r="AHT46" i="10" s="1"/>
  <c r="AHU46" i="10" s="1"/>
  <c r="AID43" i="10"/>
  <c r="AHK47" i="10"/>
  <c r="AHJ48" i="10" s="1"/>
  <c r="AHK48" i="10" s="1"/>
  <c r="AHJ49" i="10" s="1"/>
  <c r="AHK49" i="10" s="1"/>
  <c r="AHJ50" i="10" s="1"/>
  <c r="AHK50" i="10" s="1"/>
  <c r="AHJ51" i="10" s="1"/>
  <c r="AHK51" i="10" s="1"/>
  <c r="AHJ52" i="10" s="1"/>
  <c r="AHK52" i="10" s="1"/>
  <c r="AHJ53" i="10" s="1"/>
  <c r="AHK53" i="10" s="1"/>
  <c r="AHJ54" i="10" s="1"/>
  <c r="AHK54" i="10" s="1"/>
  <c r="AHJ55" i="10" s="1"/>
  <c r="AHK55" i="10" s="1"/>
  <c r="AHJ56" i="10" s="1"/>
  <c r="AHK56" i="10" s="1"/>
  <c r="AHJ57" i="10" s="1"/>
  <c r="AHK57" i="10" s="1"/>
  <c r="AHJ58" i="10" s="1"/>
  <c r="AHK58" i="10" s="1"/>
  <c r="AHJ59" i="10" s="1"/>
  <c r="AHK59" i="10" s="1"/>
  <c r="AHJ60" i="10" s="1"/>
  <c r="AHK60" i="10" s="1"/>
  <c r="AHJ61" i="10" s="1"/>
  <c r="AHK61" i="10" s="1"/>
  <c r="AHJ62" i="10" s="1"/>
  <c r="AHK62" i="10" s="1"/>
  <c r="AHJ63" i="10" s="1"/>
  <c r="AHK63" i="10" s="1"/>
  <c r="AHJ64" i="10" s="1"/>
  <c r="AHK64" i="10" s="1"/>
  <c r="AHJ65" i="10" s="1"/>
  <c r="AHK65" i="10" s="1"/>
  <c r="AHJ66" i="10" s="1"/>
  <c r="AHK66" i="10" s="1"/>
  <c r="AHT47" i="10"/>
  <c r="AHU47" i="10" l="1"/>
  <c r="AHT48" i="10" s="1"/>
  <c r="AHU48" i="10" s="1"/>
  <c r="AHT49" i="10" s="1"/>
  <c r="AHU49" i="10" s="1"/>
  <c r="AHT50" i="10" s="1"/>
  <c r="AHU50" i="10" s="1"/>
  <c r="AHT51" i="10" s="1"/>
  <c r="AHU51" i="10" s="1"/>
  <c r="AHT52" i="10" s="1"/>
  <c r="AHU52" i="10" s="1"/>
  <c r="AHT53" i="10" s="1"/>
  <c r="AHU53" i="10" s="1"/>
  <c r="AHT54" i="10" s="1"/>
  <c r="AHU54" i="10" s="1"/>
  <c r="AHT55" i="10" s="1"/>
  <c r="AHU55" i="10" s="1"/>
  <c r="AHT56" i="10" s="1"/>
  <c r="AHU56" i="10" s="1"/>
  <c r="AHT57" i="10" s="1"/>
  <c r="AHU57" i="10" s="1"/>
  <c r="AHT58" i="10" s="1"/>
  <c r="AHU58" i="10" s="1"/>
  <c r="AHT59" i="10" s="1"/>
  <c r="AHU59" i="10" s="1"/>
  <c r="AHT60" i="10" s="1"/>
  <c r="AHU60" i="10" s="1"/>
  <c r="AHT61" i="10" s="1"/>
  <c r="AHU61" i="10" s="1"/>
  <c r="AHT62" i="10" s="1"/>
  <c r="AHU62" i="10" s="1"/>
  <c r="AHT63" i="10" s="1"/>
  <c r="AHU63" i="10" s="1"/>
  <c r="AHT64" i="10" s="1"/>
  <c r="AHU64" i="10" s="1"/>
  <c r="AHT65" i="10" s="1"/>
  <c r="AHU65" i="10" s="1"/>
  <c r="AHT66" i="10" s="1"/>
  <c r="AHU66" i="10" s="1"/>
  <c r="AID47" i="10"/>
  <c r="AIE43" i="10"/>
  <c r="AID44" i="10" s="1"/>
  <c r="AIE44" i="10" s="1"/>
  <c r="AID45" i="10" s="1"/>
  <c r="AIE45" i="10" s="1"/>
  <c r="AID46" i="10" s="1"/>
  <c r="AIE46" i="10" s="1"/>
  <c r="AIN43" i="10"/>
  <c r="AIO43" i="10" l="1"/>
  <c r="AIN44" i="10" s="1"/>
  <c r="AIO44" i="10" s="1"/>
  <c r="AIN45" i="10" s="1"/>
  <c r="AIO45" i="10" s="1"/>
  <c r="AIN46" i="10" s="1"/>
  <c r="AIO46" i="10" s="1"/>
  <c r="AIX43" i="10"/>
  <c r="AIY43" i="10" s="1"/>
  <c r="AIX44" i="10" s="1"/>
  <c r="AIY44" i="10" s="1"/>
  <c r="AIX45" i="10" s="1"/>
  <c r="AIY45" i="10" s="1"/>
  <c r="AIX46" i="10" s="1"/>
  <c r="AIY46" i="10" s="1"/>
  <c r="AIE47" i="10"/>
  <c r="AID48" i="10" s="1"/>
  <c r="AIE48" i="10" s="1"/>
  <c r="AID49" i="10" s="1"/>
  <c r="AIE49" i="10" s="1"/>
  <c r="AID50" i="10" s="1"/>
  <c r="AIE50" i="10" s="1"/>
  <c r="AID51" i="10" s="1"/>
  <c r="AIE51" i="10" s="1"/>
  <c r="AID52" i="10" s="1"/>
  <c r="AIE52" i="10" s="1"/>
  <c r="AID53" i="10" s="1"/>
  <c r="AIE53" i="10" s="1"/>
  <c r="AID54" i="10" s="1"/>
  <c r="AIE54" i="10" s="1"/>
  <c r="AID55" i="10" s="1"/>
  <c r="AIE55" i="10" s="1"/>
  <c r="AID56" i="10" s="1"/>
  <c r="AIE56" i="10" s="1"/>
  <c r="AID57" i="10" s="1"/>
  <c r="AIE57" i="10" s="1"/>
  <c r="AID58" i="10" s="1"/>
  <c r="AIE58" i="10" s="1"/>
  <c r="AID59" i="10" s="1"/>
  <c r="AIE59" i="10" s="1"/>
  <c r="AID60" i="10" s="1"/>
  <c r="AIE60" i="10" s="1"/>
  <c r="AID61" i="10" s="1"/>
  <c r="AIE61" i="10" s="1"/>
  <c r="AID62" i="10" s="1"/>
  <c r="AIE62" i="10" s="1"/>
  <c r="AID63" i="10" s="1"/>
  <c r="AIE63" i="10" s="1"/>
  <c r="AID64" i="10" s="1"/>
  <c r="AIE64" i="10" s="1"/>
  <c r="AID65" i="10" s="1"/>
  <c r="AIE65" i="10" s="1"/>
  <c r="AID66" i="10" s="1"/>
  <c r="AIE66" i="10" s="1"/>
  <c r="AIN47" i="10"/>
  <c r="AIO47" i="10" l="1"/>
  <c r="AIN48" i="10" s="1"/>
  <c r="AIO48" i="10" s="1"/>
  <c r="AIN49" i="10" s="1"/>
  <c r="AIO49" i="10" s="1"/>
  <c r="AIN50" i="10" s="1"/>
  <c r="AIO50" i="10" s="1"/>
  <c r="AIN51" i="10" s="1"/>
  <c r="AIO51" i="10" s="1"/>
  <c r="AIN52" i="10" s="1"/>
  <c r="AIO52" i="10" s="1"/>
  <c r="AIN53" i="10" s="1"/>
  <c r="AIO53" i="10" s="1"/>
  <c r="AIN54" i="10" s="1"/>
  <c r="AIO54" i="10" s="1"/>
  <c r="AIN55" i="10" s="1"/>
  <c r="AIO55" i="10" s="1"/>
  <c r="AIN56" i="10" s="1"/>
  <c r="AIO56" i="10" s="1"/>
  <c r="AIN57" i="10" s="1"/>
  <c r="AIO57" i="10" s="1"/>
  <c r="AIN58" i="10" s="1"/>
  <c r="AIO58" i="10" s="1"/>
  <c r="AIN59" i="10" s="1"/>
  <c r="AIO59" i="10" s="1"/>
  <c r="AIN60" i="10" s="1"/>
  <c r="AIO60" i="10" s="1"/>
  <c r="AIN61" i="10" s="1"/>
  <c r="AIO61" i="10" s="1"/>
  <c r="AIN62" i="10" s="1"/>
  <c r="AIO62" i="10" s="1"/>
  <c r="AIN63" i="10" s="1"/>
  <c r="AIO63" i="10" s="1"/>
  <c r="AIN64" i="10" s="1"/>
  <c r="AIO64" i="10" s="1"/>
  <c r="AIN65" i="10" s="1"/>
  <c r="AIO65" i="10" s="1"/>
  <c r="AIN66" i="10" s="1"/>
  <c r="AIO66" i="10" s="1"/>
  <c r="AIX47" i="10"/>
  <c r="AIY47" i="10" s="1"/>
  <c r="AIX48" i="10" s="1"/>
  <c r="AIY48" i="10" s="1"/>
  <c r="AIX49" i="10" s="1"/>
  <c r="AIY49" i="10" s="1"/>
  <c r="AIX50" i="10" s="1"/>
  <c r="AIY50" i="10" s="1"/>
  <c r="AIX51" i="10" s="1"/>
  <c r="AIY51" i="10" s="1"/>
  <c r="AIX52" i="10" s="1"/>
  <c r="AIY52" i="10" s="1"/>
  <c r="AIX53" i="10" s="1"/>
  <c r="AIY53" i="10" s="1"/>
  <c r="AIX54" i="10" s="1"/>
  <c r="AIY54" i="10" s="1"/>
  <c r="AIX55" i="10" s="1"/>
  <c r="AIY55" i="10" s="1"/>
  <c r="AIX56" i="10" s="1"/>
  <c r="AIY56" i="10" s="1"/>
  <c r="AIX57" i="10" s="1"/>
  <c r="AIY57" i="10" s="1"/>
  <c r="AIX58" i="10" s="1"/>
  <c r="AIY58" i="10" s="1"/>
  <c r="AIX59" i="10" s="1"/>
  <c r="AIY59" i="10" s="1"/>
  <c r="AIX60" i="10" s="1"/>
  <c r="AIY60" i="10" s="1"/>
  <c r="AIX61" i="10" s="1"/>
  <c r="AIY61" i="10" s="1"/>
  <c r="AIX62" i="10" s="1"/>
  <c r="AIY62" i="10" s="1"/>
  <c r="AIX63" i="10" s="1"/>
  <c r="AIY63" i="10" s="1"/>
  <c r="AIX64" i="10" s="1"/>
  <c r="AIY64" i="10" s="1"/>
  <c r="AIX65" i="10" s="1"/>
  <c r="AIY65" i="10" s="1"/>
  <c r="AIX66" i="10" s="1"/>
  <c r="AIY66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Mauro Santos</author>
  </authors>
  <commentList>
    <comment ref="D2" authorId="0" shapeId="0" xr:uid="{00000000-0006-0000-0200-000001000000}">
      <text>
        <r>
          <rPr>
            <sz val="9"/>
            <color indexed="81"/>
            <rFont val="Tahoma"/>
            <family val="2"/>
          </rPr>
          <t>Indica o status do Betslip preenchido no separador Betslip 1x2</t>
        </r>
      </text>
    </comment>
    <comment ref="C4" authorId="0" shapeId="0" xr:uid="{00000000-0006-0000-0200-000002000000}">
      <text>
        <r>
          <rPr>
            <sz val="9"/>
            <color indexed="81"/>
            <rFont val="Tahoma"/>
            <family val="2"/>
          </rPr>
          <t>Mensagem Final de Aposta gerada com base nas opções do separador Betslip 1x2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Mauro Santos</author>
  </authors>
  <commentList>
    <comment ref="B66" authorId="0" shapeId="0" xr:uid="{00000000-0006-0000-0A00-000001000000}">
      <text>
        <r>
          <rPr>
            <sz val="9"/>
            <color indexed="81"/>
            <rFont val="Tahoma"/>
            <family val="2"/>
          </rPr>
          <t>Se o número de Outcomes for maior do que 10, é necessário seleccionar a linha do bloco e arrastar até ao número de outcomes. Depois definir o campo "size" de todas as linhas para 4.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Mauro Santos</author>
  </authors>
  <commentList>
    <comment ref="B4" authorId="0" shapeId="0" xr:uid="{00000000-0006-0000-0B00-000001000000}">
      <text>
        <r>
          <rPr>
            <sz val="9"/>
            <color indexed="81"/>
            <rFont val="Tahoma"/>
            <family val="2"/>
          </rPr>
          <t xml:space="preserve">Utilizar esta mensagem no separador IGS Game Programme -&gt; IGS Game Programme Header C2T
</t>
        </r>
      </text>
    </comment>
    <comment ref="B6" authorId="0" shapeId="0" xr:uid="{00000000-0006-0000-0B00-000002000000}">
      <text>
        <r>
          <rPr>
            <sz val="9"/>
            <color indexed="81"/>
            <rFont val="Tahoma"/>
            <family val="2"/>
          </rPr>
          <t>Inserir aqui a mensagem do pedido do 1º segmento de media programme.</t>
        </r>
      </text>
    </comment>
    <comment ref="B7" authorId="0" shapeId="0" xr:uid="{00000000-0006-0000-0B00-000003000000}">
      <text>
        <r>
          <rPr>
            <sz val="9"/>
            <color indexed="81"/>
            <rFont val="Tahoma"/>
            <family val="2"/>
          </rPr>
          <t>Inserir aqui a resposta ao pedido do 1º segmento de media programme.</t>
        </r>
      </text>
    </comment>
    <comment ref="B9" authorId="0" shapeId="0" xr:uid="{00000000-0006-0000-0B00-000004000000}">
      <text>
        <r>
          <rPr>
            <sz val="9"/>
            <color indexed="81"/>
            <rFont val="Tahoma"/>
            <family val="2"/>
          </rPr>
          <t>Numero de segmentos que compoem a mensagem de media programme. (obtido da mensagem de resposta ao 1º segmento)</t>
        </r>
      </text>
    </comment>
    <comment ref="B11" authorId="0" shapeId="0" xr:uid="{00000000-0006-0000-0B00-000005000000}">
      <text>
        <r>
          <rPr>
            <sz val="9"/>
            <color indexed="81"/>
            <rFont val="Tahoma"/>
            <family val="2"/>
          </rPr>
          <t>Usar esta mensagem para efectuar o pedido do 13º segmento do media programme.</t>
        </r>
      </text>
    </comment>
    <comment ref="B13" authorId="0" shapeId="0" xr:uid="{00000000-0006-0000-0B00-000006000000}">
      <text>
        <r>
          <rPr>
            <sz val="9"/>
            <color indexed="81"/>
            <rFont val="Tahoma"/>
            <family val="2"/>
          </rPr>
          <t>Inserir aqui a resposta ao pedido do 13º segmento de media programme.</t>
        </r>
      </text>
    </comment>
    <comment ref="B16" authorId="0" shapeId="0" xr:uid="{00000000-0006-0000-0B00-000007000000}">
      <text>
        <r>
          <rPr>
            <sz val="9"/>
            <color indexed="81"/>
            <rFont val="Tahoma"/>
            <family val="2"/>
          </rPr>
          <t>Usar esta mensagem para efectuar o pedido do 13º segmento do media programme.</t>
        </r>
      </text>
    </comment>
    <comment ref="B18" authorId="0" shapeId="0" xr:uid="{00000000-0006-0000-0B00-000008000000}">
      <text>
        <r>
          <rPr>
            <sz val="9"/>
            <color indexed="81"/>
            <rFont val="Tahoma"/>
            <family val="2"/>
          </rPr>
          <t>Inserir aqui a resposta ao pedido do 13º segmento de media programme.</t>
        </r>
      </text>
    </comment>
    <comment ref="B21" authorId="0" shapeId="0" xr:uid="{00000000-0006-0000-0B00-000009000000}">
      <text>
        <r>
          <rPr>
            <sz val="9"/>
            <color indexed="81"/>
            <rFont val="Tahoma"/>
            <family val="2"/>
          </rPr>
          <t>Usar esta mensagem para efectuar o pedido do 13º segmento do media programme.</t>
        </r>
      </text>
    </comment>
    <comment ref="B23" authorId="0" shapeId="0" xr:uid="{00000000-0006-0000-0B00-00000A000000}">
      <text>
        <r>
          <rPr>
            <sz val="9"/>
            <color indexed="81"/>
            <rFont val="Tahoma"/>
            <family val="2"/>
          </rPr>
          <t>Inserir aqui a resposta ao pedido do 13º segmento de media programme.</t>
        </r>
      </text>
    </comment>
    <comment ref="B26" authorId="0" shapeId="0" xr:uid="{00000000-0006-0000-0B00-00000B000000}">
      <text>
        <r>
          <rPr>
            <sz val="9"/>
            <color indexed="81"/>
            <rFont val="Tahoma"/>
            <family val="2"/>
          </rPr>
          <t>Usar esta mensagem para efectuar o pedido do 13º segmento do media programme.</t>
        </r>
      </text>
    </comment>
    <comment ref="B28" authorId="0" shapeId="0" xr:uid="{00000000-0006-0000-0B00-00000C000000}">
      <text>
        <r>
          <rPr>
            <sz val="9"/>
            <color indexed="81"/>
            <rFont val="Tahoma"/>
            <family val="2"/>
          </rPr>
          <t>Inserir aqui a resposta ao pedido do 13º segmento de media programme.</t>
        </r>
      </text>
    </comment>
    <comment ref="B31" authorId="0" shapeId="0" xr:uid="{00000000-0006-0000-0B00-00000D000000}">
      <text>
        <r>
          <rPr>
            <sz val="9"/>
            <color indexed="81"/>
            <rFont val="Tahoma"/>
            <family val="2"/>
          </rPr>
          <t>Usar esta mensagem para efectuar o pedido do 13º segmento do media programme.</t>
        </r>
      </text>
    </comment>
    <comment ref="B33" authorId="0" shapeId="0" xr:uid="{00000000-0006-0000-0B00-00000E000000}">
      <text>
        <r>
          <rPr>
            <sz val="9"/>
            <color indexed="81"/>
            <rFont val="Tahoma"/>
            <family val="2"/>
          </rPr>
          <t>Inserir aqui a resposta ao pedido do 13º segmento de media programme.</t>
        </r>
      </text>
    </comment>
    <comment ref="B36" authorId="0" shapeId="0" xr:uid="{00000000-0006-0000-0B00-00000F000000}">
      <text>
        <r>
          <rPr>
            <sz val="9"/>
            <color indexed="81"/>
            <rFont val="Tahoma"/>
            <family val="2"/>
          </rPr>
          <t>Usar esta mensagem para efectuar o pedido do 13º segmento do media programme.</t>
        </r>
      </text>
    </comment>
    <comment ref="B38" authorId="0" shapeId="0" xr:uid="{00000000-0006-0000-0B00-000010000000}">
      <text>
        <r>
          <rPr>
            <sz val="9"/>
            <color indexed="81"/>
            <rFont val="Tahoma"/>
            <family val="2"/>
          </rPr>
          <t>Inserir aqui a resposta ao pedido do 13º segmento de media programme.</t>
        </r>
      </text>
    </comment>
    <comment ref="B41" authorId="0" shapeId="0" xr:uid="{00000000-0006-0000-0B00-000011000000}">
      <text>
        <r>
          <rPr>
            <sz val="9"/>
            <color indexed="81"/>
            <rFont val="Tahoma"/>
            <family val="2"/>
          </rPr>
          <t>Usar esta mensagem para efectuar o pedido do 8º segmento do media programme.</t>
        </r>
      </text>
    </comment>
    <comment ref="B43" authorId="0" shapeId="0" xr:uid="{00000000-0006-0000-0B00-000012000000}">
      <text>
        <r>
          <rPr>
            <sz val="9"/>
            <color indexed="81"/>
            <rFont val="Tahoma"/>
            <family val="2"/>
          </rPr>
          <t>Inserir aqui a resposta ao pedido do 8º segmento de media programme.</t>
        </r>
      </text>
    </comment>
    <comment ref="B46" authorId="0" shapeId="0" xr:uid="{00000000-0006-0000-0B00-000013000000}">
      <text>
        <r>
          <rPr>
            <sz val="9"/>
            <color indexed="81"/>
            <rFont val="Tahoma"/>
            <family val="2"/>
          </rPr>
          <t>Usar esta mensagem para efectuar o pedido do 13º segmento do media programme.</t>
        </r>
      </text>
    </comment>
    <comment ref="B48" authorId="0" shapeId="0" xr:uid="{00000000-0006-0000-0B00-000014000000}">
      <text>
        <r>
          <rPr>
            <sz val="9"/>
            <color indexed="81"/>
            <rFont val="Tahoma"/>
            <family val="2"/>
          </rPr>
          <t>Inserir aqui a resposta ao pedido do 13º segmento de media programme.</t>
        </r>
      </text>
    </comment>
    <comment ref="B51" authorId="0" shapeId="0" xr:uid="{00000000-0006-0000-0B00-000015000000}">
      <text>
        <r>
          <rPr>
            <sz val="9"/>
            <color indexed="81"/>
            <rFont val="Tahoma"/>
            <family val="2"/>
          </rPr>
          <t>Usar esta mensagem para efectuar o pedido do 13º segmento do media programme.</t>
        </r>
      </text>
    </comment>
    <comment ref="B53" authorId="0" shapeId="0" xr:uid="{00000000-0006-0000-0B00-000016000000}">
      <text>
        <r>
          <rPr>
            <sz val="9"/>
            <color indexed="81"/>
            <rFont val="Tahoma"/>
            <family val="2"/>
          </rPr>
          <t>Inserir aqui a resposta ao pedido do 13º segmento de media programme.</t>
        </r>
      </text>
    </comment>
    <comment ref="B56" authorId="0" shapeId="0" xr:uid="{00000000-0006-0000-0B00-000017000000}">
      <text>
        <r>
          <rPr>
            <sz val="9"/>
            <color indexed="81"/>
            <rFont val="Tahoma"/>
            <family val="2"/>
          </rPr>
          <t>Usar esta mensagem para efectuar o pedido do 13º segmento do media programme.</t>
        </r>
      </text>
    </comment>
    <comment ref="B58" authorId="0" shapeId="0" xr:uid="{00000000-0006-0000-0B00-000018000000}">
      <text>
        <r>
          <rPr>
            <sz val="9"/>
            <color indexed="81"/>
            <rFont val="Tahoma"/>
            <family val="2"/>
          </rPr>
          <t>Inserir aqui a resposta ao pedido do 13º segmento de media programme.</t>
        </r>
      </text>
    </comment>
    <comment ref="B61" authorId="0" shapeId="0" xr:uid="{00000000-0006-0000-0B00-000019000000}">
      <text>
        <r>
          <rPr>
            <sz val="9"/>
            <color indexed="81"/>
            <rFont val="Tahoma"/>
            <family val="2"/>
          </rPr>
          <t>Usar esta mensagem para efectuar o pedido do 13º segmento do media programme.</t>
        </r>
      </text>
    </comment>
    <comment ref="B63" authorId="0" shapeId="0" xr:uid="{00000000-0006-0000-0B00-00001A000000}">
      <text>
        <r>
          <rPr>
            <sz val="9"/>
            <color indexed="81"/>
            <rFont val="Tahoma"/>
            <family val="2"/>
          </rPr>
          <t>Inserir aqui a resposta ao pedido do 13º segmento de media programme.</t>
        </r>
      </text>
    </comment>
    <comment ref="B66" authorId="0" shapeId="0" xr:uid="{00000000-0006-0000-0B00-00001B000000}">
      <text>
        <r>
          <rPr>
            <sz val="9"/>
            <color indexed="81"/>
            <rFont val="Tahoma"/>
            <family val="2"/>
          </rPr>
          <t>Usar esta mensagem para efectuar o pedido do 13º segmento do media programme.</t>
        </r>
      </text>
    </comment>
    <comment ref="B68" authorId="0" shapeId="0" xr:uid="{00000000-0006-0000-0B00-00001C000000}">
      <text>
        <r>
          <rPr>
            <sz val="9"/>
            <color indexed="81"/>
            <rFont val="Tahoma"/>
            <family val="2"/>
          </rPr>
          <t>Inserir aqui a resposta ao pedido do 13º segmento de media programme.</t>
        </r>
      </text>
    </comment>
    <comment ref="B71" authorId="0" shapeId="0" xr:uid="{00000000-0006-0000-0B00-00001D000000}">
      <text>
        <r>
          <rPr>
            <sz val="9"/>
            <color indexed="81"/>
            <rFont val="Tahoma"/>
            <family val="2"/>
          </rPr>
          <t>Usar esta mensagem para efectuar o pedido do 13º segmento do media programme.</t>
        </r>
      </text>
    </comment>
    <comment ref="B73" authorId="0" shapeId="0" xr:uid="{00000000-0006-0000-0B00-00001E000000}">
      <text>
        <r>
          <rPr>
            <sz val="9"/>
            <color indexed="81"/>
            <rFont val="Tahoma"/>
            <family val="2"/>
          </rPr>
          <t>Inserir aqui a resposta ao pedido do 13º segmento de media programme.</t>
        </r>
      </text>
    </comment>
    <comment ref="B76" authorId="0" shapeId="0" xr:uid="{00000000-0006-0000-0B00-00001F000000}">
      <text>
        <r>
          <rPr>
            <sz val="9"/>
            <color indexed="81"/>
            <rFont val="Tahoma"/>
            <family val="2"/>
          </rPr>
          <t>Usar esta mensagem para efectuar o pedido do 13º segmento do media programme.</t>
        </r>
      </text>
    </comment>
    <comment ref="B78" authorId="0" shapeId="0" xr:uid="{00000000-0006-0000-0B00-000020000000}">
      <text>
        <r>
          <rPr>
            <sz val="9"/>
            <color indexed="81"/>
            <rFont val="Tahoma"/>
            <family val="2"/>
          </rPr>
          <t>Inserir aqui a resposta ao pedido do 13º segmento de media programme.</t>
        </r>
      </text>
    </comment>
    <comment ref="B81" authorId="0" shapeId="0" xr:uid="{00000000-0006-0000-0B00-000021000000}">
      <text>
        <r>
          <rPr>
            <sz val="9"/>
            <color indexed="81"/>
            <rFont val="Tahoma"/>
            <family val="2"/>
          </rPr>
          <t>Usar esta mensagem para efectuar o pedido do 13º segmento do media programme.</t>
        </r>
      </text>
    </comment>
    <comment ref="B83" authorId="0" shapeId="0" xr:uid="{00000000-0006-0000-0B00-000022000000}">
      <text>
        <r>
          <rPr>
            <sz val="9"/>
            <color indexed="81"/>
            <rFont val="Tahoma"/>
            <family val="2"/>
          </rPr>
          <t>Inserir aqui a resposta ao pedido do 13º segmento de media programme.</t>
        </r>
      </text>
    </comment>
    <comment ref="B86" authorId="0" shapeId="0" xr:uid="{00000000-0006-0000-0B00-000023000000}">
      <text>
        <r>
          <rPr>
            <sz val="9"/>
            <color indexed="81"/>
            <rFont val="Tahoma"/>
            <family val="2"/>
          </rPr>
          <t>Usar esta mensagem para efectuar o pedido do 13º segmento do media programme.</t>
        </r>
      </text>
    </comment>
    <comment ref="B88" authorId="0" shapeId="0" xr:uid="{00000000-0006-0000-0B00-000024000000}">
      <text>
        <r>
          <rPr>
            <sz val="9"/>
            <color indexed="81"/>
            <rFont val="Tahoma"/>
            <family val="2"/>
          </rPr>
          <t>Inserir aqui a resposta ao pedido do 13º segmento de media programme.</t>
        </r>
      </text>
    </comment>
    <comment ref="B91" authorId="0" shapeId="0" xr:uid="{00000000-0006-0000-0B00-000025000000}">
      <text>
        <r>
          <rPr>
            <sz val="9"/>
            <color indexed="81"/>
            <rFont val="Tahoma"/>
            <family val="2"/>
          </rPr>
          <t>Usar esta mensagem para efectuar o pedido do 13º segmento do media programme.</t>
        </r>
      </text>
    </comment>
    <comment ref="B93" authorId="0" shapeId="0" xr:uid="{00000000-0006-0000-0B00-000026000000}">
      <text>
        <r>
          <rPr>
            <sz val="9"/>
            <color indexed="81"/>
            <rFont val="Tahoma"/>
            <family val="2"/>
          </rPr>
          <t>Inserir aqui a resposta ao pedido do 13º segmento de media programme.</t>
        </r>
      </text>
    </comment>
    <comment ref="B96" authorId="0" shapeId="0" xr:uid="{00000000-0006-0000-0B00-000027000000}">
      <text>
        <r>
          <rPr>
            <sz val="9"/>
            <color indexed="81"/>
            <rFont val="Tahoma"/>
            <family val="2"/>
          </rPr>
          <t>Usar esta mensagem para efectuar o pedido do 13º segmento do media programme.</t>
        </r>
      </text>
    </comment>
    <comment ref="B98" authorId="0" shapeId="0" xr:uid="{00000000-0006-0000-0B00-000028000000}">
      <text>
        <r>
          <rPr>
            <sz val="9"/>
            <color indexed="81"/>
            <rFont val="Tahoma"/>
            <family val="2"/>
          </rPr>
          <t>Inserir aqui a resposta ao pedido do 13º segmento de media programme.</t>
        </r>
      </text>
    </comment>
    <comment ref="B101" authorId="0" shapeId="0" xr:uid="{00000000-0006-0000-0B00-000029000000}">
      <text>
        <r>
          <rPr>
            <sz val="9"/>
            <color indexed="81"/>
            <rFont val="Tahoma"/>
            <family val="2"/>
          </rPr>
          <t>Usar esta mensagem para efectuar o pedido do 13º segmento do media programme.</t>
        </r>
      </text>
    </comment>
    <comment ref="B103" authorId="0" shapeId="0" xr:uid="{00000000-0006-0000-0B00-00002A000000}">
      <text>
        <r>
          <rPr>
            <sz val="9"/>
            <color indexed="81"/>
            <rFont val="Tahoma"/>
            <family val="2"/>
          </rPr>
          <t>Inserir aqui a resposta ao pedido do 13º segmento de media programme.</t>
        </r>
      </text>
    </comment>
    <comment ref="B106" authorId="0" shapeId="0" xr:uid="{00000000-0006-0000-0B00-00002B000000}">
      <text>
        <r>
          <rPr>
            <sz val="9"/>
            <color indexed="81"/>
            <rFont val="Tahoma"/>
            <family val="2"/>
          </rPr>
          <t>Usar esta mensagem para efectuar o pedido do 13º segmento do media programme.</t>
        </r>
      </text>
    </comment>
    <comment ref="B108" authorId="0" shapeId="0" xr:uid="{00000000-0006-0000-0B00-00002C000000}">
      <text>
        <r>
          <rPr>
            <sz val="9"/>
            <color indexed="81"/>
            <rFont val="Tahoma"/>
            <family val="2"/>
          </rPr>
          <t>Inserir aqui a resposta ao pedido do 13º segmento de media programme.</t>
        </r>
      </text>
    </comment>
    <comment ref="B111" authorId="0" shapeId="0" xr:uid="{00000000-0006-0000-0B00-00002D000000}">
      <text>
        <r>
          <rPr>
            <sz val="9"/>
            <color indexed="81"/>
            <rFont val="Tahoma"/>
            <family val="2"/>
          </rPr>
          <t>Usar esta mensagem para efectuar o pedido do 13º segmento do media programme.</t>
        </r>
      </text>
    </comment>
    <comment ref="B113" authorId="0" shapeId="0" xr:uid="{00000000-0006-0000-0B00-00002E000000}">
      <text>
        <r>
          <rPr>
            <sz val="9"/>
            <color indexed="81"/>
            <rFont val="Tahoma"/>
            <family val="2"/>
          </rPr>
          <t>Inserir aqui a resposta ao pedido do 13º segmento de media programme.</t>
        </r>
      </text>
    </comment>
    <comment ref="B116" authorId="0" shapeId="0" xr:uid="{00000000-0006-0000-0B00-00002F000000}">
      <text>
        <r>
          <rPr>
            <sz val="9"/>
            <color indexed="81"/>
            <rFont val="Tahoma"/>
            <family val="2"/>
          </rPr>
          <t>Usar esta mensagem para efectuar o pedido do 13º segmento do media programme.</t>
        </r>
      </text>
    </comment>
    <comment ref="B118" authorId="0" shapeId="0" xr:uid="{00000000-0006-0000-0B00-000030000000}">
      <text>
        <r>
          <rPr>
            <sz val="9"/>
            <color indexed="81"/>
            <rFont val="Tahoma"/>
            <family val="2"/>
          </rPr>
          <t>Inserir aqui a resposta ao pedido do 13º segmento de media programme.</t>
        </r>
      </text>
    </comment>
    <comment ref="B121" authorId="0" shapeId="0" xr:uid="{00000000-0006-0000-0B00-000031000000}">
      <text>
        <r>
          <rPr>
            <sz val="9"/>
            <color indexed="81"/>
            <rFont val="Tahoma"/>
            <family val="2"/>
          </rPr>
          <t>Usar esta mensagem para efectuar o pedido do 13º segmento do media programme.</t>
        </r>
      </text>
    </comment>
    <comment ref="B123" authorId="0" shapeId="0" xr:uid="{00000000-0006-0000-0B00-000032000000}">
      <text>
        <r>
          <rPr>
            <sz val="9"/>
            <color indexed="81"/>
            <rFont val="Tahoma"/>
            <family val="2"/>
          </rPr>
          <t>Inserir aqui a resposta ao pedido do 13º segmento de media programme.</t>
        </r>
      </text>
    </comment>
    <comment ref="B126" authorId="0" shapeId="0" xr:uid="{00000000-0006-0000-0B00-000033000000}">
      <text>
        <r>
          <rPr>
            <sz val="9"/>
            <color indexed="81"/>
            <rFont val="Tahoma"/>
            <family val="2"/>
          </rPr>
          <t>Usar esta mensagem para efectuar o pedido do 13º segmento do media programme.</t>
        </r>
      </text>
    </comment>
    <comment ref="B128" authorId="0" shapeId="0" xr:uid="{00000000-0006-0000-0B00-000034000000}">
      <text>
        <r>
          <rPr>
            <sz val="9"/>
            <color indexed="81"/>
            <rFont val="Tahoma"/>
            <family val="2"/>
          </rPr>
          <t>Inserir aqui a resposta ao pedido do 13º segmento de media programme.</t>
        </r>
      </text>
    </comment>
    <comment ref="B131" authorId="0" shapeId="0" xr:uid="{00000000-0006-0000-0B00-000035000000}">
      <text>
        <r>
          <rPr>
            <sz val="9"/>
            <color indexed="81"/>
            <rFont val="Tahoma"/>
            <family val="2"/>
          </rPr>
          <t>Usar esta mensagem para efectuar o pedido do 13º segmento do media programme.</t>
        </r>
      </text>
    </comment>
    <comment ref="B133" authorId="0" shapeId="0" xr:uid="{00000000-0006-0000-0B00-000036000000}">
      <text>
        <r>
          <rPr>
            <sz val="9"/>
            <color indexed="81"/>
            <rFont val="Tahoma"/>
            <family val="2"/>
          </rPr>
          <t>Inserir aqui a resposta ao pedido do 13º segmento de media programme.</t>
        </r>
      </text>
    </comment>
    <comment ref="B136" authorId="0" shapeId="0" xr:uid="{00000000-0006-0000-0B00-000037000000}">
      <text>
        <r>
          <rPr>
            <sz val="9"/>
            <color indexed="81"/>
            <rFont val="Tahoma"/>
            <family val="2"/>
          </rPr>
          <t>Usar esta mensagem para efectuar o pedido do 13º segmento do media programme.</t>
        </r>
      </text>
    </comment>
    <comment ref="B138" authorId="0" shapeId="0" xr:uid="{00000000-0006-0000-0B00-000038000000}">
      <text>
        <r>
          <rPr>
            <sz val="9"/>
            <color indexed="81"/>
            <rFont val="Tahoma"/>
            <family val="2"/>
          </rPr>
          <t>Inserir aqui a resposta ao pedido do 13º segmento de media programme.</t>
        </r>
      </text>
    </comment>
    <comment ref="B141" authorId="0" shapeId="0" xr:uid="{00000000-0006-0000-0B00-000039000000}">
      <text>
        <r>
          <rPr>
            <sz val="9"/>
            <color indexed="81"/>
            <rFont val="Tahoma"/>
            <family val="2"/>
          </rPr>
          <t>Usar esta mensagem para efectuar o pedido do 13º segmento do media programme.</t>
        </r>
      </text>
    </comment>
    <comment ref="B143" authorId="0" shapeId="0" xr:uid="{00000000-0006-0000-0B00-00003A000000}">
      <text>
        <r>
          <rPr>
            <sz val="9"/>
            <color indexed="81"/>
            <rFont val="Tahoma"/>
            <family val="2"/>
          </rPr>
          <t>Inserir aqui a resposta ao pedido do 13º segmento de media programme.</t>
        </r>
      </text>
    </comment>
    <comment ref="B146" authorId="0" shapeId="0" xr:uid="{00000000-0006-0000-0B00-00003B000000}">
      <text>
        <r>
          <rPr>
            <sz val="9"/>
            <color indexed="81"/>
            <rFont val="Tahoma"/>
            <family val="2"/>
          </rPr>
          <t>Usar esta mensagem para efectuar o pedido do 13º segmento do media programme.</t>
        </r>
      </text>
    </comment>
    <comment ref="B148" authorId="0" shapeId="0" xr:uid="{00000000-0006-0000-0B00-00003C000000}">
      <text>
        <r>
          <rPr>
            <sz val="9"/>
            <color indexed="81"/>
            <rFont val="Tahoma"/>
            <family val="2"/>
          </rPr>
          <t>Inserir aqui a resposta ao pedido do 13º segmento de media programme.</t>
        </r>
      </text>
    </comment>
    <comment ref="B151" authorId="0" shapeId="0" xr:uid="{00000000-0006-0000-0B00-00003D000000}">
      <text>
        <r>
          <rPr>
            <sz val="9"/>
            <color indexed="81"/>
            <rFont val="Tahoma"/>
            <family val="2"/>
          </rPr>
          <t>Usar esta mensagem para efectuar o pedido do 13º segmento do media programme.</t>
        </r>
      </text>
    </comment>
    <comment ref="B153" authorId="0" shapeId="0" xr:uid="{00000000-0006-0000-0B00-00003E000000}">
      <text>
        <r>
          <rPr>
            <sz val="9"/>
            <color indexed="81"/>
            <rFont val="Tahoma"/>
            <family val="2"/>
          </rPr>
          <t>Inserir aqui a resposta ao pedido do 13º segmento de media programme.</t>
        </r>
      </text>
    </comment>
  </commentList>
</comments>
</file>

<file path=xl/sharedStrings.xml><?xml version="1.0" encoding="utf-8"?>
<sst xmlns="http://schemas.openxmlformats.org/spreadsheetml/2006/main" count="5523" uniqueCount="1876">
  <si>
    <t>* Desproteger folha (PASS: 1234)</t>
  </si>
  <si>
    <t>Chave (Hex)</t>
  </si>
  <si>
    <t>Nome do Jogo</t>
  </si>
  <si>
    <t>Nome do Tipo de Jogo</t>
  </si>
  <si>
    <t>Número do Tipo de Jogo</t>
  </si>
  <si>
    <t>Índice do Jogo</t>
  </si>
  <si>
    <t>Número do Jogo</t>
  </si>
  <si>
    <t>Nome do Ficheiro de Jogo</t>
  </si>
  <si>
    <t>Totoloto</t>
  </si>
  <si>
    <t>LOTTO</t>
  </si>
  <si>
    <t>L1F.FIL</t>
  </si>
  <si>
    <t>Loto2</t>
  </si>
  <si>
    <t>L2F.FIL</t>
  </si>
  <si>
    <t>Totoloto de Sábado</t>
  </si>
  <si>
    <t>L3F.FIL</t>
  </si>
  <si>
    <t>Totoloto de Quarta</t>
  </si>
  <si>
    <t>L4F.FIL</t>
  </si>
  <si>
    <t>Totobola Normal</t>
  </si>
  <si>
    <t>SPORTS</t>
  </si>
  <si>
    <t>S1F.FIL</t>
  </si>
  <si>
    <t>Totobola Extra 2</t>
  </si>
  <si>
    <t>S2F.FIL</t>
  </si>
  <si>
    <t>Totobola Extra 1</t>
  </si>
  <si>
    <t>S3F.FIL</t>
  </si>
  <si>
    <t>Clássica</t>
  </si>
  <si>
    <t>PASSIVE</t>
  </si>
  <si>
    <t>P1F.FIL</t>
  </si>
  <si>
    <t>Popular</t>
  </si>
  <si>
    <t>P2F.FIL</t>
  </si>
  <si>
    <t>Joker</t>
  </si>
  <si>
    <t>JOKER</t>
  </si>
  <si>
    <t>J1F.FIL</t>
  </si>
  <si>
    <t>Euromilhões</t>
  </si>
  <si>
    <t>N/A</t>
  </si>
  <si>
    <t>PLACARD</t>
  </si>
  <si>
    <t>Oddset</t>
  </si>
  <si>
    <t>Chuva de Milionários</t>
  </si>
  <si>
    <t>Raffle</t>
  </si>
  <si>
    <t>M1lhão</t>
  </si>
  <si>
    <t>T2C Type/Subtype Map</t>
  </si>
  <si>
    <t>Description</t>
  </si>
  <si>
    <t>Type (Hex)</t>
  </si>
  <si>
    <t>Subtype (Hex)</t>
  </si>
  <si>
    <t>REMOVER (;)</t>
  </si>
  <si>
    <t>E0</t>
  </si>
  <si>
    <t>IGS Wager</t>
  </si>
  <si>
    <t>-&gt;</t>
  </si>
  <si>
    <t>C/ (;)</t>
  </si>
  <si>
    <t>E1</t>
  </si>
  <si>
    <t>IGS Cancellation</t>
  </si>
  <si>
    <t>S/ (;)</t>
  </si>
  <si>
    <t>E2</t>
  </si>
  <si>
    <t>IGS Validation</t>
  </si>
  <si>
    <t>INSERIR (;)</t>
  </si>
  <si>
    <t>E3</t>
  </si>
  <si>
    <t>IGS Payment</t>
  </si>
  <si>
    <t>E4</t>
  </si>
  <si>
    <t>IGS Report</t>
  </si>
  <si>
    <t>EF</t>
  </si>
  <si>
    <t>IGS Error</t>
  </si>
  <si>
    <t>BETSLIP REFERENCE NUMBER CONVERTER</t>
  </si>
  <si>
    <t>DEC:</t>
  </si>
  <si>
    <t>T2C Wager Statistics Flags</t>
  </si>
  <si>
    <t>HEX:</t>
  </si>
  <si>
    <t>0E 06 03 0C 01 1F C9 95 02 03 D0</t>
  </si>
  <si>
    <t>00</t>
  </si>
  <si>
    <t>Not defined</t>
  </si>
  <si>
    <t>01</t>
  </si>
  <si>
    <t>02</t>
  </si>
  <si>
    <t>04</t>
  </si>
  <si>
    <t>08</t>
  </si>
  <si>
    <t>10</t>
  </si>
  <si>
    <t>20</t>
  </si>
  <si>
    <t>Coupon Edited</t>
  </si>
  <si>
    <t>40</t>
  </si>
  <si>
    <t>Reader Entry</t>
  </si>
  <si>
    <t>80</t>
  </si>
  <si>
    <t>Simulator Transaction</t>
  </si>
  <si>
    <t>ABP Game Id</t>
  </si>
  <si>
    <t>ABP Game Id (Dec)</t>
  </si>
  <si>
    <t>1X2</t>
  </si>
  <si>
    <t>Match of the Day</t>
  </si>
  <si>
    <t>Cancellation Status</t>
  </si>
  <si>
    <t>Cancellation Status (Dec)</t>
  </si>
  <si>
    <t>Successful Cancellation</t>
  </si>
  <si>
    <t>Time Limit Exceeded</t>
  </si>
  <si>
    <t>Event Already Closed</t>
  </si>
  <si>
    <t>03</t>
  </si>
  <si>
    <t>Invalid Cancel</t>
  </si>
  <si>
    <t>Already Cancelled</t>
  </si>
  <si>
    <t>05</t>
  </si>
  <si>
    <t>Wrong Terminal</t>
  </si>
  <si>
    <t>Validation Status</t>
  </si>
  <si>
    <t>Validation Status (Dec)</t>
  </si>
  <si>
    <t>Successful Validation (Inquiry)</t>
  </si>
  <si>
    <t>No Results Yet or Not a Winner</t>
  </si>
  <si>
    <t>Results Not Confirmed</t>
  </si>
  <si>
    <t>No Such Ticket</t>
  </si>
  <si>
    <t>Can’t Pay Yet</t>
  </si>
  <si>
    <t>Already Cashed</t>
  </si>
  <si>
    <t>06</t>
  </si>
  <si>
    <t>Cash at Lottery</t>
  </si>
  <si>
    <t>07</t>
  </si>
  <si>
    <t>No Details Available</t>
  </si>
  <si>
    <t>Winner Holding Limit</t>
  </si>
  <si>
    <t>Note: Validation status codes other than these are treated as Validation Status = 1.</t>
  </si>
  <si>
    <t>Payment Mode Inquiry</t>
  </si>
  <si>
    <t>Pay Mode Inquiry (Dec)</t>
  </si>
  <si>
    <t>Cash Payment (Only) Inquiry</t>
  </si>
  <si>
    <t>Bank Transfer (Only) Inquiry</t>
  </si>
  <si>
    <t>Cash Payment or Bank Transfer Inquiry</t>
  </si>
  <si>
    <t>Payment Mode</t>
  </si>
  <si>
    <t>Payment Mode (Dec)</t>
  </si>
  <si>
    <t>Cash Payment</t>
  </si>
  <si>
    <t>Bank Transfer</t>
  </si>
  <si>
    <t>Player ID Type</t>
  </si>
  <si>
    <t>Player ID Type (Dec)</t>
  </si>
  <si>
    <t>Telephone Number</t>
  </si>
  <si>
    <t>Player Card Number</t>
  </si>
  <si>
    <t>Payment Status</t>
  </si>
  <si>
    <t>Payment Status (Dec)</t>
  </si>
  <si>
    <t>Successful Payment</t>
  </si>
  <si>
    <t>Note: Payment status codes other than these are treated as Payment Status = 1.</t>
  </si>
  <si>
    <t>T2C Reprint Type/Subtype Map</t>
  </si>
  <si>
    <t>81</t>
  </si>
  <si>
    <t>Last Transaction</t>
  </si>
  <si>
    <t>82</t>
  </si>
  <si>
    <t>Last Wager</t>
  </si>
  <si>
    <t>84</t>
  </si>
  <si>
    <t>Last Validation</t>
  </si>
  <si>
    <t>C2T IGS Reprint Subtype</t>
  </si>
  <si>
    <t>8C</t>
  </si>
  <si>
    <t>Last IGS Transaction</t>
  </si>
  <si>
    <t>C2T Reprint Type</t>
  </si>
  <si>
    <t>Reprint Type (Dec)</t>
  </si>
  <si>
    <t>Last Oddset Wager</t>
  </si>
  <si>
    <t>Last Oddset Payment</t>
  </si>
  <si>
    <t>Last Oddset Cancel</t>
  </si>
  <si>
    <t>Report Subtype</t>
  </si>
  <si>
    <t>63</t>
  </si>
  <si>
    <t>Financial Report</t>
  </si>
  <si>
    <t>6A</t>
  </si>
  <si>
    <t>Accountability Report</t>
  </si>
  <si>
    <t>6F</t>
  </si>
  <si>
    <t>Error Report</t>
  </si>
  <si>
    <t>Report Type</t>
  </si>
  <si>
    <t>Report Type (Dec)</t>
  </si>
  <si>
    <t>Regular</t>
  </si>
  <si>
    <t>Specific Agent (AFT or Priv.)</t>
  </si>
  <si>
    <t>Not Applicable</t>
  </si>
  <si>
    <t>Financial Report Class</t>
  </si>
  <si>
    <t>Class (DEC)</t>
  </si>
  <si>
    <t>Total Summary Report</t>
  </si>
  <si>
    <t>Total On-Line Sales</t>
  </si>
  <si>
    <t>Total On-Line Validations</t>
  </si>
  <si>
    <t>Total On-Line Remunerations</t>
  </si>
  <si>
    <t>Financial Report Subclass</t>
  </si>
  <si>
    <t>Subclass (Dec)</t>
  </si>
  <si>
    <t>Today</t>
  </si>
  <si>
    <t xml:space="preserve">Monday </t>
  </si>
  <si>
    <t>Tuesday</t>
  </si>
  <si>
    <t>Wednesday</t>
  </si>
  <si>
    <t>Thursday</t>
  </si>
  <si>
    <t>Friday</t>
  </si>
  <si>
    <t>Saturday</t>
  </si>
  <si>
    <t>Sunday</t>
  </si>
  <si>
    <t>Weekly</t>
  </si>
  <si>
    <t>System Availability Flags</t>
  </si>
  <si>
    <t>0</t>
  </si>
  <si>
    <t>All Systems Available</t>
  </si>
  <si>
    <t>1</t>
  </si>
  <si>
    <t>LGS System Not Available</t>
  </si>
  <si>
    <t>2</t>
  </si>
  <si>
    <t>ABP System Not Available</t>
  </si>
  <si>
    <t>3</t>
  </si>
  <si>
    <t>LGS and ABP Not Available</t>
  </si>
  <si>
    <t>4</t>
  </si>
  <si>
    <t>5</t>
  </si>
  <si>
    <t>6</t>
  </si>
  <si>
    <t>7</t>
  </si>
  <si>
    <t>8</t>
  </si>
  <si>
    <t>9</t>
  </si>
  <si>
    <t>11</t>
  </si>
  <si>
    <t>12</t>
  </si>
  <si>
    <t>13</t>
  </si>
  <si>
    <t>14</t>
  </si>
  <si>
    <t>15</t>
  </si>
  <si>
    <t>Report Option Flag</t>
  </si>
  <si>
    <t>Option Flag (Dec)</t>
  </si>
  <si>
    <t>More Flag</t>
  </si>
  <si>
    <t>FF</t>
  </si>
  <si>
    <t>Last Segment</t>
  </si>
  <si>
    <t>Accountability Report Subclass</t>
  </si>
  <si>
    <t>Prestação de Contas de AM &amp; EM &amp; Placard</t>
  </si>
  <si>
    <t>Prestação de Contas de Lotaria Instantânea</t>
  </si>
  <si>
    <t>Prestação de Contas de Lotaria Nacional</t>
  </si>
  <si>
    <t>Total de Ajustes e Total Global do Mediador</t>
  </si>
  <si>
    <t>Report Error Code</t>
  </si>
  <si>
    <t>Error Code (Dec)</t>
  </si>
  <si>
    <t xml:space="preserve">Report Not Available </t>
  </si>
  <si>
    <t>System Code</t>
  </si>
  <si>
    <t>System Code (Dec)</t>
  </si>
  <si>
    <t>Millennium</t>
  </si>
  <si>
    <t>IGS</t>
  </si>
  <si>
    <t>ABP</t>
  </si>
  <si>
    <t>Millennium Error Number</t>
  </si>
  <si>
    <t>Invalid</t>
  </si>
  <si>
    <t>Syntax Error</t>
  </si>
  <si>
    <t>Function Suppressed</t>
  </si>
  <si>
    <t>Not Signed On</t>
  </si>
  <si>
    <t>System Dormant</t>
  </si>
  <si>
    <t>Drawing Break</t>
  </si>
  <si>
    <t>Liability Limit Exceeded</t>
  </si>
  <si>
    <t>Non-drawing Day</t>
  </si>
  <si>
    <t>DES Encryption Error</t>
  </si>
  <si>
    <t>Results Not In</t>
  </si>
  <si>
    <t>Invalid Terminal Number</t>
  </si>
  <si>
    <t>Security Violation (&gt;10 sign-on)</t>
  </si>
  <si>
    <t>Bad Checksum</t>
  </si>
  <si>
    <t>Bad Game Status</t>
  </si>
  <si>
    <t>Retry Transaction</t>
  </si>
  <si>
    <t>Game Revision Error</t>
  </si>
  <si>
    <t>Can Not Fraction Ticket</t>
  </si>
  <si>
    <t>Already Fractioned</t>
  </si>
  <si>
    <t>Unfractioned</t>
  </si>
  <si>
    <t>Card Present (Pass # mismatch)</t>
  </si>
  <si>
    <t>No Card Present at SON (Do not SON)</t>
  </si>
  <si>
    <t>Combination Closed</t>
  </si>
  <si>
    <t>Odds exceeded</t>
  </si>
  <si>
    <t>Invalid Agent Or Password In Sign On</t>
  </si>
  <si>
    <t>Not available passive number found</t>
  </si>
  <si>
    <t>Passive IO error</t>
  </si>
  <si>
    <t>Blocked NIF</t>
  </si>
  <si>
    <t>UTF-8 Encoding</t>
  </si>
  <si>
    <t>Unicode Code Point</t>
  </si>
  <si>
    <t>UTF-8 (hex.)</t>
  </si>
  <si>
    <t>Character</t>
  </si>
  <si>
    <t>U+0000</t>
  </si>
  <si>
    <t>&lt;control&gt;</t>
  </si>
  <si>
    <t>U+0001</t>
  </si>
  <si>
    <t>U+0002</t>
  </si>
  <si>
    <t>U+0003</t>
  </si>
  <si>
    <t>U+0004</t>
  </si>
  <si>
    <t>U+0005</t>
  </si>
  <si>
    <t>U+0006</t>
  </si>
  <si>
    <t>U+0007</t>
  </si>
  <si>
    <t>U+0008</t>
  </si>
  <si>
    <t>U+0009</t>
  </si>
  <si>
    <t>U+000A</t>
  </si>
  <si>
    <t>0a</t>
  </si>
  <si>
    <t>U+000B</t>
  </si>
  <si>
    <t>0b</t>
  </si>
  <si>
    <t>U+000C</t>
  </si>
  <si>
    <t>0c</t>
  </si>
  <si>
    <t>U+000D</t>
  </si>
  <si>
    <t>0d</t>
  </si>
  <si>
    <t>U+000E</t>
  </si>
  <si>
    <t>0e</t>
  </si>
  <si>
    <t>U+000F</t>
  </si>
  <si>
    <t>0f</t>
  </si>
  <si>
    <t>U+0010</t>
  </si>
  <si>
    <t>U+0011</t>
  </si>
  <si>
    <t>U+0012</t>
  </si>
  <si>
    <t>U+0013</t>
  </si>
  <si>
    <t>U+0014</t>
  </si>
  <si>
    <t>U+0015</t>
  </si>
  <si>
    <t>U+0016</t>
  </si>
  <si>
    <t>U+0017</t>
  </si>
  <si>
    <t>U+0018</t>
  </si>
  <si>
    <t>U+0019</t>
  </si>
  <si>
    <t>U+001A</t>
  </si>
  <si>
    <t>1a</t>
  </si>
  <si>
    <t>U+001B</t>
  </si>
  <si>
    <t>1b</t>
  </si>
  <si>
    <t>U+001C</t>
  </si>
  <si>
    <t>1c</t>
  </si>
  <si>
    <t>U+001D</t>
  </si>
  <si>
    <t>1d</t>
  </si>
  <si>
    <t>U+001E</t>
  </si>
  <si>
    <t>1e</t>
  </si>
  <si>
    <t>U+001F</t>
  </si>
  <si>
    <t>1f</t>
  </si>
  <si>
    <t>U+0020</t>
  </si>
  <si>
    <t>SPACE</t>
  </si>
  <si>
    <t>U+0021</t>
  </si>
  <si>
    <t>!</t>
  </si>
  <si>
    <t>EXCLAMATION MARK</t>
  </si>
  <si>
    <t>U+0022</t>
  </si>
  <si>
    <t>"</t>
  </si>
  <si>
    <t>QUOTATION MARK</t>
  </si>
  <si>
    <t>U+0023</t>
  </si>
  <si>
    <t>#</t>
  </si>
  <si>
    <t>NUMBER SIGN</t>
  </si>
  <si>
    <t>U+0024</t>
  </si>
  <si>
    <t>$</t>
  </si>
  <si>
    <t>DOLLAR SIGN</t>
  </si>
  <si>
    <t>U+0025</t>
  </si>
  <si>
    <t>%</t>
  </si>
  <si>
    <t>PERCENT SIGN</t>
  </si>
  <si>
    <t>U+0026</t>
  </si>
  <si>
    <t>&amp;</t>
  </si>
  <si>
    <t>AMPERSAND</t>
  </si>
  <si>
    <t>U+0027</t>
  </si>
  <si>
    <t>'</t>
  </si>
  <si>
    <t>APOSTROPHE</t>
  </si>
  <si>
    <t>U+0028</t>
  </si>
  <si>
    <t>(</t>
  </si>
  <si>
    <t>LEFT PARENTHESIS</t>
  </si>
  <si>
    <t>U+0029</t>
  </si>
  <si>
    <t>)</t>
  </si>
  <si>
    <t>RIGHT PARENTHESIS</t>
  </si>
  <si>
    <t>U+002A</t>
  </si>
  <si>
    <t>2a</t>
  </si>
  <si>
    <t>*</t>
  </si>
  <si>
    <t>ASTERISK</t>
  </si>
  <si>
    <t>U+002B</t>
  </si>
  <si>
    <t>2b</t>
  </si>
  <si>
    <t>+</t>
  </si>
  <si>
    <t>PLUS SIGN</t>
  </si>
  <si>
    <t>U+002C</t>
  </si>
  <si>
    <t>2c</t>
  </si>
  <si>
    <t>,</t>
  </si>
  <si>
    <t>COMMA</t>
  </si>
  <si>
    <t>U+002D</t>
  </si>
  <si>
    <t>2d</t>
  </si>
  <si>
    <t>-</t>
  </si>
  <si>
    <t>HYPHEN-MINUS</t>
  </si>
  <si>
    <t>U+002E</t>
  </si>
  <si>
    <t>2e</t>
  </si>
  <si>
    <t>.</t>
  </si>
  <si>
    <t>FULL STOP</t>
  </si>
  <si>
    <t>U+002F</t>
  </si>
  <si>
    <t>2f</t>
  </si>
  <si>
    <t>/</t>
  </si>
  <si>
    <t>SOLIDUS</t>
  </si>
  <si>
    <t>U+0030</t>
  </si>
  <si>
    <t>DIGIT ZERO</t>
  </si>
  <si>
    <t>U+0031</t>
  </si>
  <si>
    <t>DIGIT ONE</t>
  </si>
  <si>
    <t>U+0032</t>
  </si>
  <si>
    <t>DIGIT TWO</t>
  </si>
  <si>
    <t>U+0033</t>
  </si>
  <si>
    <t>DIGIT THREE</t>
  </si>
  <si>
    <t>U+0034</t>
  </si>
  <si>
    <t>DIGIT FOUR</t>
  </si>
  <si>
    <t>U+0035</t>
  </si>
  <si>
    <t>DIGIT FIVE</t>
  </si>
  <si>
    <t>U+0036</t>
  </si>
  <si>
    <t>DIGIT SIX</t>
  </si>
  <si>
    <t>U+0037</t>
  </si>
  <si>
    <t>DIGIT SEVEN</t>
  </si>
  <si>
    <t>U+0038</t>
  </si>
  <si>
    <t>DIGIT EIGHT</t>
  </si>
  <si>
    <t>U+0039</t>
  </si>
  <si>
    <t>DIGIT NINE</t>
  </si>
  <si>
    <t>U+003A</t>
  </si>
  <si>
    <t>3a</t>
  </si>
  <si>
    <t>:</t>
  </si>
  <si>
    <t>COLON</t>
  </si>
  <si>
    <t>U+003B</t>
  </si>
  <si>
    <t>3b</t>
  </si>
  <si>
    <t>;</t>
  </si>
  <si>
    <t>SEMICOLON</t>
  </si>
  <si>
    <t>U+003C</t>
  </si>
  <si>
    <t>3c</t>
  </si>
  <si>
    <t>&lt;</t>
  </si>
  <si>
    <t>LESS-THAN SIGN</t>
  </si>
  <si>
    <t>U+003D</t>
  </si>
  <si>
    <t>3d</t>
  </si>
  <si>
    <t>=</t>
  </si>
  <si>
    <t>EQUALS SIGN</t>
  </si>
  <si>
    <t>U+003E</t>
  </si>
  <si>
    <t>3e</t>
  </si>
  <si>
    <t>&gt;</t>
  </si>
  <si>
    <t>GREATER-THAN SIGN</t>
  </si>
  <si>
    <t>U+003F</t>
  </si>
  <si>
    <t>3f</t>
  </si>
  <si>
    <t>?</t>
  </si>
  <si>
    <t>QUESTION MARK</t>
  </si>
  <si>
    <t>U+0040</t>
  </si>
  <si>
    <t>@</t>
  </si>
  <si>
    <t>COMMERCIAL AT</t>
  </si>
  <si>
    <t>U+0041</t>
  </si>
  <si>
    <t>A</t>
  </si>
  <si>
    <t>LATIN CAPITAL LETTER A</t>
  </si>
  <si>
    <t>U+0042</t>
  </si>
  <si>
    <t>B</t>
  </si>
  <si>
    <t>LATIN CAPITAL LETTER B</t>
  </si>
  <si>
    <t>U+0043</t>
  </si>
  <si>
    <t>C</t>
  </si>
  <si>
    <t>LATIN CAPITAL LETTER C</t>
  </si>
  <si>
    <t>U+0044</t>
  </si>
  <si>
    <t>D</t>
  </si>
  <si>
    <t>LATIN CAPITAL LETTER D</t>
  </si>
  <si>
    <t>U+0045</t>
  </si>
  <si>
    <t>E</t>
  </si>
  <si>
    <t>LATIN CAPITAL LETTER E</t>
  </si>
  <si>
    <t>U+0046</t>
  </si>
  <si>
    <t>F</t>
  </si>
  <si>
    <t>LATIN CAPITAL LETTER F</t>
  </si>
  <si>
    <t>U+0047</t>
  </si>
  <si>
    <t>G</t>
  </si>
  <si>
    <t>LATIN CAPITAL LETTER G</t>
  </si>
  <si>
    <t>U+0048</t>
  </si>
  <si>
    <t>H</t>
  </si>
  <si>
    <t>LATIN CAPITAL LETTER H</t>
  </si>
  <si>
    <t>U+0049</t>
  </si>
  <si>
    <t>I</t>
  </si>
  <si>
    <t>LATIN CAPITAL LETTER I</t>
  </si>
  <si>
    <t>U+004A</t>
  </si>
  <si>
    <t>4a</t>
  </si>
  <si>
    <t>J</t>
  </si>
  <si>
    <t>LATIN CAPITAL LETTER J</t>
  </si>
  <si>
    <t>U+004B</t>
  </si>
  <si>
    <t>4b</t>
  </si>
  <si>
    <t>K</t>
  </si>
  <si>
    <t>LATIN CAPITAL LETTER K</t>
  </si>
  <si>
    <t>U+004C</t>
  </si>
  <si>
    <t>4c</t>
  </si>
  <si>
    <t>L</t>
  </si>
  <si>
    <t>LATIN CAPITAL LETTER L</t>
  </si>
  <si>
    <t>U+004D</t>
  </si>
  <si>
    <t>4d</t>
  </si>
  <si>
    <t>M</t>
  </si>
  <si>
    <t>LATIN CAPITAL LETTER M</t>
  </si>
  <si>
    <t>U+004E</t>
  </si>
  <si>
    <t>4e</t>
  </si>
  <si>
    <t>N</t>
  </si>
  <si>
    <t>LATIN CAPITAL LETTER N</t>
  </si>
  <si>
    <t>U+004F</t>
  </si>
  <si>
    <t>4f</t>
  </si>
  <si>
    <t>O</t>
  </si>
  <si>
    <t>LATIN CAPITAL LETTER O</t>
  </si>
  <si>
    <t>U+0050</t>
  </si>
  <si>
    <t>P</t>
  </si>
  <si>
    <t>LATIN CAPITAL LETTER P</t>
  </si>
  <si>
    <t>U+0051</t>
  </si>
  <si>
    <t>Q</t>
  </si>
  <si>
    <t>LATIN CAPITAL LETTER Q</t>
  </si>
  <si>
    <t>U+0052</t>
  </si>
  <si>
    <t>R</t>
  </si>
  <si>
    <t>LATIN CAPITAL LETTER R</t>
  </si>
  <si>
    <t>U+0053</t>
  </si>
  <si>
    <t>S</t>
  </si>
  <si>
    <t>LATIN CAPITAL LETTER S</t>
  </si>
  <si>
    <t>U+0054</t>
  </si>
  <si>
    <t>T</t>
  </si>
  <si>
    <t>LATIN CAPITAL LETTER T</t>
  </si>
  <si>
    <t>U+0055</t>
  </si>
  <si>
    <t>U</t>
  </si>
  <si>
    <t>LATIN CAPITAL LETTER U</t>
  </si>
  <si>
    <t>U+0056</t>
  </si>
  <si>
    <t>V</t>
  </si>
  <si>
    <t>LATIN CAPITAL LETTER V</t>
  </si>
  <si>
    <t>U+0057</t>
  </si>
  <si>
    <t>W</t>
  </si>
  <si>
    <t>LATIN CAPITAL LETTER W</t>
  </si>
  <si>
    <t>U+0058</t>
  </si>
  <si>
    <t>X</t>
  </si>
  <si>
    <t>LATIN CAPITAL LETTER X</t>
  </si>
  <si>
    <t>U+0059</t>
  </si>
  <si>
    <t>Y</t>
  </si>
  <si>
    <t>LATIN CAPITAL LETTER Y</t>
  </si>
  <si>
    <t>U+005A</t>
  </si>
  <si>
    <t>5a</t>
  </si>
  <si>
    <t>Z</t>
  </si>
  <si>
    <t>LATIN CAPITAL LETTER Z</t>
  </si>
  <si>
    <t>U+005B</t>
  </si>
  <si>
    <t>5b</t>
  </si>
  <si>
    <t>[</t>
  </si>
  <si>
    <t>LEFT SQUARE BRACKET</t>
  </si>
  <si>
    <t>U+005C</t>
  </si>
  <si>
    <t>5c</t>
  </si>
  <si>
    <t>\</t>
  </si>
  <si>
    <t>REVERSE SOLIDUS</t>
  </si>
  <si>
    <t>U+005D</t>
  </si>
  <si>
    <t>5d</t>
  </si>
  <si>
    <t>]</t>
  </si>
  <si>
    <t>RIGHT SQUARE BRACKET</t>
  </si>
  <si>
    <t>U+005E</t>
  </si>
  <si>
    <t>5e</t>
  </si>
  <si>
    <t>^</t>
  </si>
  <si>
    <t>CIRCUMFLEX ACCENT</t>
  </si>
  <si>
    <t>U+005F</t>
  </si>
  <si>
    <t>5f</t>
  </si>
  <si>
    <t>_</t>
  </si>
  <si>
    <t>LOW LINE</t>
  </si>
  <si>
    <t>U+0060</t>
  </si>
  <si>
    <t>`</t>
  </si>
  <si>
    <t>GRAVE ACCENT</t>
  </si>
  <si>
    <t>U+0061</t>
  </si>
  <si>
    <t>a</t>
  </si>
  <si>
    <t>LATIN SMALL LETTER A</t>
  </si>
  <si>
    <t>U+0062</t>
  </si>
  <si>
    <t>b</t>
  </si>
  <si>
    <t>LATIN SMALL LETTER B</t>
  </si>
  <si>
    <t>U+0063</t>
  </si>
  <si>
    <t>c</t>
  </si>
  <si>
    <t>LATIN SMALL LETTER C</t>
  </si>
  <si>
    <t>U+0064</t>
  </si>
  <si>
    <t>d</t>
  </si>
  <si>
    <t>LATIN SMALL LETTER D</t>
  </si>
  <si>
    <t>U+0065</t>
  </si>
  <si>
    <t>e</t>
  </si>
  <si>
    <t>LATIN SMALL LETTER E</t>
  </si>
  <si>
    <t>U+0066</t>
  </si>
  <si>
    <t>f</t>
  </si>
  <si>
    <t>LATIN SMALL LETTER F</t>
  </si>
  <si>
    <t>U+0067</t>
  </si>
  <si>
    <t>g</t>
  </si>
  <si>
    <t>LATIN SMALL LETTER G</t>
  </si>
  <si>
    <t>U+0068</t>
  </si>
  <si>
    <t>h</t>
  </si>
  <si>
    <t>LATIN SMALL LETTER H</t>
  </si>
  <si>
    <t>U+0069</t>
  </si>
  <si>
    <t>i</t>
  </si>
  <si>
    <t>LATIN SMALL LETTER I</t>
  </si>
  <si>
    <t>U+006A</t>
  </si>
  <si>
    <t>6a</t>
  </si>
  <si>
    <t>j</t>
  </si>
  <si>
    <t>LATIN SMALL LETTER J</t>
  </si>
  <si>
    <t>U+006B</t>
  </si>
  <si>
    <t>6b</t>
  </si>
  <si>
    <t>k</t>
  </si>
  <si>
    <t>LATIN SMALL LETTER K</t>
  </si>
  <si>
    <t>U+006C</t>
  </si>
  <si>
    <t>6c</t>
  </si>
  <si>
    <t>l</t>
  </si>
  <si>
    <t>LATIN SMALL LETTER L</t>
  </si>
  <si>
    <t>U+006D</t>
  </si>
  <si>
    <t>6d</t>
  </si>
  <si>
    <t>m</t>
  </si>
  <si>
    <t>LATIN SMALL LETTER M</t>
  </si>
  <si>
    <t>U+006E</t>
  </si>
  <si>
    <t>6e</t>
  </si>
  <si>
    <t>n</t>
  </si>
  <si>
    <t>LATIN SMALL LETTER N</t>
  </si>
  <si>
    <t>U+006F</t>
  </si>
  <si>
    <t>6f</t>
  </si>
  <si>
    <t>o</t>
  </si>
  <si>
    <t>LATIN SMALL LETTER O</t>
  </si>
  <si>
    <t>U+0070</t>
  </si>
  <si>
    <t>p</t>
  </si>
  <si>
    <t>LATIN SMALL LETTER P</t>
  </si>
  <si>
    <t>U+0071</t>
  </si>
  <si>
    <t>q</t>
  </si>
  <si>
    <t>LATIN SMALL LETTER Q</t>
  </si>
  <si>
    <t>U+0072</t>
  </si>
  <si>
    <t>r</t>
  </si>
  <si>
    <t>LATIN SMALL LETTER R</t>
  </si>
  <si>
    <t>U+0073</t>
  </si>
  <si>
    <t>s</t>
  </si>
  <si>
    <t>LATIN SMALL LETTER S</t>
  </si>
  <si>
    <t>U+0074</t>
  </si>
  <si>
    <t>t</t>
  </si>
  <si>
    <t>LATIN SMALL LETTER T</t>
  </si>
  <si>
    <t>U+0075</t>
  </si>
  <si>
    <t>u</t>
  </si>
  <si>
    <t>LATIN SMALL LETTER U</t>
  </si>
  <si>
    <t>U+0076</t>
  </si>
  <si>
    <t>v</t>
  </si>
  <si>
    <t>LATIN SMALL LETTER V</t>
  </si>
  <si>
    <t>U+0077</t>
  </si>
  <si>
    <t>w</t>
  </si>
  <si>
    <t>LATIN SMALL LETTER W</t>
  </si>
  <si>
    <t>U+0078</t>
  </si>
  <si>
    <t>x</t>
  </si>
  <si>
    <t>LATIN SMALL LETTER X</t>
  </si>
  <si>
    <t>U+0079</t>
  </si>
  <si>
    <t>y</t>
  </si>
  <si>
    <t>LATIN SMALL LETTER Y</t>
  </si>
  <si>
    <t>U+007A</t>
  </si>
  <si>
    <t>7a</t>
  </si>
  <si>
    <t>z</t>
  </si>
  <si>
    <t>LATIN SMALL LETTER Z</t>
  </si>
  <si>
    <t>U+007B</t>
  </si>
  <si>
    <t>7b</t>
  </si>
  <si>
    <t>{</t>
  </si>
  <si>
    <t>LEFT CURLY BRACKET</t>
  </si>
  <si>
    <t>U+007C</t>
  </si>
  <si>
    <t>7c</t>
  </si>
  <si>
    <t>|</t>
  </si>
  <si>
    <t>VERTICAL LINE</t>
  </si>
  <si>
    <t>U+007D</t>
  </si>
  <si>
    <t>7d</t>
  </si>
  <si>
    <t>}</t>
  </si>
  <si>
    <t>RIGHT CURLY BRACKET</t>
  </si>
  <si>
    <t>U+007E</t>
  </si>
  <si>
    <t>7e</t>
  </si>
  <si>
    <t>~</t>
  </si>
  <si>
    <t>TILDE</t>
  </si>
  <si>
    <t>U+007F</t>
  </si>
  <si>
    <t>7f</t>
  </si>
  <si>
    <t>U+0080</t>
  </si>
  <si>
    <t>c2 80</t>
  </si>
  <si>
    <t>U+0081</t>
  </si>
  <si>
    <t>c2 81</t>
  </si>
  <si>
    <t>U+0082</t>
  </si>
  <si>
    <t>c2 82</t>
  </si>
  <si>
    <t>U+0083</t>
  </si>
  <si>
    <t>c2 83</t>
  </si>
  <si>
    <t>U+0084</t>
  </si>
  <si>
    <t>c2 84</t>
  </si>
  <si>
    <t>U+0085</t>
  </si>
  <si>
    <t>c2 85</t>
  </si>
  <si>
    <t>U+0086</t>
  </si>
  <si>
    <t>c2 86</t>
  </si>
  <si>
    <t>U+0087</t>
  </si>
  <si>
    <t>c2 87</t>
  </si>
  <si>
    <t>U+0088</t>
  </si>
  <si>
    <t>c2 88</t>
  </si>
  <si>
    <t>U+0089</t>
  </si>
  <si>
    <t>c2 89</t>
  </si>
  <si>
    <t>U+008A</t>
  </si>
  <si>
    <t>c2 8a</t>
  </si>
  <si>
    <t>U+008B</t>
  </si>
  <si>
    <t>c2 8b</t>
  </si>
  <si>
    <t>U+008C</t>
  </si>
  <si>
    <t>c2 8c</t>
  </si>
  <si>
    <t>U+008D</t>
  </si>
  <si>
    <t>c2 8d</t>
  </si>
  <si>
    <t>U+008E</t>
  </si>
  <si>
    <t>c2 8e</t>
  </si>
  <si>
    <t>U+008F</t>
  </si>
  <si>
    <t>c2 8f</t>
  </si>
  <si>
    <t>U+0090</t>
  </si>
  <si>
    <t>c2 90</t>
  </si>
  <si>
    <t>U+0091</t>
  </si>
  <si>
    <t>c2 91</t>
  </si>
  <si>
    <t>U+0092</t>
  </si>
  <si>
    <t>c2 92</t>
  </si>
  <si>
    <t>U+0093</t>
  </si>
  <si>
    <t>c2 93</t>
  </si>
  <si>
    <t>U+0094</t>
  </si>
  <si>
    <t>c2 94</t>
  </si>
  <si>
    <t>U+0095</t>
  </si>
  <si>
    <t>c2 95</t>
  </si>
  <si>
    <t>U+0096</t>
  </si>
  <si>
    <t>c2 96</t>
  </si>
  <si>
    <t>U+0097</t>
  </si>
  <si>
    <t>c2 97</t>
  </si>
  <si>
    <t>U+0098</t>
  </si>
  <si>
    <t>c2 98</t>
  </si>
  <si>
    <t>U+0099</t>
  </si>
  <si>
    <t>c2 99</t>
  </si>
  <si>
    <t>U+009A</t>
  </si>
  <si>
    <t>c2 9a</t>
  </si>
  <si>
    <t>U+009B</t>
  </si>
  <si>
    <t>c2 9b</t>
  </si>
  <si>
    <t>U+009C</t>
  </si>
  <si>
    <t>c2 9c</t>
  </si>
  <si>
    <t>U+009D</t>
  </si>
  <si>
    <t>c2 9d</t>
  </si>
  <si>
    <t>U+009E</t>
  </si>
  <si>
    <t>c2 9e</t>
  </si>
  <si>
    <t>U+009F</t>
  </si>
  <si>
    <t>c2 9f</t>
  </si>
  <si>
    <t>U+00A0</t>
  </si>
  <si>
    <t>c2 a0</t>
  </si>
  <si>
    <t>NO-BREAK SPACE</t>
  </si>
  <si>
    <t>U+00A1</t>
  </si>
  <si>
    <t>c2 a1</t>
  </si>
  <si>
    <t>¡</t>
  </si>
  <si>
    <t>INVERTED EXCLAMATION MARK</t>
  </si>
  <si>
    <t>U+00A2</t>
  </si>
  <si>
    <t>c2 a2</t>
  </si>
  <si>
    <t>¢</t>
  </si>
  <si>
    <t>CENT SIGN</t>
  </si>
  <si>
    <t>U+00A3</t>
  </si>
  <si>
    <t>c2 a3</t>
  </si>
  <si>
    <t>£</t>
  </si>
  <si>
    <t>POUND SIGN</t>
  </si>
  <si>
    <t>U+00A4</t>
  </si>
  <si>
    <t>c2 a4</t>
  </si>
  <si>
    <t>¤</t>
  </si>
  <si>
    <t>CURRENCY SIGN</t>
  </si>
  <si>
    <t>U+00A5</t>
  </si>
  <si>
    <t>c2 a5</t>
  </si>
  <si>
    <t>¥</t>
  </si>
  <si>
    <t>YEN SIGN</t>
  </si>
  <si>
    <t>U+00A6</t>
  </si>
  <si>
    <t>c2 a6</t>
  </si>
  <si>
    <t>¦</t>
  </si>
  <si>
    <t>BROKEN BAR</t>
  </si>
  <si>
    <t>U+00A7</t>
  </si>
  <si>
    <t>c2 a7</t>
  </si>
  <si>
    <t>§</t>
  </si>
  <si>
    <t>SECTION SIGN</t>
  </si>
  <si>
    <t>U+00A8</t>
  </si>
  <si>
    <t>c2 a8</t>
  </si>
  <si>
    <t>¨</t>
  </si>
  <si>
    <t>DIAERESIS</t>
  </si>
  <si>
    <t>U+00A9</t>
  </si>
  <si>
    <t>c2 a9</t>
  </si>
  <si>
    <t>©</t>
  </si>
  <si>
    <t>COPYRIGHT SIGN</t>
  </si>
  <si>
    <t>U+00AA</t>
  </si>
  <si>
    <t>c2 aa</t>
  </si>
  <si>
    <t>ª</t>
  </si>
  <si>
    <t>FEMININE ORDINAL INDICATOR</t>
  </si>
  <si>
    <t>U+00AB</t>
  </si>
  <si>
    <t>c2 ab</t>
  </si>
  <si>
    <t>«</t>
  </si>
  <si>
    <t>LEFT-POINTING DOUBLE ANGLE QUOTATION MARK</t>
  </si>
  <si>
    <t>U+00AC</t>
  </si>
  <si>
    <t>c2 ac</t>
  </si>
  <si>
    <t>¬</t>
  </si>
  <si>
    <t>NOT SIGN</t>
  </si>
  <si>
    <t>U+00AD</t>
  </si>
  <si>
    <t>c2 ad</t>
  </si>
  <si>
    <t>SOFT HYPHEN</t>
  </si>
  <si>
    <t>U+00AE</t>
  </si>
  <si>
    <t>c2 ae</t>
  </si>
  <si>
    <t>®</t>
  </si>
  <si>
    <t>REGISTERED SIGN</t>
  </si>
  <si>
    <t>U+00AF</t>
  </si>
  <si>
    <t>c2 af</t>
  </si>
  <si>
    <t>¯</t>
  </si>
  <si>
    <t>MACRON</t>
  </si>
  <si>
    <t>U+00B0</t>
  </si>
  <si>
    <t>c2 b0</t>
  </si>
  <si>
    <t>°</t>
  </si>
  <si>
    <t>DEGREE SIGN</t>
  </si>
  <si>
    <t>U+00B1</t>
  </si>
  <si>
    <t>c2 b1</t>
  </si>
  <si>
    <t>±</t>
  </si>
  <si>
    <t>PLUS-MINUS SIGN</t>
  </si>
  <si>
    <t>U+00B2</t>
  </si>
  <si>
    <t>c2 b2</t>
  </si>
  <si>
    <t>²</t>
  </si>
  <si>
    <t>SUPERSCRIPT TWO</t>
  </si>
  <si>
    <t>U+00B3</t>
  </si>
  <si>
    <t>c2 b3</t>
  </si>
  <si>
    <t>³</t>
  </si>
  <si>
    <t>SUPERSCRIPT THREE</t>
  </si>
  <si>
    <t>U+00B4</t>
  </si>
  <si>
    <t>c2 b4</t>
  </si>
  <si>
    <t>´</t>
  </si>
  <si>
    <t>ACUTE ACCENT</t>
  </si>
  <si>
    <t>U+00B5</t>
  </si>
  <si>
    <t>c2 b5</t>
  </si>
  <si>
    <t>µ</t>
  </si>
  <si>
    <t>MICRO SIGN</t>
  </si>
  <si>
    <t>U+00B6</t>
  </si>
  <si>
    <t>c2 b6</t>
  </si>
  <si>
    <t>¶</t>
  </si>
  <si>
    <t>PILCROW SIGN</t>
  </si>
  <si>
    <t>U+00B7</t>
  </si>
  <si>
    <t>c2 b7</t>
  </si>
  <si>
    <t>·</t>
  </si>
  <si>
    <t>MIDDLE DOT</t>
  </si>
  <si>
    <t>U+00B8</t>
  </si>
  <si>
    <t>c2 b8</t>
  </si>
  <si>
    <t>¸</t>
  </si>
  <si>
    <t>CEDILLA</t>
  </si>
  <si>
    <t>U+00B9</t>
  </si>
  <si>
    <t>c2 b9</t>
  </si>
  <si>
    <t>¹</t>
  </si>
  <si>
    <t>SUPERSCRIPT ONE</t>
  </si>
  <si>
    <t>U+00BA</t>
  </si>
  <si>
    <t>c2 ba</t>
  </si>
  <si>
    <t>º</t>
  </si>
  <si>
    <t>MASCULINE ORDINAL INDICATOR</t>
  </si>
  <si>
    <t>U+00BB</t>
  </si>
  <si>
    <t>c2 bb</t>
  </si>
  <si>
    <t>»</t>
  </si>
  <si>
    <t>RIGHT-POINTING DOUBLE ANGLE QUOTATION MARK</t>
  </si>
  <si>
    <t>U+00BC</t>
  </si>
  <si>
    <t>c2 bc</t>
  </si>
  <si>
    <t>¼</t>
  </si>
  <si>
    <t>VULGAR FRACTION ONE QUARTER</t>
  </si>
  <si>
    <t>U+00BD</t>
  </si>
  <si>
    <t>c2 bd</t>
  </si>
  <si>
    <t>½</t>
  </si>
  <si>
    <t>VULGAR FRACTION ONE HALF</t>
  </si>
  <si>
    <t>U+00BE</t>
  </si>
  <si>
    <t>c2 be</t>
  </si>
  <si>
    <t>¾</t>
  </si>
  <si>
    <t>VULGAR FRACTION THREE QUARTERS</t>
  </si>
  <si>
    <t>U+00BF</t>
  </si>
  <si>
    <t>c2 bf</t>
  </si>
  <si>
    <t>¿</t>
  </si>
  <si>
    <t>INVERTED QUESTION MARK</t>
  </si>
  <si>
    <t>U+00C0</t>
  </si>
  <si>
    <t>c3 80</t>
  </si>
  <si>
    <t>À</t>
  </si>
  <si>
    <t>LATIN CAPITAL LETTER A WITH GRAVE</t>
  </si>
  <si>
    <t>U+00C1</t>
  </si>
  <si>
    <t>c3 81</t>
  </si>
  <si>
    <t>Á</t>
  </si>
  <si>
    <t>LATIN CAPITAL LETTER A WITH ACUTE</t>
  </si>
  <si>
    <t>U+00C2</t>
  </si>
  <si>
    <t>c3 82</t>
  </si>
  <si>
    <t>Â</t>
  </si>
  <si>
    <t>LATIN CAPITAL LETTER A WITH CIRCUMFLEX</t>
  </si>
  <si>
    <t>U+00C3</t>
  </si>
  <si>
    <t>c3 83</t>
  </si>
  <si>
    <t>Ã</t>
  </si>
  <si>
    <t>LATIN CAPITAL LETTER A WITH TILDE</t>
  </si>
  <si>
    <t>U+00C4</t>
  </si>
  <si>
    <t>c3 84</t>
  </si>
  <si>
    <t>Ä</t>
  </si>
  <si>
    <t>LATIN CAPITAL LETTER A WITH DIAERESIS</t>
  </si>
  <si>
    <t>U+00C5</t>
  </si>
  <si>
    <t>c3 85</t>
  </si>
  <si>
    <t>Å</t>
  </si>
  <si>
    <t>LATIN CAPITAL LETTER A WITH RING ABOVE</t>
  </si>
  <si>
    <t>U+00C6</t>
  </si>
  <si>
    <t>c3 86</t>
  </si>
  <si>
    <t>Æ</t>
  </si>
  <si>
    <t>LATIN CAPITAL LETTER AE</t>
  </si>
  <si>
    <t>U+00C7</t>
  </si>
  <si>
    <t>c3 87</t>
  </si>
  <si>
    <t>Ç</t>
  </si>
  <si>
    <t>LATIN CAPITAL LETTER C WITH CEDILLA</t>
  </si>
  <si>
    <t>U+00C8</t>
  </si>
  <si>
    <t>c3 88</t>
  </si>
  <si>
    <t>È</t>
  </si>
  <si>
    <t>LATIN CAPITAL LETTER E WITH GRAVE</t>
  </si>
  <si>
    <t>U+00C9</t>
  </si>
  <si>
    <t>c3 89</t>
  </si>
  <si>
    <t>É</t>
  </si>
  <si>
    <t>LATIN CAPITAL LETTER E WITH ACUTE</t>
  </si>
  <si>
    <t>U+00CA</t>
  </si>
  <si>
    <t>c3 8a</t>
  </si>
  <si>
    <t>Ê</t>
  </si>
  <si>
    <t>LATIN CAPITAL LETTER E WITH CIRCUMFLEX</t>
  </si>
  <si>
    <t>U+00CB</t>
  </si>
  <si>
    <t>c3 8b</t>
  </si>
  <si>
    <t>Ë</t>
  </si>
  <si>
    <t>LATIN CAPITAL LETTER E WITH DIAERESIS</t>
  </si>
  <si>
    <t>U+00CC</t>
  </si>
  <si>
    <t>c3 8c</t>
  </si>
  <si>
    <t>Ì</t>
  </si>
  <si>
    <t>LATIN CAPITAL LETTER I WITH GRAVE</t>
  </si>
  <si>
    <t>U+00CD</t>
  </si>
  <si>
    <t>c3 8d</t>
  </si>
  <si>
    <t>Í</t>
  </si>
  <si>
    <t>LATIN CAPITAL LETTER I WITH ACUTE</t>
  </si>
  <si>
    <t>U+00CE</t>
  </si>
  <si>
    <t>c3 8e</t>
  </si>
  <si>
    <t>Î</t>
  </si>
  <si>
    <t>LATIN CAPITAL LETTER I WITH CIRCUMFLEX</t>
  </si>
  <si>
    <t>U+00CF</t>
  </si>
  <si>
    <t>c3 8f</t>
  </si>
  <si>
    <t>Ï</t>
  </si>
  <si>
    <t>LATIN CAPITAL LETTER I WITH DIAERESIS</t>
  </si>
  <si>
    <t>U+00D0</t>
  </si>
  <si>
    <t>c3 90</t>
  </si>
  <si>
    <t>Ð</t>
  </si>
  <si>
    <t>LATIN CAPITAL LETTER ETH</t>
  </si>
  <si>
    <t>U+00D1</t>
  </si>
  <si>
    <t>c3 91</t>
  </si>
  <si>
    <t>Ñ</t>
  </si>
  <si>
    <t>LATIN CAPITAL LETTER N WITH TILDE</t>
  </si>
  <si>
    <t>U+00D2</t>
  </si>
  <si>
    <t>c3 92</t>
  </si>
  <si>
    <t>Ò</t>
  </si>
  <si>
    <t>LATIN CAPITAL LETTER O WITH GRAVE</t>
  </si>
  <si>
    <t>U+00D3</t>
  </si>
  <si>
    <t>c3 93</t>
  </si>
  <si>
    <t>Ó</t>
  </si>
  <si>
    <t>LATIN CAPITAL LETTER O WITH ACUTE</t>
  </si>
  <si>
    <t>U+00D4</t>
  </si>
  <si>
    <t>c3 94</t>
  </si>
  <si>
    <t>Ô</t>
  </si>
  <si>
    <t>LATIN CAPITAL LETTER O WITH CIRCUMFLEX</t>
  </si>
  <si>
    <t>U+00D5</t>
  </si>
  <si>
    <t>c3 95</t>
  </si>
  <si>
    <t>Õ</t>
  </si>
  <si>
    <t>LATIN CAPITAL LETTER O WITH TILDE</t>
  </si>
  <si>
    <t>U+00D6</t>
  </si>
  <si>
    <t>c3 96</t>
  </si>
  <si>
    <t>Ö</t>
  </si>
  <si>
    <t>LATIN CAPITAL LETTER O WITH DIAERESIS</t>
  </si>
  <si>
    <t>U+00D7</t>
  </si>
  <si>
    <t>c3 97</t>
  </si>
  <si>
    <t>×</t>
  </si>
  <si>
    <t>MULTIPLICATION SIGN</t>
  </si>
  <si>
    <t>U+00D8</t>
  </si>
  <si>
    <t>c3 98</t>
  </si>
  <si>
    <t>Ø</t>
  </si>
  <si>
    <t>LATIN CAPITAL LETTER O WITH STROKE</t>
  </si>
  <si>
    <t>U+00D9</t>
  </si>
  <si>
    <t>c3 99</t>
  </si>
  <si>
    <t>Ù</t>
  </si>
  <si>
    <t>LATIN CAPITAL LETTER U WITH GRAVE</t>
  </si>
  <si>
    <t>U+00DA</t>
  </si>
  <si>
    <t>c3 9a</t>
  </si>
  <si>
    <t>Ú</t>
  </si>
  <si>
    <t>LATIN CAPITAL LETTER U WITH ACUTE</t>
  </si>
  <si>
    <t>U+00DB</t>
  </si>
  <si>
    <t>c3 9b</t>
  </si>
  <si>
    <t>Û</t>
  </si>
  <si>
    <t>LATIN CAPITAL LETTER U WITH CIRCUMFLEX</t>
  </si>
  <si>
    <t>U+00DC</t>
  </si>
  <si>
    <t>c3 9c</t>
  </si>
  <si>
    <t>Ü</t>
  </si>
  <si>
    <t>LATIN CAPITAL LETTER U WITH DIAERESIS</t>
  </si>
  <si>
    <t>U+00DD</t>
  </si>
  <si>
    <t>c3 9d</t>
  </si>
  <si>
    <t>Ý</t>
  </si>
  <si>
    <t>LATIN CAPITAL LETTER Y WITH ACUTE</t>
  </si>
  <si>
    <t>U+00DE</t>
  </si>
  <si>
    <t>c3 9e</t>
  </si>
  <si>
    <t>Þ</t>
  </si>
  <si>
    <t>LATIN CAPITAL LETTER THORN</t>
  </si>
  <si>
    <t>U+00DF</t>
  </si>
  <si>
    <t>c3 9f</t>
  </si>
  <si>
    <t>ß</t>
  </si>
  <si>
    <t>LATIN SMALL LETTER SHARP S</t>
  </si>
  <si>
    <t>U+00E0</t>
  </si>
  <si>
    <t>c3 a0</t>
  </si>
  <si>
    <t>à</t>
  </si>
  <si>
    <t>LATIN SMALL LETTER A WITH GRAVE</t>
  </si>
  <si>
    <t>U+00E1</t>
  </si>
  <si>
    <t>c3 a1</t>
  </si>
  <si>
    <t>á</t>
  </si>
  <si>
    <t>LATIN SMALL LETTER A WITH ACUTE</t>
  </si>
  <si>
    <t>U+00E2</t>
  </si>
  <si>
    <t>c3 a2</t>
  </si>
  <si>
    <t>â</t>
  </si>
  <si>
    <t>LATIN SMALL LETTER A WITH CIRCUMFLEX</t>
  </si>
  <si>
    <t>U+00E3</t>
  </si>
  <si>
    <t>c3 a3</t>
  </si>
  <si>
    <t>ã</t>
  </si>
  <si>
    <t>LATIN SMALL LETTER A WITH TILDE</t>
  </si>
  <si>
    <t>U+00E4</t>
  </si>
  <si>
    <t>c3 a4</t>
  </si>
  <si>
    <t>ä</t>
  </si>
  <si>
    <t>LATIN SMALL LETTER A WITH DIAERESIS</t>
  </si>
  <si>
    <t>U+00E5</t>
  </si>
  <si>
    <t>c3 a5</t>
  </si>
  <si>
    <t>å</t>
  </si>
  <si>
    <t>LATIN SMALL LETTER A WITH RING ABOVE</t>
  </si>
  <si>
    <t>U+00E6</t>
  </si>
  <si>
    <t>c3 a6</t>
  </si>
  <si>
    <t>æ</t>
  </si>
  <si>
    <t>LATIN SMALL LETTER AE</t>
  </si>
  <si>
    <t>U+00E7</t>
  </si>
  <si>
    <t>c3 a7</t>
  </si>
  <si>
    <t>ç</t>
  </si>
  <si>
    <t>LATIN SMALL LETTER C WITH CEDILLA</t>
  </si>
  <si>
    <t>U+00E8</t>
  </si>
  <si>
    <t>c3 a8</t>
  </si>
  <si>
    <t>è</t>
  </si>
  <si>
    <t>LATIN SMALL LETTER E WITH GRAVE</t>
  </si>
  <si>
    <t>U+00E9</t>
  </si>
  <si>
    <t>c3 a9</t>
  </si>
  <si>
    <t>é</t>
  </si>
  <si>
    <t>LATIN SMALL LETTER E WITH ACUTE</t>
  </si>
  <si>
    <t>U+00EA</t>
  </si>
  <si>
    <t>c3 aa</t>
  </si>
  <si>
    <t>ê</t>
  </si>
  <si>
    <t>LATIN SMALL LETTER E WITH CIRCUMFLEX</t>
  </si>
  <si>
    <t>U+00EB</t>
  </si>
  <si>
    <t>c3 ab</t>
  </si>
  <si>
    <t>ë</t>
  </si>
  <si>
    <t>LATIN SMALL LETTER E WITH DIAERESIS</t>
  </si>
  <si>
    <t>U+00EC</t>
  </si>
  <si>
    <t>c3 ac</t>
  </si>
  <si>
    <t>ì</t>
  </si>
  <si>
    <t>LATIN SMALL LETTER I WITH GRAVE</t>
  </si>
  <si>
    <t>U+00ED</t>
  </si>
  <si>
    <t>c3 ad</t>
  </si>
  <si>
    <t>í</t>
  </si>
  <si>
    <t>LATIN SMALL LETTER I WITH ACUTE</t>
  </si>
  <si>
    <t>U+00EE</t>
  </si>
  <si>
    <t>c3 ae</t>
  </si>
  <si>
    <t>î</t>
  </si>
  <si>
    <t>LATIN SMALL LETTER I WITH CIRCUMFLEX</t>
  </si>
  <si>
    <t>U+00EF</t>
  </si>
  <si>
    <t>c3 af</t>
  </si>
  <si>
    <t>ï</t>
  </si>
  <si>
    <t>LATIN SMALL LETTER I WITH DIAERESIS</t>
  </si>
  <si>
    <t>U+00F0</t>
  </si>
  <si>
    <t>c3 b0</t>
  </si>
  <si>
    <t>ð</t>
  </si>
  <si>
    <t>LATIN SMALL LETTER ETH</t>
  </si>
  <si>
    <t>U+00F1</t>
  </si>
  <si>
    <t>c3 b1</t>
  </si>
  <si>
    <t>ñ</t>
  </si>
  <si>
    <t>LATIN SMALL LETTER N WITH TILDE</t>
  </si>
  <si>
    <t>U+00F2</t>
  </si>
  <si>
    <t>c3 b2</t>
  </si>
  <si>
    <t>ò</t>
  </si>
  <si>
    <t>LATIN SMALL LETTER O WITH GRAVE</t>
  </si>
  <si>
    <t>U+00F3</t>
  </si>
  <si>
    <t>c3 b3</t>
  </si>
  <si>
    <t>ó</t>
  </si>
  <si>
    <t>LATIN SMALL LETTER O WITH ACUTE</t>
  </si>
  <si>
    <t>U+00F4</t>
  </si>
  <si>
    <t>c3 b4</t>
  </si>
  <si>
    <t>ô</t>
  </si>
  <si>
    <t>LATIN SMALL LETTER O WITH CIRCUMFLEX</t>
  </si>
  <si>
    <t>U+00F5</t>
  </si>
  <si>
    <t>c3 b5</t>
  </si>
  <si>
    <t>õ</t>
  </si>
  <si>
    <t>LATIN SMALL LETTER O WITH TILDE</t>
  </si>
  <si>
    <t>U+00F6</t>
  </si>
  <si>
    <t>c3 b6</t>
  </si>
  <si>
    <t>ö</t>
  </si>
  <si>
    <t>LATIN SMALL LETTER O WITH DIAERESIS</t>
  </si>
  <si>
    <t>U+00F7</t>
  </si>
  <si>
    <t>c3 b7</t>
  </si>
  <si>
    <t>÷</t>
  </si>
  <si>
    <t>DIVISION SIGN</t>
  </si>
  <si>
    <t>U+00F8</t>
  </si>
  <si>
    <t>c3 b8</t>
  </si>
  <si>
    <t>ø</t>
  </si>
  <si>
    <t>LATIN SMALL LETTER O WITH STROKE</t>
  </si>
  <si>
    <t>U+00F9</t>
  </si>
  <si>
    <t>c3 b9</t>
  </si>
  <si>
    <t>ù</t>
  </si>
  <si>
    <t>LATIN SMALL LETTER U WITH GRAVE</t>
  </si>
  <si>
    <t>U+00FA</t>
  </si>
  <si>
    <t>c3 ba</t>
  </si>
  <si>
    <t>ú</t>
  </si>
  <si>
    <t>LATIN SMALL LETTER U WITH ACUTE</t>
  </si>
  <si>
    <t>U+00FB</t>
  </si>
  <si>
    <t>c3 bb</t>
  </si>
  <si>
    <t>û</t>
  </si>
  <si>
    <t>LATIN SMALL LETTER U WITH CIRCUMFLEX</t>
  </si>
  <si>
    <t>U+00FC</t>
  </si>
  <si>
    <t>c3 bc</t>
  </si>
  <si>
    <t>ü</t>
  </si>
  <si>
    <t>LATIN SMALL LETTER U WITH DIAERESIS</t>
  </si>
  <si>
    <t>U+00FD</t>
  </si>
  <si>
    <t>c3 bd</t>
  </si>
  <si>
    <t>ý</t>
  </si>
  <si>
    <t>LATIN SMALL LETTER Y WITH ACUTE</t>
  </si>
  <si>
    <t>U+00FE</t>
  </si>
  <si>
    <t>c3 be</t>
  </si>
  <si>
    <t>þ</t>
  </si>
  <si>
    <t>LATIN SMALL LETTER THORN</t>
  </si>
  <si>
    <t>U+00FF</t>
  </si>
  <si>
    <t>c3 bf</t>
  </si>
  <si>
    <t>ÿ</t>
  </si>
  <si>
    <t>LATIN SMALL LETTER Y WITH DIAERESIS</t>
  </si>
  <si>
    <t>Game Type/Index for Financial Report</t>
  </si>
  <si>
    <t>0103</t>
  </si>
  <si>
    <t>Totoloto Sábado (inclui Totoloto Quarta)</t>
  </si>
  <si>
    <t>110F</t>
  </si>
  <si>
    <t>Euromilhões Não Disponível</t>
  </si>
  <si>
    <t>120F</t>
  </si>
  <si>
    <t>PLACARD Não Disponível</t>
  </si>
  <si>
    <t>130F</t>
  </si>
  <si>
    <t>M1lhão Não Disponível</t>
  </si>
  <si>
    <t>Fiscal identification confirmation needed flag</t>
  </si>
  <si>
    <t>No fiscal identification confirmation needed</t>
  </si>
  <si>
    <t>Fiscal identification confirmation needed</t>
  </si>
  <si>
    <t>Market type / Period</t>
  </si>
  <si>
    <t>Index</t>
  </si>
  <si>
    <t>SELECTED/NOT SELECTED</t>
  </si>
  <si>
    <t>MONTANTE BASE</t>
  </si>
  <si>
    <t>Event Index</t>
  </si>
  <si>
    <t>1X2 Full time</t>
  </si>
  <si>
    <t>ABP Game ID</t>
  </si>
  <si>
    <t>Ctrl</t>
  </si>
  <si>
    <t>Ctrl2</t>
  </si>
  <si>
    <t>1X2 Half time</t>
  </si>
  <si>
    <t>1X2 Handicap</t>
  </si>
  <si>
    <t>Over / Under</t>
  </si>
  <si>
    <t>COMBINADAS</t>
  </si>
  <si>
    <t>Prog. Template ID</t>
  </si>
  <si>
    <t>Outcome</t>
  </si>
  <si>
    <t>1X2 Full Time - 1X2 Half Time - 1X2 Handicap</t>
  </si>
  <si>
    <t>SIMPLES</t>
  </si>
  <si>
    <t>MÚLTIPLAS</t>
  </si>
  <si>
    <t>Subtype ID</t>
  </si>
  <si>
    <t>Home (1)</t>
  </si>
  <si>
    <t>Draw (X)</t>
  </si>
  <si>
    <t>MONTANTE BASE ( € )</t>
  </si>
  <si>
    <t>Mont Escolhido</t>
  </si>
  <si>
    <t>Away (2)</t>
  </si>
  <si>
    <t>PROGNÓSTICOS</t>
  </si>
  <si>
    <t>Over (+)</t>
  </si>
  <si>
    <t>SubType</t>
  </si>
  <si>
    <t>EVENTO</t>
  </si>
  <si>
    <t>TR</t>
  </si>
  <si>
    <t>INT</t>
  </si>
  <si>
    <t>DESV</t>
  </si>
  <si>
    <t>GM</t>
  </si>
  <si>
    <t>Market</t>
  </si>
  <si>
    <t>Under (-)</t>
  </si>
  <si>
    <t>Sel</t>
  </si>
  <si>
    <t>2 de 3 (3 combin)</t>
  </si>
  <si>
    <t>2 de 4 (6 combin)</t>
  </si>
  <si>
    <t>2 de 5 (10 combin)</t>
  </si>
  <si>
    <t>3 de 4 (4 combin)</t>
  </si>
  <si>
    <t>3 de 5 (10 combin)</t>
  </si>
  <si>
    <t>4 de 5 (5 combin)</t>
  </si>
  <si>
    <t>TR=Tempo Regulamentar; INT=Intervalo; DESV=Desvantagem; GM=Golos Marcados</t>
  </si>
  <si>
    <t>VALIDAÇÕES AO BETSLIP</t>
  </si>
  <si>
    <t>TOTAL SELECÇÕES</t>
  </si>
  <si>
    <t>TIPO APOSTA:</t>
  </si>
  <si>
    <t>SELECÇÕES:</t>
  </si>
  <si>
    <t>MONTANTE:</t>
  </si>
  <si>
    <t>CONTROLO FINAL</t>
  </si>
  <si>
    <t>* Limpar Betslip (CTRL + L)</t>
  </si>
  <si>
    <t>* Desproteger Folha (Pass: 1234)</t>
  </si>
  <si>
    <t>Request Message:</t>
  </si>
  <si>
    <t>* Desproteger folha (Pass: 1234)</t>
  </si>
  <si>
    <t>IGS Wager Header T2C</t>
  </si>
  <si>
    <t>Message:</t>
  </si>
  <si>
    <t># Field</t>
  </si>
  <si>
    <t>Field Description</t>
  </si>
  <si>
    <t>Start</t>
  </si>
  <si>
    <t>End</t>
  </si>
  <si>
    <t>Size</t>
  </si>
  <si>
    <t>Field Contents (HEX)</t>
  </si>
  <si>
    <t>Field Contents (DEC)</t>
  </si>
  <si>
    <t>LABELS</t>
  </si>
  <si>
    <t>Control/Sequence</t>
  </si>
  <si>
    <t>Type = 14 / Subtype = 0</t>
  </si>
  <si>
    <t>Checksum</t>
  </si>
  <si>
    <t>&lt;- Deixar a zero(0) se for para usar no simulador com geração automatica do checksum</t>
  </si>
  <si>
    <t>Statistics</t>
  </si>
  <si>
    <t>&lt;- 128 para indicar que a mensagem é processada pelo simulador</t>
  </si>
  <si>
    <t>Game Type</t>
  </si>
  <si>
    <t>Game Index</t>
  </si>
  <si>
    <t>DETALHES APOSTA</t>
  </si>
  <si>
    <t>Agent Number</t>
  </si>
  <si>
    <t>&lt;- Usar o agent number 101109(DPLX) ou 3000002(SCML) para o terminal 6.</t>
  </si>
  <si>
    <t>Message Id</t>
  </si>
  <si>
    <t>&lt;- Deixar a zero(0) se for para usar no simulador com geração automatica do message id</t>
  </si>
  <si>
    <t>Subtype Id</t>
  </si>
  <si>
    <t>Player NIF</t>
  </si>
  <si>
    <t>&lt;- Introduzir aqui o NIF a utilizar para o registo da aposta.</t>
  </si>
  <si>
    <t>Unit Stake of the Bet</t>
  </si>
  <si>
    <t xml:space="preserve">Number of Selections </t>
  </si>
  <si>
    <t>DETALHES DAS SELEÇÕES</t>
  </si>
  <si>
    <t>Programme Template Id</t>
  </si>
  <si>
    <t>Market Type Period Index</t>
  </si>
  <si>
    <t>Outcome Index</t>
  </si>
  <si>
    <t>example:</t>
  </si>
  <si>
    <t>IGS Oddset Details T2C</t>
  </si>
  <si>
    <t>in cents</t>
  </si>
  <si>
    <t>max of 8 selections</t>
  </si>
  <si>
    <t>IGS Selections Details T2C</t>
  </si>
  <si>
    <t>max size of 91 bytes</t>
  </si>
  <si>
    <t>IGS Wager Header C2T</t>
  </si>
  <si>
    <t xml:space="preserve">e3 cb cc 12 01 00 00 00 00 12 08 08 0c 01 c5 20 4c 65 01 da 07 e2 08 08 0c 1b 05 00 00 04 c4 00 00 00 00 00 00 04 c4 </t>
  </si>
  <si>
    <t>IGS Oddset Details C2T</t>
  </si>
  <si>
    <t>Bet Slip Reference Number</t>
  </si>
  <si>
    <t xml:space="preserve">YY/MM/DD (1 byte/ 1 byte/ 1 byte) | ABP GAME ID (1 byte)| SERIAL NUMBER (5 bytes) |  CHECK DIGITS (2 bytes) </t>
  </si>
  <si>
    <t>Bet Slip Creation Date</t>
  </si>
  <si>
    <t>YYYY/MM/DD (2 bytes/ 1 byte/1 byte)</t>
  </si>
  <si>
    <t>Bet Slip Creation Time</t>
  </si>
  <si>
    <t>HH:MI:SS (1 byte/ 1 byte/ 1 byte)</t>
  </si>
  <si>
    <t>Last Event Date</t>
  </si>
  <si>
    <t>Unit Stake</t>
  </si>
  <si>
    <t>Total Stake</t>
  </si>
  <si>
    <t>Maximum Possible Returns</t>
  </si>
  <si>
    <t>Number of Bets</t>
  </si>
  <si>
    <t>IGS Selections Details C2T</t>
  </si>
  <si>
    <t>max size of 228 bytes</t>
  </si>
  <si>
    <t>Event ID</t>
  </si>
  <si>
    <t>Event Path ID Country</t>
  </si>
  <si>
    <t>Event Path ID Sport</t>
  </si>
  <si>
    <t>Event Path ID Competition</t>
  </si>
  <si>
    <t>Home Opponent ID</t>
  </si>
  <si>
    <t>Away Opponent ID</t>
  </si>
  <si>
    <t>Odd</t>
  </si>
  <si>
    <t>Handicap Value</t>
  </si>
  <si>
    <t>IGS Cancellation Header T2C</t>
  </si>
  <si>
    <t>Type = 14 / Subtype = 1</t>
  </si>
  <si>
    <t>IGS Cancellation Details T2C</t>
  </si>
  <si>
    <t>IGS Cancellation Message C2T</t>
  </si>
  <si>
    <t>Cancellation Reference Number</t>
  </si>
  <si>
    <t>Cancellation Date</t>
  </si>
  <si>
    <t>Cancellation Time</t>
  </si>
  <si>
    <t>Refund Amount</t>
  </si>
  <si>
    <t>IGS Validation Header T2C</t>
  </si>
  <si>
    <t>Type = 14 / Subtype = 2</t>
  </si>
  <si>
    <t>IGS Validation Details T2C</t>
  </si>
  <si>
    <t>IGS Validation Message C2T</t>
  </si>
  <si>
    <t xml:space="preserve">2a ef 69 a4 12 01 e2 03 52 50 4d 2d 30 30 33 30 38 53 65 6d 20 50 72 c3 a9 6d 69 6f 2e </t>
  </si>
  <si>
    <t>NIF Confirmation Needed Flag</t>
  </si>
  <si>
    <t>Validation Date</t>
  </si>
  <si>
    <t>Validation Time</t>
  </si>
  <si>
    <t>Prize Amount</t>
  </si>
  <si>
    <t>Tax Amount</t>
  </si>
  <si>
    <t>Net Prize Amount</t>
  </si>
  <si>
    <t>IGS Payment Success Header T2C</t>
  </si>
  <si>
    <t xml:space="preserve">8a 29 e3 cb cc 12 01 00 00 00 00 12 08 08 0c 01 c5 20 4c 65 01 da 07 e2 08 08 0c 1b 05 00 00 04 c4 00 00 00 00 00 00 04 c4 </t>
  </si>
  <si>
    <t>Type = 14 / Subtype = 3</t>
  </si>
  <si>
    <t>IGS Payment Details T2C</t>
  </si>
  <si>
    <t>IGS Payment Data T2C</t>
  </si>
  <si>
    <t>This will be settled when payment mode is 1</t>
  </si>
  <si>
    <t xml:space="preserve">Player ID Type </t>
  </si>
  <si>
    <t xml:space="preserve">Player ID </t>
  </si>
  <si>
    <t>Value of Telephone Number or Player Card Number</t>
  </si>
  <si>
    <t>NIB</t>
  </si>
  <si>
    <t>Bank Branch</t>
  </si>
  <si>
    <t>Bank Office</t>
  </si>
  <si>
    <t>Account Number</t>
  </si>
  <si>
    <t>Check Digits</t>
  </si>
  <si>
    <t>IGS Payment With Prize Header C2T</t>
  </si>
  <si>
    <t xml:space="preserve">29 e3 cb cc 12 01 00 00 00 00 12 08 08 0c 01 c5 20 4c 65 01 da 07 e2 08 08 0c 1b 05 00 00 04 c4 00 00 00 00 00 00 04 c4 </t>
  </si>
  <si>
    <t>Payment Reference Number</t>
  </si>
  <si>
    <t>Payment Date</t>
  </si>
  <si>
    <t>Payment Time</t>
  </si>
  <si>
    <t xml:space="preserve">Tax Amount </t>
  </si>
  <si>
    <t>IGS Reprint T2C</t>
  </si>
  <si>
    <t>Type = 8 / Subtype</t>
  </si>
  <si>
    <t>IGS Reprint Header C2T</t>
  </si>
  <si>
    <t>Type = 8 / Subtype = 12</t>
  </si>
  <si>
    <t>Reprint Type</t>
  </si>
  <si>
    <t>IGS Oddset Wager Reprint C2T</t>
  </si>
  <si>
    <t>IGS Oddset Payment Reprint C2T</t>
  </si>
  <si>
    <t>IGS Oddset Cancellation Reprint C2T</t>
  </si>
  <si>
    <t>IGS Reprint Request C2IGS</t>
  </si>
  <si>
    <t>MIL Header</t>
  </si>
  <si>
    <t>Subtypes:</t>
  </si>
  <si>
    <t>Cross Reference Number</t>
  </si>
  <si>
    <t>1 = Last Transaction</t>
  </si>
  <si>
    <t>Host Buffer Number</t>
  </si>
  <si>
    <t>2 = Last Wager</t>
  </si>
  <si>
    <t>Host CDC Date</t>
  </si>
  <si>
    <t>4 = Last Payment</t>
  </si>
  <si>
    <t>Terminal Number</t>
  </si>
  <si>
    <t>Control / Sequence</t>
  </si>
  <si>
    <t>Game Type = 18</t>
  </si>
  <si>
    <t>Game Index = 1</t>
  </si>
  <si>
    <t>Message ID</t>
  </si>
  <si>
    <t>IGS Wager Reprint Response IGS2C</t>
  </si>
  <si>
    <t>Reprint Type = 1</t>
  </si>
  <si>
    <t>IGS Payment Reprint Response IGS2C</t>
  </si>
  <si>
    <t>Reprint Type = 2</t>
  </si>
  <si>
    <t>IGS Payment Data Responde IGS2C</t>
  </si>
  <si>
    <t>IGS Cancel Reprint Response IGS2C</t>
  </si>
  <si>
    <t>Reprint Type = 3</t>
  </si>
  <si>
    <t>IGS Game Programme Header T2C</t>
  </si>
  <si>
    <t>Type/Subtype</t>
  </si>
  <si>
    <t>IGS Media Programme Details T2C</t>
  </si>
  <si>
    <t>Segment Number</t>
  </si>
  <si>
    <r>
      <t>1</t>
    </r>
    <r>
      <rPr>
        <vertAlign val="superscript"/>
        <sz val="11"/>
        <color theme="1"/>
        <rFont val="Calibri"/>
        <family val="2"/>
        <scheme val="minor"/>
      </rPr>
      <t>st</t>
    </r>
    <r>
      <rPr>
        <sz val="11"/>
        <color theme="1"/>
        <rFont val="Calibri"/>
        <family val="2"/>
        <scheme val="minor"/>
      </rPr>
      <t xml:space="preserve"> segment = 0x01</t>
    </r>
  </si>
  <si>
    <t>Media ID</t>
  </si>
  <si>
    <t>Programme Template ID</t>
  </si>
  <si>
    <t>Media Version</t>
  </si>
  <si>
    <r>
      <t>1</t>
    </r>
    <r>
      <rPr>
        <vertAlign val="superscript"/>
        <sz val="11"/>
        <color theme="1"/>
        <rFont val="Calibri"/>
        <family val="2"/>
        <scheme val="minor"/>
      </rPr>
      <t>st</t>
    </r>
    <r>
      <rPr>
        <sz val="11"/>
        <color theme="1"/>
        <rFont val="Calibri"/>
        <family val="2"/>
        <scheme val="minor"/>
      </rPr>
      <t xml:space="preserve"> segment = 0x00</t>
    </r>
  </si>
  <si>
    <t>IGS Game Programme Header C2T</t>
  </si>
  <si>
    <t>Report Date</t>
  </si>
  <si>
    <t>Report Time</t>
  </si>
  <si>
    <t xml:space="preserve"> Number of Segments</t>
  </si>
  <si>
    <t>Number of Competitions = C</t>
  </si>
  <si>
    <t>REPLICAR ESTE BLOCO EM CONFORMIDADE COM A DIMENSÃO DA MENSAGEM</t>
  </si>
  <si>
    <t>competition</t>
  </si>
  <si>
    <t>Number of Events = E</t>
  </si>
  <si>
    <t>Event</t>
  </si>
  <si>
    <t>Event Date</t>
  </si>
  <si>
    <t>Event Time</t>
  </si>
  <si>
    <t>Number of Markets = M</t>
  </si>
  <si>
    <t>Market Type ID</t>
  </si>
  <si>
    <t>Period ID</t>
  </si>
  <si>
    <t xml:space="preserve">Handicap Value </t>
  </si>
  <si>
    <t>Number of Outcomes = O</t>
  </si>
  <si>
    <t>Outcome Index 1 | Odd 1</t>
  </si>
  <si>
    <t>Outcome Index 1 | Odd 2</t>
  </si>
  <si>
    <t>Outcome Index 1 | Odd 3</t>
  </si>
  <si>
    <t>Outcome Index 1 | Odd 4</t>
  </si>
  <si>
    <t>Outcome Index 1 | Odd 5</t>
  </si>
  <si>
    <t>Outcome Index 1 | Odd 6</t>
  </si>
  <si>
    <t>Outcome Index 1 | Odd 7</t>
  </si>
  <si>
    <t>Outcome Index 1 | Odd 8</t>
  </si>
  <si>
    <t>Outcome Index 1 | Odd 9</t>
  </si>
  <si>
    <t>Outcome Index 1 | Odd 10</t>
  </si>
  <si>
    <t>Outcome Index 1 | Odd 11</t>
  </si>
  <si>
    <t>Outcome Index 1 | Odd 12</t>
  </si>
  <si>
    <t>Outcome Index 1 | Odd 13</t>
  </si>
  <si>
    <t>Outcome Index 1 | Odd 14</t>
  </si>
  <si>
    <t>Outcome Index 1 | Odd 15</t>
  </si>
  <si>
    <t>Outcome Index 1 | Odd 16</t>
  </si>
  <si>
    <t>Outcome Index 1 | Odd 17</t>
  </si>
  <si>
    <t>Outcome Index 1 | Odd 18</t>
  </si>
  <si>
    <t>Outcome Index 1 | Odd 19</t>
  </si>
  <si>
    <t>Outcome Index 1 | Odd 20</t>
  </si>
  <si>
    <t>Outcome Index 1 | Odd 21</t>
  </si>
  <si>
    <t>Outcome Index 1 | Odd 22</t>
  </si>
  <si>
    <t>Outcome Index 1 | Odd 23</t>
  </si>
  <si>
    <t>Outcome Index 1 | Odd 24</t>
  </si>
  <si>
    <t>Outcome Index 1 | Odd 25</t>
  </si>
  <si>
    <t>Outcome Index 1 | Odd 26</t>
  </si>
  <si>
    <t>Outcome Index 1 | Odd 27</t>
  </si>
  <si>
    <t>Outcome Index 1 | Odd 28</t>
  </si>
  <si>
    <t>Outcome Index 1 | Odd 29</t>
  </si>
  <si>
    <t>Outcome Index 1 | Odd 30</t>
  </si>
  <si>
    <t>Outcome Index 1 | Odd 31</t>
  </si>
  <si>
    <t>Outcome Index 1 | Odd 32</t>
  </si>
  <si>
    <t>Outcome Index 1 | Odd 33</t>
  </si>
  <si>
    <t>Outcome Index 1 | Odd 34</t>
  </si>
  <si>
    <t>Outcome Index 1 | Odd 35</t>
  </si>
  <si>
    <t>Outcome Index 1 | Odd 36</t>
  </si>
  <si>
    <t>Outcome Index 1 | Odd 37</t>
  </si>
  <si>
    <t>Outcome Index 1 | Odd 38</t>
  </si>
  <si>
    <t>Outcome Index 1 | Odd 39</t>
  </si>
  <si>
    <t>Outcome Index 1 | Odd 40</t>
  </si>
  <si>
    <t>Outcome Index 1 | Odd 41</t>
  </si>
  <si>
    <t>Outcome Index 1 | Odd 42</t>
  </si>
  <si>
    <t>Outcome Index 1 | Odd 43</t>
  </si>
  <si>
    <t>Outcome Index 1 | Odd 44</t>
  </si>
  <si>
    <t>Outcome Index 1 | Odd 45</t>
  </si>
  <si>
    <t>Outcome Index 1 | Odd 46</t>
  </si>
  <si>
    <t>Outcome Index 1 | Odd 47</t>
  </si>
  <si>
    <t>Outcome Index 1 | Odd 48</t>
  </si>
  <si>
    <t>Outcome Index 1 | Odd 49</t>
  </si>
  <si>
    <t>Outcome Index 1 | Odd 50</t>
  </si>
  <si>
    <t>Outcome Index 1 | Odd 51</t>
  </si>
  <si>
    <t>Outcome Index 1 | Odd 52</t>
  </si>
  <si>
    <t>Outcome Index 1 | Odd 53</t>
  </si>
  <si>
    <t>Outcome Index 1 | Odd 54</t>
  </si>
  <si>
    <t>Outcome Index 1 | Odd 55</t>
  </si>
  <si>
    <t>Outcome Index 1 | Odd 56</t>
  </si>
  <si>
    <t>Outcome Index 1 | Odd 57</t>
  </si>
  <si>
    <t>Outcome Index 1 | Odd 58</t>
  </si>
  <si>
    <t>Outcome Index 1 | Odd 59</t>
  </si>
  <si>
    <t>Outcome Index 1 | Odd 60</t>
  </si>
  <si>
    <t>Outcome Index 1 | Odd 61</t>
  </si>
  <si>
    <t>Outcome Index 1 | Odd 62</t>
  </si>
  <si>
    <t>Outcome Index 1 | Odd 63</t>
  </si>
  <si>
    <t>Outcome Index 1 | Odd 64</t>
  </si>
  <si>
    <t>Outcome Index 1 | Odd 65</t>
  </si>
  <si>
    <t>Outcome Index 1 | Odd 66</t>
  </si>
  <si>
    <t>Outcome Index 1 | Odd 67</t>
  </si>
  <si>
    <t>Outcome Index 1 | Odd 68</t>
  </si>
  <si>
    <t>Outcome Index 1 | Odd 69</t>
  </si>
  <si>
    <t>Outcome Index 1 | Odd 70</t>
  </si>
  <si>
    <t>Outcome Index 1 | Odd 71</t>
  </si>
  <si>
    <t>Outcome Index 1 | Odd 72</t>
  </si>
  <si>
    <t>Outcome Index 1 | Odd 73</t>
  </si>
  <si>
    <t>Outcome Index 1 | Odd 74</t>
  </si>
  <si>
    <t>Outcome Index 1 | Odd 75</t>
  </si>
  <si>
    <t>Outcome Index 1 | Odd 76</t>
  </si>
  <si>
    <t>Outcome Index 1 | Odd 77</t>
  </si>
  <si>
    <t>Outcome Index 1 | Odd 78</t>
  </si>
  <si>
    <t>Outcome Index 1 | Odd 79</t>
  </si>
  <si>
    <t>Outcome Index 1 | Odd 80</t>
  </si>
  <si>
    <t>Outcome Index 1 | Odd 81</t>
  </si>
  <si>
    <t>Outcome Index 1 | Odd 82</t>
  </si>
  <si>
    <t>Outcome Index 1 | Odd 83</t>
  </si>
  <si>
    <t>Outcome Index 1 | Odd 84</t>
  </si>
  <si>
    <t>Outcome Index 1 | Odd 85</t>
  </si>
  <si>
    <t>Outcome Index 1 | Odd 86</t>
  </si>
  <si>
    <t>Outcome Index 1 | Odd 87</t>
  </si>
  <si>
    <t>Outcome Index 1 | Odd 88</t>
  </si>
  <si>
    <t>Outcome Index 1 | Odd 89</t>
  </si>
  <si>
    <t>Outcome Index 1 | Odd 90</t>
  </si>
  <si>
    <t>Outcome Index 1 | Odd 91</t>
  </si>
  <si>
    <t>Outcome Index 1 | Odd 92</t>
  </si>
  <si>
    <t>Outcome Index 1 | Odd 93</t>
  </si>
  <si>
    <t>* Limpar campos CTRL + M</t>
  </si>
  <si>
    <t>IGSSIM SEGMENTS BLOCK TO COPY</t>
  </si>
  <si>
    <t>IGS Game Programme Response Message Builder</t>
  </si>
  <si>
    <t>-&gt; CAMPOS A PREENCHER</t>
  </si>
  <si>
    <t xml:space="preserve"> </t>
  </si>
  <si>
    <t>Seg. 2</t>
  </si>
  <si>
    <t>Seg. 3</t>
  </si>
  <si>
    <t>Final Response Mess:</t>
  </si>
  <si>
    <t>Seg. 4</t>
  </si>
  <si>
    <t>Seg. 5</t>
  </si>
  <si>
    <t>Insert Request 1:</t>
  </si>
  <si>
    <t>Seg. 6</t>
  </si>
  <si>
    <t>Insert Response 1:</t>
  </si>
  <si>
    <t>Seg. 7</t>
  </si>
  <si>
    <t>Seg. 8</t>
  </si>
  <si>
    <t># of Segments:</t>
  </si>
  <si>
    <t>Media Version:</t>
  </si>
  <si>
    <t>Seg. 9</t>
  </si>
  <si>
    <t>Seg. 10</t>
  </si>
  <si>
    <t>Seg. 11</t>
  </si>
  <si>
    <t>IGSSIM Format:</t>
  </si>
  <si>
    <t>Seg. 12</t>
  </si>
  <si>
    <t>Seg. 13</t>
  </si>
  <si>
    <t>Seg. 14</t>
  </si>
  <si>
    <t>Seg. 15</t>
  </si>
  <si>
    <t>Seg. 16</t>
  </si>
  <si>
    <t>Seg. 17</t>
  </si>
  <si>
    <t>Seg. 18</t>
  </si>
  <si>
    <t>Seg. 19</t>
  </si>
  <si>
    <t>Seg. 20</t>
  </si>
  <si>
    <t>Seg. 21</t>
  </si>
  <si>
    <t>Seg. 22</t>
  </si>
  <si>
    <t>Seg. 23</t>
  </si>
  <si>
    <t>Seg. 24</t>
  </si>
  <si>
    <t>Seg. 25</t>
  </si>
  <si>
    <t>Seg. 26</t>
  </si>
  <si>
    <t>Seg. 27</t>
  </si>
  <si>
    <t>Seg. 28</t>
  </si>
  <si>
    <t>Seg. 29</t>
  </si>
  <si>
    <t>Seg. 30</t>
  </si>
  <si>
    <t>Request 8:</t>
  </si>
  <si>
    <t>Insert Response 8:</t>
  </si>
  <si>
    <t>Segment 8:</t>
  </si>
  <si>
    <t>Financial Reports T2C</t>
  </si>
  <si>
    <t>Report Type:</t>
  </si>
  <si>
    <t>0 = Regular (Reg., AFT, Con or Priv.)</t>
  </si>
  <si>
    <t>Type = 6 / Subtype = 3</t>
  </si>
  <si>
    <t>1 = Specific Agent (Con, AFT, or Priv.)</t>
  </si>
  <si>
    <t>Reg.=A regular terminal can only request report type 1 reports.</t>
  </si>
  <si>
    <t>Class</t>
  </si>
  <si>
    <t>Priv.=A privileged terminal can request a report for any Agent.</t>
  </si>
  <si>
    <t>Subclass</t>
  </si>
  <si>
    <t xml:space="preserve">AFT=An AFT (Associated Flex Terminal) can request a report for its POST Agent No. </t>
  </si>
  <si>
    <t>Report Password Number</t>
  </si>
  <si>
    <t>Agent Number to Report On</t>
  </si>
  <si>
    <t>Only contains valid data if the Agent is privileged, otherwise is filled with 0's.</t>
  </si>
  <si>
    <t>Total Summary Report C2T</t>
  </si>
  <si>
    <t xml:space="preserve">2C 63 9D B9 12 30 21 11 00 00 16 D1 00 2D C6 C8 01 00 00 00 00 00 00 00 00 00 00 00 00 04 00 00 01 68 00 00 00 00 00 00 00 00 00 00 00 00 00 00 00 00 00 00 00 00 00 00 00 00 00 00 00 00 00 00 00 00 00 00 00 00 00 00 00 00 00 00 00 04 00 00 00 00 00 00 01 68 </t>
  </si>
  <si>
    <t>System Availability Flags:</t>
  </si>
  <si>
    <t>x1 - LGS System Not Available</t>
  </si>
  <si>
    <t>x2 - ABP System Not Available</t>
  </si>
  <si>
    <t>x4 - Not defined</t>
  </si>
  <si>
    <t>Time</t>
  </si>
  <si>
    <t>x8 - Not defined</t>
  </si>
  <si>
    <t>Sys Availability Flags / Class = 1</t>
  </si>
  <si>
    <t>Subclass = 0-8</t>
  </si>
  <si>
    <t>0 = Regular</t>
  </si>
  <si>
    <t>CDC Date</t>
  </si>
  <si>
    <t>1 = Specific Agent (AFT or Priv.)</t>
  </si>
  <si>
    <t>2 - 4 = Not Applicable</t>
  </si>
  <si>
    <t>Clerk Number (in Today Report)</t>
  </si>
  <si>
    <t>Options Flag</t>
  </si>
  <si>
    <t>Subclass:</t>
  </si>
  <si>
    <r>
      <t xml:space="preserve">Cancels Count </t>
    </r>
    <r>
      <rPr>
        <sz val="11"/>
        <color rgb="FFFF0000"/>
        <rFont val="Calibri"/>
        <family val="2"/>
        <scheme val="minor"/>
      </rPr>
      <t>(*)</t>
    </r>
  </si>
  <si>
    <t>0 = Today</t>
  </si>
  <si>
    <r>
      <t xml:space="preserve">Cancels Amounts </t>
    </r>
    <r>
      <rPr>
        <sz val="11"/>
        <color rgb="FFFF0000"/>
        <rFont val="Calibri"/>
        <family val="2"/>
        <scheme val="minor"/>
      </rPr>
      <t>(*)</t>
    </r>
  </si>
  <si>
    <t>1 - 7 = Monday - Sunday</t>
  </si>
  <si>
    <r>
      <t xml:space="preserve">Net Sales Count </t>
    </r>
    <r>
      <rPr>
        <sz val="11"/>
        <color rgb="FFFF0000"/>
        <rFont val="Calibri"/>
        <family val="2"/>
        <scheme val="minor"/>
      </rPr>
      <t>(*)</t>
    </r>
  </si>
  <si>
    <t>8 = Weekly</t>
  </si>
  <si>
    <r>
      <t xml:space="preserve">Net Sales Amount </t>
    </r>
    <r>
      <rPr>
        <sz val="11"/>
        <color rgb="FFFF0000"/>
        <rFont val="Calibri"/>
        <family val="2"/>
        <scheme val="minor"/>
      </rPr>
      <t>(*)</t>
    </r>
  </si>
  <si>
    <r>
      <t xml:space="preserve">Cash Count </t>
    </r>
    <r>
      <rPr>
        <sz val="11"/>
        <color rgb="FFFF0000"/>
        <rFont val="Calibri"/>
        <family val="2"/>
        <scheme val="minor"/>
      </rPr>
      <t>(*)</t>
    </r>
  </si>
  <si>
    <r>
      <t xml:space="preserve">Cash Amount </t>
    </r>
    <r>
      <rPr>
        <sz val="11"/>
        <color rgb="FFFF0000"/>
        <rFont val="Calibri"/>
        <family val="2"/>
        <scheme val="minor"/>
      </rPr>
      <t>(*)</t>
    </r>
  </si>
  <si>
    <t>validation units, including refunds</t>
  </si>
  <si>
    <t>Instant Sales Count</t>
  </si>
  <si>
    <t>Instant Sales Amount</t>
  </si>
  <si>
    <t>Option Flag:</t>
  </si>
  <si>
    <t>Instant Cash Count</t>
  </si>
  <si>
    <t>0x80 = More Flag</t>
  </si>
  <si>
    <t>Instant Cash Amount</t>
  </si>
  <si>
    <t>0xFF = Last Segment</t>
  </si>
  <si>
    <t>Misc Sales Count</t>
  </si>
  <si>
    <t>Misc Sales Amount</t>
  </si>
  <si>
    <t>Petty Cash Count</t>
  </si>
  <si>
    <t>Petty Cash Amount</t>
  </si>
  <si>
    <r>
      <t xml:space="preserve">Total Cash Count </t>
    </r>
    <r>
      <rPr>
        <sz val="11"/>
        <color rgb="FFFF0000"/>
        <rFont val="Calibri"/>
        <family val="2"/>
        <scheme val="minor"/>
      </rPr>
      <t>(*)</t>
    </r>
  </si>
  <si>
    <r>
      <t xml:space="preserve">Total Cash Amount </t>
    </r>
    <r>
      <rPr>
        <sz val="11"/>
        <color rgb="FFFF0000"/>
        <rFont val="Calibri"/>
        <family val="2"/>
        <scheme val="minor"/>
      </rPr>
      <t>(*)</t>
    </r>
  </si>
  <si>
    <t>(*) The corresponding Placard value is added to this field.</t>
  </si>
  <si>
    <t>Total On-Line Sales Report C2T</t>
  </si>
  <si>
    <t xml:space="preserve">2D 63 AB 73 12 30 2C 02 00 00 16 D1 00 2D C6 C8 00 0C 11 0F 13 0F 12 01 02 01 01 01 02 02 01 02 04 01 01 03 10 01 10 02 02 03 00 00 00 00 00 00 00 00 00 00 00 00 00 00 00 00 00 00 00 00 00 00 00 00 00 00 00 01 00 00 00 50 00 00 00 00 00 00 00 00 00 00 00 00 00 00 00 00 00 00 00 00 00 00 00 00 00 00 00 01 00 00 00 64 00 00 00 02 00 00 00 B4 00 00 00 00 00 00 00 00 00 00 00 00 00 00 00 00 00 00 00 00 00 00 00 00 00 00 00 04 00 00 00 00 00 00 01 68 00 00 00 00 00 00 00 00 00 00 00 00 00 00 00 00 00 00 00 00 00 00 00 00 </t>
  </si>
  <si>
    <t>Class = 2</t>
  </si>
  <si>
    <t>Options byte</t>
  </si>
  <si>
    <t>Number of games sent = K</t>
  </si>
  <si>
    <t>Game Type / Game Index</t>
  </si>
  <si>
    <t>Net Sales Count for Game 1</t>
  </si>
  <si>
    <t>Net Sales Amount for Game 1</t>
  </si>
  <si>
    <t>Net Sales Count for Game 2</t>
  </si>
  <si>
    <t>Net Sales Amount for Game 2</t>
  </si>
  <si>
    <t>Net Sales Count for Game 3</t>
  </si>
  <si>
    <t>Net Sales Amount for Game 3</t>
  </si>
  <si>
    <t>Net Sales Count for Game 4</t>
  </si>
  <si>
    <t>Net Sales Amount for Game 4</t>
  </si>
  <si>
    <t>Net Sales Count for Game 5</t>
  </si>
  <si>
    <t>Net Sales Amount for Game 5</t>
  </si>
  <si>
    <t>Net Sales Count for Game 6</t>
  </si>
  <si>
    <t>Net Sales Amount for Game 6</t>
  </si>
  <si>
    <t>Net Sales Count for Game 7</t>
  </si>
  <si>
    <t>Net Sales Amount for Game 7</t>
  </si>
  <si>
    <t>Net Sales Count for Game 8</t>
  </si>
  <si>
    <t>Net Sales Amount for Game 8</t>
  </si>
  <si>
    <t>Net Sales Count for Game 9</t>
  </si>
  <si>
    <t>Net Sales Amount for Game 9</t>
  </si>
  <si>
    <t>Net Sales Count for Game 10</t>
  </si>
  <si>
    <t>Net Sales Amount for Game 10</t>
  </si>
  <si>
    <t>Net Sales Count for Game 11</t>
  </si>
  <si>
    <t>Net Sales Amount for Game 11</t>
  </si>
  <si>
    <t>Net Sales Count for Game 12</t>
  </si>
  <si>
    <t>Net Sales Amount for Game 12</t>
  </si>
  <si>
    <t xml:space="preserve">Total Sales Count </t>
  </si>
  <si>
    <t>Total Sales Amount</t>
  </si>
  <si>
    <t>Return Count for Passive 1</t>
  </si>
  <si>
    <t>Return Amount for Passive 1</t>
  </si>
  <si>
    <t>Return Count for Passive 2</t>
  </si>
  <si>
    <t>Return Amount for Passive 2</t>
  </si>
  <si>
    <t xml:space="preserve">Total Return Count </t>
  </si>
  <si>
    <t>Total Return Amount</t>
  </si>
  <si>
    <t>Total On-Line Validations Report C2T</t>
  </si>
  <si>
    <t xml:space="preserve">2E 63 78 28 12 30 36 04 00 00 16 D1 00 2D C6 C8 00 0C 11 0F 13 0F 12 01 02 01 01 01 02 02 01 02 04 01 01 03 10 01 10 02 02 03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</t>
  </si>
  <si>
    <t>Class = 4</t>
  </si>
  <si>
    <t>Cash Count for Game 1</t>
  </si>
  <si>
    <t>Cash Amount for Game 1</t>
  </si>
  <si>
    <t>Cash Count for Game 2</t>
  </si>
  <si>
    <t>Cash Amount for Game 2</t>
  </si>
  <si>
    <t>Cash Count for Game 3</t>
  </si>
  <si>
    <t>Cash Amount for Game 3</t>
  </si>
  <si>
    <t>Cash Count for Game 4</t>
  </si>
  <si>
    <t>Cash Amount for Game 4</t>
  </si>
  <si>
    <t>Cash Count for Game 5</t>
  </si>
  <si>
    <t>Cash Amount for Game 5</t>
  </si>
  <si>
    <t>Cash Count for Game 6</t>
  </si>
  <si>
    <t>Cash Amount for Game 6</t>
  </si>
  <si>
    <t>Cash Count for Game 7</t>
  </si>
  <si>
    <t>Cash Amount for Game 7</t>
  </si>
  <si>
    <t>Cash Count for Game 8</t>
  </si>
  <si>
    <t>Cash Amount for Game 8</t>
  </si>
  <si>
    <t>Cash Count for Game 9</t>
  </si>
  <si>
    <t>Cash Amount for Game 9</t>
  </si>
  <si>
    <t>Cash Count for Game 10</t>
  </si>
  <si>
    <t>Cash Amount for Game 10</t>
  </si>
  <si>
    <t>Cash Count for Game 11</t>
  </si>
  <si>
    <t>Cash Amount for Game 11</t>
  </si>
  <si>
    <t>Cash Count for Game 12</t>
  </si>
  <si>
    <t>Cash Amount for Game 12</t>
  </si>
  <si>
    <t>Cash Count for Instant Validations</t>
  </si>
  <si>
    <t>Cash Amount for Inst Validations</t>
  </si>
  <si>
    <t xml:space="preserve">Total Count </t>
  </si>
  <si>
    <t>Total Amount (I8)</t>
  </si>
  <si>
    <t>Total On-Line Remunerations Report C2T</t>
  </si>
  <si>
    <t xml:space="preserve">2F 63 A3 3E 12 31 12 08 00 00 16 D1 00 2D C6 C8 00 0C 11 0F 13 0F 12 01 02 01 01 01 02 02 01 02 04 01 01 03 10 01 10 02 02 03 00 00 00 00 00 00 00 00 00 00 00 00 00 00 00 00 00 00 00 00 00 00 00 00 00 00 00 00 00 00 00 06 00 00 00 00 00 00 00 00 00 00 00 00 00 00 00 00 00 00 00 00 00 00 00 00 00 00 00 00 00 00 00 07 00 00 00 00 00 00 00 0C 00 00 00 00 00 00 00 00 00 00 00 00 00 00 00 00 00 00 00 00 00 00 00 00 00 00 00 00 00 00 00 19 </t>
  </si>
  <si>
    <t>Class = 8</t>
  </si>
  <si>
    <t xml:space="preserve">Remuneration Amt for Game 1 </t>
  </si>
  <si>
    <t>Remuneration Amt for Game 2</t>
  </si>
  <si>
    <t>Remuneration Amt for Game 3</t>
  </si>
  <si>
    <t>Remuneration Amt for Game 4</t>
  </si>
  <si>
    <t>Remuneration Amt for Game 5</t>
  </si>
  <si>
    <t>Remuneration Amt for Game 6</t>
  </si>
  <si>
    <t>Remuneration Amt for Game 7</t>
  </si>
  <si>
    <t>Remuneration Amt for Game 8</t>
  </si>
  <si>
    <t>Remuneration Amt for Game 9</t>
  </si>
  <si>
    <t>Remuneration Amt for Game 10</t>
  </si>
  <si>
    <t>Remuneration Amt for Game 11</t>
  </si>
  <si>
    <t>Remuneration Amt for Game 12</t>
  </si>
  <si>
    <t>Accountability Reports T2C</t>
  </si>
  <si>
    <t>Subtype:</t>
  </si>
  <si>
    <t>10 = Accountability Report</t>
  </si>
  <si>
    <t>Type = 6 / Subtype = 10</t>
  </si>
  <si>
    <t>1 = Prestação de Contas de AM &amp; EM &amp; Placard</t>
  </si>
  <si>
    <t>Class = 1</t>
  </si>
  <si>
    <t>Só existe a class = 1</t>
  </si>
  <si>
    <t>2 = Prestação de Contas de Lotaria Instantânea</t>
  </si>
  <si>
    <t>3 = Prestação de Contas de Lotaria Nacional</t>
  </si>
  <si>
    <t>Accountability Year</t>
  </si>
  <si>
    <t>4 = Total de Ajustes e Total Global do Mediador</t>
  </si>
  <si>
    <t>Accountability Round</t>
  </si>
  <si>
    <t>Report Pass Number</t>
  </si>
  <si>
    <t>Prestação de Contas AM &amp; EM &amp; M1 &amp; PL C2T</t>
  </si>
  <si>
    <r>
      <t xml:space="preserve">Accountability CDC Start Date </t>
    </r>
    <r>
      <rPr>
        <sz val="11"/>
        <color rgb="FFFF0000"/>
        <rFont val="Calibri"/>
        <family val="2"/>
        <scheme val="minor"/>
      </rPr>
      <t>(***)</t>
    </r>
  </si>
  <si>
    <r>
      <t xml:space="preserve">Accountability CDC End Date </t>
    </r>
    <r>
      <rPr>
        <sz val="11"/>
        <color rgb="FFFF0000"/>
        <rFont val="Calibri"/>
        <family val="2"/>
        <scheme val="minor"/>
      </rPr>
      <t>(***)</t>
    </r>
  </si>
  <si>
    <t>Cancels Count of “AM”</t>
  </si>
  <si>
    <t>Net Sales Count of “AM”</t>
  </si>
  <si>
    <t>Net Sales Amt of “AM”</t>
  </si>
  <si>
    <t>Cash Count of “AM”</t>
  </si>
  <si>
    <r>
      <t xml:space="preserve">Cash Amount of “AM” </t>
    </r>
    <r>
      <rPr>
        <sz val="11"/>
        <color rgb="FFFF0000"/>
        <rFont val="Calibri"/>
        <family val="2"/>
        <scheme val="minor"/>
      </rPr>
      <t>(*)</t>
    </r>
  </si>
  <si>
    <r>
      <t xml:space="preserve">Remuneration Amt of “AM” </t>
    </r>
    <r>
      <rPr>
        <sz val="11"/>
        <color rgb="FFFF0000"/>
        <rFont val="Calibri"/>
        <family val="2"/>
        <scheme val="minor"/>
      </rPr>
      <t>(**)</t>
    </r>
  </si>
  <si>
    <t>Cancels Count of “EM”</t>
  </si>
  <si>
    <t>Net Sales Count of “EM”</t>
  </si>
  <si>
    <r>
      <t xml:space="preserve">Net Sales Amt of “EM” </t>
    </r>
    <r>
      <rPr>
        <sz val="11"/>
        <color rgb="FFFF0000"/>
        <rFont val="Calibri"/>
        <family val="2"/>
        <scheme val="minor"/>
      </rPr>
      <t>(*)</t>
    </r>
  </si>
  <si>
    <t>Cash Count of “EM”</t>
  </si>
  <si>
    <r>
      <t xml:space="preserve">Cash Amt of “EM” </t>
    </r>
    <r>
      <rPr>
        <sz val="11"/>
        <color rgb="FFFF0000"/>
        <rFont val="Calibri"/>
        <family val="2"/>
        <scheme val="minor"/>
      </rPr>
      <t>(*)</t>
    </r>
  </si>
  <si>
    <r>
      <t xml:space="preserve">Remuneration Amt of “EM” </t>
    </r>
    <r>
      <rPr>
        <sz val="11"/>
        <color rgb="FFFF0000"/>
        <rFont val="Calibri"/>
        <family val="2"/>
        <scheme val="minor"/>
      </rPr>
      <t>(**)</t>
    </r>
  </si>
  <si>
    <t>Cancels Count of “Placard”</t>
  </si>
  <si>
    <t>Net Sales Count of “Placard”</t>
  </si>
  <si>
    <r>
      <t xml:space="preserve">Net Sales Amt of “Placard” </t>
    </r>
    <r>
      <rPr>
        <sz val="11"/>
        <color rgb="FFFF0000"/>
        <rFont val="Calibri"/>
        <family val="2"/>
        <scheme val="minor"/>
      </rPr>
      <t>(*)</t>
    </r>
  </si>
  <si>
    <t>Cash Count of “Placard”</t>
  </si>
  <si>
    <r>
      <t>Cash Amt of “Placard”</t>
    </r>
    <r>
      <rPr>
        <sz val="11"/>
        <color rgb="FFFF0000"/>
        <rFont val="Calibri"/>
        <family val="2"/>
        <scheme val="minor"/>
      </rPr>
      <t xml:space="preserve"> (*)</t>
    </r>
  </si>
  <si>
    <r>
      <t xml:space="preserve">Remuneration Amt of “Placard” </t>
    </r>
    <r>
      <rPr>
        <sz val="11"/>
        <color rgb="FFFF0000"/>
        <rFont val="Calibri"/>
        <family val="2"/>
        <scheme val="minor"/>
      </rPr>
      <t>(**)</t>
    </r>
  </si>
  <si>
    <t>Cancels Count of “M1lhão”</t>
  </si>
  <si>
    <t>Net Sales Count of “M1lhão”</t>
  </si>
  <si>
    <r>
      <t xml:space="preserve">Net Sales Amt of “M1lhão” </t>
    </r>
    <r>
      <rPr>
        <sz val="11"/>
        <color rgb="FFFF0000"/>
        <rFont val="Calibri"/>
        <family val="2"/>
        <scheme val="minor"/>
      </rPr>
      <t>(*)</t>
    </r>
  </si>
  <si>
    <t>Cash Count of “M1lhão”</t>
  </si>
  <si>
    <r>
      <t>Cash Amt of “M1lhão”</t>
    </r>
    <r>
      <rPr>
        <sz val="11"/>
        <color rgb="FFFF0000"/>
        <rFont val="Calibri"/>
        <family val="2"/>
        <scheme val="minor"/>
      </rPr>
      <t xml:space="preserve"> (*)</t>
    </r>
  </si>
  <si>
    <r>
      <t xml:space="preserve">Remuneration Amt of “M1lhão” </t>
    </r>
    <r>
      <rPr>
        <sz val="11"/>
        <color rgb="FFFF0000"/>
        <rFont val="Calibri"/>
        <family val="2"/>
        <scheme val="minor"/>
      </rPr>
      <t>(**)</t>
    </r>
  </si>
  <si>
    <r>
      <t>Subtotal Amt of “AM &amp; EM &amp; M1”</t>
    </r>
    <r>
      <rPr>
        <sz val="11"/>
        <color rgb="FFFF0000"/>
        <rFont val="Calibri"/>
        <family val="2"/>
        <scheme val="minor"/>
      </rPr>
      <t xml:space="preserve"> (**)</t>
    </r>
  </si>
  <si>
    <r>
      <t xml:space="preserve">Subtotal Amt of “Placard” </t>
    </r>
    <r>
      <rPr>
        <sz val="11"/>
        <color rgb="FFFF0000"/>
        <rFont val="Calibri"/>
        <family val="2"/>
        <scheme val="minor"/>
      </rPr>
      <t>(**)</t>
    </r>
  </si>
  <si>
    <t>(*) Signed I4 with 2 decimals.</t>
  </si>
  <si>
    <t>(**) Signed I8 with 2 decimals.</t>
  </si>
  <si>
    <t>(***) First and last day of accountability period.</t>
  </si>
  <si>
    <t>Prestação de Contas Lotaria Instantânea C2T</t>
  </si>
  <si>
    <t>Packs Settled Count</t>
  </si>
  <si>
    <r>
      <t xml:space="preserve">Packs Settled Amount </t>
    </r>
    <r>
      <rPr>
        <sz val="11"/>
        <color rgb="FFFF0000"/>
        <rFont val="Calibri"/>
        <family val="2"/>
        <scheme val="minor"/>
      </rPr>
      <t>(*)</t>
    </r>
  </si>
  <si>
    <t>Packs Returned Count</t>
  </si>
  <si>
    <r>
      <t xml:space="preserve">Packs Returned Amount </t>
    </r>
    <r>
      <rPr>
        <sz val="11"/>
        <color rgb="FFFF0000"/>
        <rFont val="Calibri"/>
        <family val="2"/>
        <scheme val="minor"/>
      </rPr>
      <t>(*)</t>
    </r>
  </si>
  <si>
    <t>Cash Count</t>
  </si>
  <si>
    <r>
      <t xml:space="preserve">Remuneration Amount </t>
    </r>
    <r>
      <rPr>
        <sz val="11"/>
        <color rgb="FFFF0000"/>
        <rFont val="Calibri"/>
        <family val="2"/>
        <scheme val="minor"/>
      </rPr>
      <t>(*)</t>
    </r>
  </si>
  <si>
    <r>
      <t xml:space="preserve">Subtotal Amount of LI </t>
    </r>
    <r>
      <rPr>
        <sz val="11"/>
        <color rgb="FFFF0000"/>
        <rFont val="Calibri"/>
        <family val="2"/>
        <scheme val="minor"/>
      </rPr>
      <t>(*)</t>
    </r>
  </si>
  <si>
    <t>Prestação de Contas Lotaria Nacional C2T</t>
  </si>
  <si>
    <t>Shop: Code of the Shop</t>
  </si>
  <si>
    <t>Shop: Cancels Count of “LN Online”</t>
  </si>
  <si>
    <t>Shop: Net Sales Count of “LN Online”</t>
  </si>
  <si>
    <t>Shop: Net Sales Amount of “LN Online” (*)</t>
  </si>
  <si>
    <t>Shop: Remuneration Amount of “LN Online” (*)</t>
  </si>
  <si>
    <t>Shop: Count of “Levantamentos”</t>
  </si>
  <si>
    <t>Shop: Amount of “Levantamentos” (*)</t>
  </si>
  <si>
    <t>Shop: Remuneration Amount of “LN Física” (*)</t>
  </si>
  <si>
    <t>Shop: Count of “Devoluções”</t>
  </si>
  <si>
    <t>Shop: Amount of “Devoluções” (*)</t>
  </si>
  <si>
    <t>Shop: Amount of “Valores Entregues” (*)</t>
  </si>
  <si>
    <t>Shop: Amount of “Saldo Semana Anterior” (*)</t>
  </si>
  <si>
    <t>Shop: Cash Count</t>
  </si>
  <si>
    <t>Shop: Cash Amount (*)</t>
  </si>
  <si>
    <t>Shop: Amount of “Diferenças” (*)</t>
  </si>
  <si>
    <t>Subtotal Amount of LN (Firm) (*)</t>
  </si>
  <si>
    <t>Firm Flag</t>
  </si>
  <si>
    <t>Firm Flag:</t>
  </si>
  <si>
    <t>Firm: Code of the Firm</t>
  </si>
  <si>
    <t>1 = Print LN Firm data in the report (the terminal of the establishment is the “Máquina Representante”)</t>
  </si>
  <si>
    <t>Firm: Cancels Count of “LN Online”</t>
  </si>
  <si>
    <t>Firm: Net Sales Count of “LN Online”</t>
  </si>
  <si>
    <t>Firm: Net Sales Amount of “LN Online” (*)</t>
  </si>
  <si>
    <t>0 = Do not print LN Firm data in the report (the terminal of the establishment is not the “Máquina Representante”) the firm fields are filled with 0’s.</t>
  </si>
  <si>
    <t>Firm: Remuneration Amount of “LN Online” (*)</t>
  </si>
  <si>
    <t>Firm: Count of “Levantamentos”</t>
  </si>
  <si>
    <t>Firm: Amount of “Levantamentos” (*)</t>
  </si>
  <si>
    <t>Firm: Remuneration Amount of “LN Física” (*)</t>
  </si>
  <si>
    <t>Firm: Count of “Devoluções”</t>
  </si>
  <si>
    <t>Firm: Amount of “Devoluções” (*)</t>
  </si>
  <si>
    <t>Firm: Amount of “Valores Entregues” (*)</t>
  </si>
  <si>
    <t>Firm: Amount of “Saldo Semana Anterior” (*)</t>
  </si>
  <si>
    <t>Firm: Cash Count</t>
  </si>
  <si>
    <t>Firm: Cash Amount (*)</t>
  </si>
  <si>
    <t>Firm: Amount of “Diferenças” (*)</t>
  </si>
  <si>
    <t>Firm: Subtotal Amount of LN (*)</t>
  </si>
  <si>
    <t>Firm: Amount of “Saldo a Transitar” (*)</t>
  </si>
  <si>
    <t>Ajustes e Total Global do Mediador C2T</t>
  </si>
  <si>
    <r>
      <t xml:space="preserve">Adjusts Amt of “Prémios - Ajustes” </t>
    </r>
    <r>
      <rPr>
        <sz val="11"/>
        <color rgb="FFFF0000"/>
        <rFont val="Calibri"/>
        <family val="2"/>
        <scheme val="minor"/>
      </rPr>
      <t>(*)</t>
    </r>
  </si>
  <si>
    <r>
      <t xml:space="preserve">Adjusts Amt of “Reembolso de Apostas” </t>
    </r>
    <r>
      <rPr>
        <sz val="11"/>
        <color rgb="FFFF0000"/>
        <rFont val="Calibri"/>
        <family val="2"/>
        <scheme val="minor"/>
      </rPr>
      <t>(*)</t>
    </r>
  </si>
  <si>
    <r>
      <t xml:space="preserve">Adjusts Amt of “Seguro do Terminal” </t>
    </r>
    <r>
      <rPr>
        <sz val="11"/>
        <color rgb="FFFF0000"/>
        <rFont val="Calibri"/>
        <family val="2"/>
        <scheme val="minor"/>
      </rPr>
      <t>(*)</t>
    </r>
  </si>
  <si>
    <r>
      <t xml:space="preserve">Adjusts Amount of “Outros” </t>
    </r>
    <r>
      <rPr>
        <sz val="11"/>
        <color rgb="FFFF0000"/>
        <rFont val="Calibri"/>
        <family val="2"/>
        <scheme val="minor"/>
      </rPr>
      <t>(*)</t>
    </r>
  </si>
  <si>
    <r>
      <t xml:space="preserve">Subtotal of Adjustments </t>
    </r>
    <r>
      <rPr>
        <sz val="11"/>
        <color rgb="FFFF0000"/>
        <rFont val="Calibri"/>
        <family val="2"/>
        <scheme val="minor"/>
      </rPr>
      <t>(*)</t>
    </r>
  </si>
  <si>
    <r>
      <t xml:space="preserve">Total Net Due </t>
    </r>
    <r>
      <rPr>
        <sz val="11"/>
        <color rgb="FFFF0000"/>
        <rFont val="Calibri"/>
        <family val="2"/>
        <scheme val="minor"/>
      </rPr>
      <t>(**)</t>
    </r>
  </si>
  <si>
    <t>Report Error T2C</t>
  </si>
  <si>
    <t>Type = 6 / Subtype = 15</t>
  </si>
  <si>
    <t>Request Subtype</t>
  </si>
  <si>
    <t>Error code</t>
  </si>
  <si>
    <t>Error code:</t>
  </si>
  <si>
    <t>0 = Report Not Available</t>
  </si>
  <si>
    <t>IGS Error C2T</t>
  </si>
  <si>
    <t>Request Type / Request Subtype</t>
  </si>
  <si>
    <t>System Error Code Description</t>
  </si>
  <si>
    <t>-&gt; ver (http://10.100.82.76:8080/abp/rest/wadl) - ABP Possible rejection messages (user:ACCENTURE; pass: acc1234)</t>
  </si>
  <si>
    <t>System Error Description</t>
  </si>
  <si>
    <t>System Error Description 1</t>
  </si>
  <si>
    <t>System Error Description 2</t>
  </si>
  <si>
    <t>System Error Description 3</t>
  </si>
  <si>
    <t>System Error Description 4</t>
  </si>
  <si>
    <t>System Error Description 5</t>
  </si>
  <si>
    <t>System Error Description 6</t>
  </si>
  <si>
    <t>System Error Description 7</t>
  </si>
  <si>
    <t>System Error Description 8</t>
  </si>
  <si>
    <t>System Error Description 9</t>
  </si>
  <si>
    <t>System Error Description 10</t>
  </si>
  <si>
    <t>System Error Description 11</t>
  </si>
  <si>
    <t>System Error Description 12</t>
  </si>
  <si>
    <t>System Error Description 13</t>
  </si>
  <si>
    <t>System Error Description 14</t>
  </si>
  <si>
    <t>System Error Description 15</t>
  </si>
  <si>
    <t>System Error Description 16</t>
  </si>
  <si>
    <t>System Error Description 17</t>
  </si>
  <si>
    <t>System Error Description 18</t>
  </si>
  <si>
    <t>System Error Description 19</t>
  </si>
  <si>
    <t>System Error Description 20</t>
  </si>
  <si>
    <t>System Error Description 21</t>
  </si>
  <si>
    <t>System Error Description 22</t>
  </si>
  <si>
    <t>System Error Description 23</t>
  </si>
  <si>
    <t>System Error Description 24</t>
  </si>
  <si>
    <t>System Error Description 25</t>
  </si>
  <si>
    <t>System Error Description 26</t>
  </si>
  <si>
    <t>System Error Description 27</t>
  </si>
  <si>
    <t>System Error Description 28</t>
  </si>
  <si>
    <t>System Error Description 29</t>
  </si>
  <si>
    <t>System Error Description 30</t>
  </si>
  <si>
    <t>System Error Description 31</t>
  </si>
  <si>
    <t>System Error Description 32</t>
  </si>
  <si>
    <t>System Error Description 33</t>
  </si>
  <si>
    <t>System Error Description 34</t>
  </si>
  <si>
    <t>System Error Description 35</t>
  </si>
  <si>
    <t>System Error Description 36</t>
  </si>
  <si>
    <t>System Error Description 37</t>
  </si>
  <si>
    <t>System Error Description 38</t>
  </si>
  <si>
    <t>System Error Description 39</t>
  </si>
  <si>
    <t>System Error Description 40</t>
  </si>
  <si>
    <t>System Error Description 41</t>
  </si>
  <si>
    <t>System Error Description 42</t>
  </si>
  <si>
    <t>System Error Description 43</t>
  </si>
  <si>
    <t>System Error Description 44</t>
  </si>
  <si>
    <t>System Error Description 45</t>
  </si>
  <si>
    <t>System Error Description 46</t>
  </si>
  <si>
    <t>System Error Description 47</t>
  </si>
  <si>
    <t>System Error Description 48</t>
  </si>
  <si>
    <t>System Error Description 49</t>
  </si>
  <si>
    <t>System Error Description 50</t>
  </si>
  <si>
    <t>System Error Description 51</t>
  </si>
  <si>
    <t>System Error Description 52</t>
  </si>
  <si>
    <t>System Error Description 53</t>
  </si>
  <si>
    <t>System Error Description 54</t>
  </si>
  <si>
    <t>System Error Description 55</t>
  </si>
  <si>
    <t>System Error Description 56</t>
  </si>
  <si>
    <t>System Error Description 57</t>
  </si>
  <si>
    <t>System Error Description 58</t>
  </si>
  <si>
    <t>System Error Description 59</t>
  </si>
  <si>
    <t>System Error Description 60</t>
  </si>
  <si>
    <t>System Error Description 61</t>
  </si>
  <si>
    <t>System Error Description 62</t>
  </si>
  <si>
    <t>System Error Description 63</t>
  </si>
  <si>
    <t>System Error Description 64</t>
  </si>
  <si>
    <t>System Error Description 65</t>
  </si>
  <si>
    <t>System Error Description 66</t>
  </si>
  <si>
    <t>System Error Description 67</t>
  </si>
  <si>
    <t>System Error Description 68</t>
  </si>
  <si>
    <t>System Error Description 69</t>
  </si>
  <si>
    <t>System Error Description 70</t>
  </si>
  <si>
    <t>System Error Description 71</t>
  </si>
  <si>
    <t>System Error Description 72</t>
  </si>
  <si>
    <t>System Error Description 73</t>
  </si>
  <si>
    <t>System Error Description 74</t>
  </si>
  <si>
    <t>System Error Description 75</t>
  </si>
  <si>
    <t>System Error Description 76</t>
  </si>
  <si>
    <t>System Error Description 77</t>
  </si>
  <si>
    <t>System Error Description 78</t>
  </si>
  <si>
    <t>System Error Description 79</t>
  </si>
  <si>
    <t>System Error Description 80</t>
  </si>
  <si>
    <t>System Error Description 81</t>
  </si>
  <si>
    <t>System Error Description 82</t>
  </si>
  <si>
    <t>System Error Description 83</t>
  </si>
  <si>
    <t>System Error Description 84</t>
  </si>
  <si>
    <t>System Error Description 85</t>
  </si>
  <si>
    <t>System Error Description 86</t>
  </si>
  <si>
    <t>System Error Description 87</t>
  </si>
  <si>
    <t>System Error Description 88</t>
  </si>
  <si>
    <t>System Error Description 89</t>
  </si>
  <si>
    <t>System Error Description 90</t>
  </si>
  <si>
    <t>System Error Description 91</t>
  </si>
  <si>
    <t>System Error Description 92</t>
  </si>
  <si>
    <t>System Error Description 93</t>
  </si>
  <si>
    <t>System Error Description 94</t>
  </si>
  <si>
    <t>System Error Description 95</t>
  </si>
  <si>
    <t>System Error Description 96</t>
  </si>
  <si>
    <t>System Error Description 97</t>
  </si>
  <si>
    <t>System Error Description 98</t>
  </si>
  <si>
    <t>System Error Description 99</t>
  </si>
  <si>
    <t>System Error Description 100</t>
  </si>
  <si>
    <t>System Error Description 101</t>
  </si>
  <si>
    <t>System Error Description 102</t>
  </si>
  <si>
    <t>System Error Description 103</t>
  </si>
  <si>
    <t>System Error Description 104</t>
  </si>
  <si>
    <t>System Error Description 105</t>
  </si>
  <si>
    <t>System Error Description 106</t>
  </si>
  <si>
    <t>System Error Description 107</t>
  </si>
  <si>
    <t>System Error Description 108</t>
  </si>
  <si>
    <t>System Error Description 109</t>
  </si>
  <si>
    <t>System Error Description 110</t>
  </si>
  <si>
    <t>System Error Description 111</t>
  </si>
  <si>
    <t>System Error Description 112</t>
  </si>
  <si>
    <t>System Error Description 113</t>
  </si>
  <si>
    <t>System Error Description 114</t>
  </si>
  <si>
    <t>System Error Description 115</t>
  </si>
  <si>
    <t>System Error Description 116</t>
  </si>
  <si>
    <t>System Error Description 117</t>
  </si>
  <si>
    <t>System Error Description 118</t>
  </si>
  <si>
    <t>System Error Description 119</t>
  </si>
  <si>
    <t>System Error Description 120</t>
  </si>
  <si>
    <t>System Error Description 121</t>
  </si>
  <si>
    <t>System Error Description 122</t>
  </si>
  <si>
    <t>System Error Description 123</t>
  </si>
  <si>
    <t>System Error Description 124</t>
  </si>
  <si>
    <t>System Error Description 125</t>
  </si>
  <si>
    <t>System Error Description 126</t>
  </si>
  <si>
    <t>System Error Description 127</t>
  </si>
  <si>
    <t>System Error Description 128</t>
  </si>
  <si>
    <t>System Error Description 129</t>
  </si>
  <si>
    <t>System Error Description 130</t>
  </si>
  <si>
    <t>System Error Description 131</t>
  </si>
  <si>
    <t>System Error Description 132</t>
  </si>
  <si>
    <t>System Error Description 133</t>
  </si>
  <si>
    <t>System Error Description 134</t>
  </si>
  <si>
    <t>System Error Description 135</t>
  </si>
  <si>
    <t>System Error Description 136</t>
  </si>
  <si>
    <t>System Error Description 137</t>
  </si>
  <si>
    <t>System Error Description 138</t>
  </si>
  <si>
    <t>System Error Description 139</t>
  </si>
  <si>
    <t>System Error Description 140</t>
  </si>
  <si>
    <t>System Error Description 141</t>
  </si>
  <si>
    <t>System Error Description 142</t>
  </si>
  <si>
    <t>System Error Description 143</t>
  </si>
  <si>
    <t>System Error Description 144</t>
  </si>
  <si>
    <t>System Error Description 145</t>
  </si>
  <si>
    <t>System Error Description 146</t>
  </si>
  <si>
    <t>System Error Description 147</t>
  </si>
  <si>
    <t>System Error Description 148</t>
  </si>
  <si>
    <t>System Error Description 149</t>
  </si>
  <si>
    <t>System Error Description 150</t>
  </si>
  <si>
    <t>System Error Description 151</t>
  </si>
  <si>
    <t>System Error Description 152</t>
  </si>
  <si>
    <t>System Error Description 153</t>
  </si>
  <si>
    <t>System Error Description 154</t>
  </si>
  <si>
    <t>System Error Description 155</t>
  </si>
  <si>
    <t>System Error Description 156</t>
  </si>
  <si>
    <t>System Error Description 157</t>
  </si>
  <si>
    <t>System Error Description 158</t>
  </si>
  <si>
    <t>System Error Description 159</t>
  </si>
  <si>
    <t>System Error Description 160</t>
  </si>
  <si>
    <t>System Error Description 161</t>
  </si>
  <si>
    <t>System Error Description 162</t>
  </si>
  <si>
    <t>System Error Description 163</t>
  </si>
  <si>
    <t>System Error Description 164</t>
  </si>
  <si>
    <t>System Error Description 165</t>
  </si>
  <si>
    <t>System Error Description 166</t>
  </si>
  <si>
    <t>System Error Description 167</t>
  </si>
  <si>
    <t>System Error Description 168</t>
  </si>
  <si>
    <t>System Error Description 169</t>
  </si>
  <si>
    <t>System Error Description 170</t>
  </si>
  <si>
    <t>System Error Description 171</t>
  </si>
  <si>
    <t>System Error Description 172</t>
  </si>
  <si>
    <t>System Error Description 173</t>
  </si>
  <si>
    <t>System Error Description 174</t>
  </si>
  <si>
    <t>System Error Description 175</t>
  </si>
  <si>
    <t>System Error Description 176</t>
  </si>
  <si>
    <t>System Error Description 177</t>
  </si>
  <si>
    <t>System Error Description 178</t>
  </si>
  <si>
    <t>System Error Description 179</t>
  </si>
  <si>
    <t>System Error Description 180</t>
  </si>
  <si>
    <t>System Error Description 181</t>
  </si>
  <si>
    <t>System Error Description 182</t>
  </si>
  <si>
    <t>System Error Description 183</t>
  </si>
  <si>
    <t>System Error Description 184</t>
  </si>
  <si>
    <t>System Error Description 185</t>
  </si>
  <si>
    <t>System Error Description 186</t>
  </si>
  <si>
    <t>System Error Description 187</t>
  </si>
  <si>
    <t>System Error Description 188</t>
  </si>
  <si>
    <t>System Error Description 189</t>
  </si>
  <si>
    <t>System Error Description 190</t>
  </si>
  <si>
    <t>System Error Description 191</t>
  </si>
  <si>
    <t>System Error Description 192</t>
  </si>
  <si>
    <t>System Error Description 193</t>
  </si>
  <si>
    <t>System Error Description 194</t>
  </si>
  <si>
    <t>System Error Description 195</t>
  </si>
  <si>
    <t>System Error Description 196</t>
  </si>
  <si>
    <t>System Error Description 197</t>
  </si>
  <si>
    <t>System Error Description 198</t>
  </si>
  <si>
    <t>System Error Description 199</t>
  </si>
  <si>
    <t>System Error Description 200</t>
  </si>
  <si>
    <t>System Error Description 201</t>
  </si>
  <si>
    <t>System Error Description 202</t>
  </si>
  <si>
    <t>System Error Description 203</t>
  </si>
  <si>
    <t>System Error Description 204</t>
  </si>
  <si>
    <t>System Error Description 205</t>
  </si>
  <si>
    <t>System Error Description 206</t>
  </si>
  <si>
    <t>System Error Description 207</t>
  </si>
  <si>
    <t>System Error Description 208</t>
  </si>
  <si>
    <t>System Error Description 209</t>
  </si>
  <si>
    <t>System Error Description 210</t>
  </si>
  <si>
    <t>System Error Description 211</t>
  </si>
  <si>
    <t>System Error Description 212</t>
  </si>
  <si>
    <t>System Error Description 213</t>
  </si>
  <si>
    <t>System Error Description 214</t>
  </si>
  <si>
    <t>System Error Description 215</t>
  </si>
  <si>
    <t>System Error Description 216</t>
  </si>
  <si>
    <t>System Error Description 217</t>
  </si>
  <si>
    <t>System Error Description 218</t>
  </si>
  <si>
    <t>System Error Description 219</t>
  </si>
  <si>
    <t>System Error Description 220</t>
  </si>
  <si>
    <t>System Error Description 221</t>
  </si>
  <si>
    <t>System Error Description 222</t>
  </si>
  <si>
    <t>System Error Description 223</t>
  </si>
  <si>
    <t>System Error Description 224</t>
  </si>
  <si>
    <t>System Error Description 225</t>
  </si>
  <si>
    <t>System Error Description 226</t>
  </si>
  <si>
    <t>System Error Description 227</t>
  </si>
  <si>
    <t>System Error Description 228</t>
  </si>
  <si>
    <t>System Error Description 229</t>
  </si>
  <si>
    <t>System Error Description 230</t>
  </si>
  <si>
    <t>System Error Description 231</t>
  </si>
  <si>
    <t>System Error Description 232</t>
  </si>
  <si>
    <t>System Error Description 233</t>
  </si>
  <si>
    <t>Type = 9 / Subtype = 0</t>
  </si>
  <si>
    <t>Error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</si>
</sst>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#,##0.00\ &quot;€&quot;"/>
    <numFmt numFmtId="165" formatCode="000000000000000000"/>
    <numFmt numFmtId="166" formatCode="00000000000"/>
    <numFmt numFmtId="167" formatCode="0000"/>
    <numFmt numFmtId="168" formatCode="00"/>
    <numFmt numFmtId="169" formatCode="0.00000E+00"/>
  </numFmts>
  <fonts count="2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rgb="FF333333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Times New Roman"/>
      <family val="1"/>
    </font>
    <font>
      <sz val="11"/>
      <color rgb="FFFF00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0"/>
      <color theme="1"/>
      <name val="Consolas"/>
      <family val="3"/>
    </font>
    <font>
      <sz val="9"/>
      <color indexed="81"/>
      <name val="Tahoma"/>
      <family val="2"/>
    </font>
    <font>
      <sz val="10"/>
      <name val="Consolas"/>
      <family val="3"/>
    </font>
    <font>
      <sz val="11"/>
      <name val="Calibri"/>
      <family val="2"/>
      <scheme val="minor"/>
    </font>
    <font>
      <sz val="10"/>
      <color rgb="FF000000"/>
      <name val="Tahoma"/>
      <family val="2"/>
    </font>
    <font>
      <sz val="11"/>
      <color theme="1"/>
      <name val="Calibri"/>
      <family val="2"/>
      <scheme val="minor"/>
    </font>
    <font>
      <sz val="10"/>
      <color rgb="FF000000"/>
      <name val="Segoe UI"/>
      <family val="2"/>
    </font>
    <font>
      <b/>
      <sz val="11"/>
      <color theme="0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sz val="10"/>
      <color theme="9" tint="-0.499984740745262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39997558519241921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rgb="FFFF0000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/>
      <top/>
      <bottom/>
      <diagonal/>
    </border>
    <border>
      <left style="thin">
        <color rgb="FFFF0000"/>
      </left>
      <right/>
      <top/>
      <bottom style="thin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FF0000"/>
      </bottom>
      <diagonal/>
    </border>
    <border>
      <left style="thin">
        <color rgb="FFFF0000"/>
      </left>
      <right/>
      <top style="thin">
        <color indexed="64"/>
      </top>
      <bottom/>
      <diagonal/>
    </border>
    <border>
      <left style="thin">
        <color rgb="FFFF0000"/>
      </left>
      <right/>
      <top/>
      <bottom style="thin">
        <color indexed="64"/>
      </bottom>
      <diagonal/>
    </border>
    <border>
      <left style="thin">
        <color rgb="FFFF0000"/>
      </left>
      <right/>
      <top style="thin">
        <color rgb="FFFF0000"/>
      </top>
      <bottom/>
      <diagonal/>
    </border>
    <border>
      <left style="thin">
        <color indexed="64"/>
      </left>
      <right style="thin">
        <color indexed="64"/>
      </right>
      <top style="thin">
        <color rgb="FFFF0000"/>
      </top>
      <bottom style="thin">
        <color indexed="64"/>
      </bottom>
      <diagonal/>
    </border>
    <border>
      <left style="thin">
        <color indexed="64"/>
      </left>
      <right/>
      <top style="thin">
        <color rgb="FFFF0000"/>
      </top>
      <bottom style="thin">
        <color indexed="64"/>
      </bottom>
      <diagonal/>
    </border>
    <border>
      <left/>
      <right style="thin">
        <color indexed="64"/>
      </right>
      <top style="thin">
        <color rgb="FFFF0000"/>
      </top>
      <bottom style="thin">
        <color indexed="64"/>
      </bottom>
      <diagonal/>
    </border>
    <border>
      <left/>
      <right style="thin">
        <color rgb="FFFF0000"/>
      </right>
      <top style="thin">
        <color rgb="FFFF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rgb="FFFF0000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medium">
        <color indexed="64"/>
      </bottom>
      <diagonal/>
    </border>
    <border>
      <left/>
      <right style="thick">
        <color auto="1"/>
      </right>
      <top/>
      <bottom style="medium">
        <color indexed="64"/>
      </bottom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rgb="FFFF0000"/>
      </top>
      <bottom/>
      <diagonal/>
    </border>
    <border>
      <left/>
      <right style="thin">
        <color rgb="FFFF0000"/>
      </right>
      <top style="thin">
        <color rgb="FFFF0000"/>
      </top>
      <bottom/>
      <diagonal/>
    </border>
    <border>
      <left style="thin">
        <color indexed="64"/>
      </left>
      <right style="thin">
        <color rgb="FFFF0000"/>
      </right>
      <top style="thin">
        <color indexed="64"/>
      </top>
      <bottom style="thin">
        <color rgb="FFFF0000"/>
      </bottom>
      <diagonal/>
    </border>
    <border>
      <left/>
      <right style="thin">
        <color rgb="FFFF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FF0000"/>
      </bottom>
      <diagonal/>
    </border>
    <border>
      <left/>
      <right style="thin">
        <color indexed="64"/>
      </right>
      <top style="thin">
        <color indexed="64"/>
      </top>
      <bottom style="thin">
        <color rgb="FFFF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4" fillId="0" borderId="0"/>
  </cellStyleXfs>
  <cellXfs count="395">
    <xf numFmtId="0" fontId="0" fillId="0" borderId="0" xfId="0"/>
    <xf numFmtId="0" fontId="1" fillId="0" borderId="0" xfId="0" applyFont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3" borderId="1" xfId="0" applyFill="1" applyBorder="1" applyAlignment="1">
      <alignment horizontal="center" vertical="center"/>
    </xf>
    <xf numFmtId="0" fontId="0" fillId="3" borderId="1" xfId="0" applyFill="1" applyBorder="1"/>
    <xf numFmtId="0" fontId="1" fillId="0" borderId="0" xfId="0" applyFont="1" applyAlignment="1">
      <alignment horizontal="right" vertical="center"/>
    </xf>
    <xf numFmtId="0" fontId="1" fillId="3" borderId="1" xfId="0" applyFont="1" applyFill="1" applyBorder="1"/>
    <xf numFmtId="0" fontId="0" fillId="0" borderId="1" xfId="0" quotePrefix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left"/>
    </xf>
    <xf numFmtId="0" fontId="0" fillId="4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5" borderId="0" xfId="0" applyFill="1"/>
    <xf numFmtId="165" fontId="0" fillId="5" borderId="0" xfId="0" applyNumberFormat="1" applyFill="1"/>
    <xf numFmtId="3" fontId="0" fillId="5" borderId="0" xfId="0" applyNumberFormat="1" applyFill="1"/>
    <xf numFmtId="0" fontId="0" fillId="0" borderId="0" xfId="0" applyAlignment="1">
      <alignment horizontal="left"/>
    </xf>
    <xf numFmtId="0" fontId="0" fillId="0" borderId="9" xfId="0" applyBorder="1" applyAlignment="1">
      <alignment vertical="top"/>
    </xf>
    <xf numFmtId="0" fontId="0" fillId="0" borderId="15" xfId="0" applyBorder="1" applyAlignment="1">
      <alignment vertical="top"/>
    </xf>
    <xf numFmtId="0" fontId="0" fillId="0" borderId="10" xfId="0" applyBorder="1"/>
    <xf numFmtId="0" fontId="0" fillId="0" borderId="19" xfId="0" applyBorder="1"/>
    <xf numFmtId="0" fontId="0" fillId="0" borderId="20" xfId="0" applyBorder="1"/>
    <xf numFmtId="0" fontId="0" fillId="0" borderId="11" xfId="0" applyBorder="1"/>
    <xf numFmtId="0" fontId="0" fillId="0" borderId="17" xfId="0" applyBorder="1"/>
    <xf numFmtId="0" fontId="0" fillId="0" borderId="21" xfId="0" applyBorder="1"/>
    <xf numFmtId="0" fontId="0" fillId="0" borderId="22" xfId="0" applyBorder="1"/>
    <xf numFmtId="0" fontId="0" fillId="0" borderId="16" xfId="0" applyBorder="1"/>
    <xf numFmtId="168" fontId="0" fillId="0" borderId="0" xfId="0" applyNumberFormat="1" applyAlignment="1">
      <alignment horizontal="center" vertical="center"/>
    </xf>
    <xf numFmtId="0" fontId="0" fillId="0" borderId="18" xfId="0" applyBorder="1" applyAlignment="1">
      <alignment horizontal="center" textRotation="90" wrapText="1"/>
    </xf>
    <xf numFmtId="0" fontId="0" fillId="0" borderId="0" xfId="0" applyAlignment="1">
      <alignment horizontal="right"/>
    </xf>
    <xf numFmtId="0" fontId="0" fillId="7" borderId="14" xfId="0" applyFill="1" applyBorder="1"/>
    <xf numFmtId="0" fontId="0" fillId="7" borderId="0" xfId="0" applyFill="1"/>
    <xf numFmtId="0" fontId="0" fillId="7" borderId="25" xfId="0" applyFill="1" applyBorder="1"/>
    <xf numFmtId="0" fontId="0" fillId="0" borderId="25" xfId="0" applyBorder="1"/>
    <xf numFmtId="0" fontId="0" fillId="0" borderId="26" xfId="0" applyBorder="1"/>
    <xf numFmtId="0" fontId="0" fillId="9" borderId="17" xfId="0" applyFill="1" applyBorder="1" applyAlignment="1">
      <alignment horizontal="center" vertical="center"/>
    </xf>
    <xf numFmtId="0" fontId="5" fillId="0" borderId="0" xfId="0" applyFont="1" applyAlignment="1">
      <alignment horizontal="left"/>
    </xf>
    <xf numFmtId="0" fontId="0" fillId="10" borderId="0" xfId="0" applyFill="1"/>
    <xf numFmtId="0" fontId="0" fillId="6" borderId="1" xfId="0" applyFill="1" applyBorder="1" applyAlignment="1">
      <alignment horizontal="center"/>
    </xf>
    <xf numFmtId="0" fontId="0" fillId="6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1" fillId="0" borderId="9" xfId="0" applyFont="1" applyBorder="1"/>
    <xf numFmtId="0" fontId="0" fillId="0" borderId="15" xfId="0" applyBorder="1"/>
    <xf numFmtId="0" fontId="0" fillId="0" borderId="8" xfId="0" applyBorder="1"/>
    <xf numFmtId="0" fontId="0" fillId="0" borderId="0" xfId="0" quotePrefix="1"/>
    <xf numFmtId="0" fontId="6" fillId="0" borderId="0" xfId="0" applyFont="1"/>
    <xf numFmtId="0" fontId="0" fillId="11" borderId="1" xfId="0" applyFill="1" applyBorder="1" applyAlignment="1">
      <alignment horizontal="center"/>
    </xf>
    <xf numFmtId="0" fontId="7" fillId="0" borderId="0" xfId="0" applyFont="1" applyAlignment="1">
      <alignment horizontal="left"/>
    </xf>
    <xf numFmtId="0" fontId="0" fillId="0" borderId="9" xfId="0" applyBorder="1"/>
    <xf numFmtId="168" fontId="0" fillId="0" borderId="1" xfId="0" quotePrefix="1" applyNumberFormat="1" applyBorder="1" applyAlignment="1">
      <alignment horizontal="center" vertical="center"/>
    </xf>
    <xf numFmtId="49" fontId="0" fillId="0" borderId="1" xfId="0" quotePrefix="1" applyNumberFormat="1" applyBorder="1" applyAlignment="1">
      <alignment horizontal="center" vertical="center"/>
    </xf>
    <xf numFmtId="0" fontId="0" fillId="0" borderId="11" xfId="0" applyBorder="1" applyAlignment="1">
      <alignment horizontal="left"/>
    </xf>
    <xf numFmtId="0" fontId="0" fillId="0" borderId="11" xfId="0" applyBorder="1" applyAlignment="1">
      <alignment horizontal="left" vertical="center"/>
    </xf>
    <xf numFmtId="0" fontId="0" fillId="3" borderId="11" xfId="0" applyFill="1" applyBorder="1" applyAlignment="1">
      <alignment horizontal="left" vertical="center"/>
    </xf>
    <xf numFmtId="0" fontId="0" fillId="7" borderId="28" xfId="0" applyFill="1" applyBorder="1"/>
    <xf numFmtId="0" fontId="0" fillId="9" borderId="13" xfId="0" applyFill="1" applyBorder="1" applyAlignment="1">
      <alignment horizontal="center" vertical="center"/>
    </xf>
    <xf numFmtId="16" fontId="0" fillId="0" borderId="0" xfId="0" quotePrefix="1" applyNumberFormat="1"/>
    <xf numFmtId="0" fontId="0" fillId="7" borderId="30" xfId="0" applyFill="1" applyBorder="1"/>
    <xf numFmtId="0" fontId="0" fillId="4" borderId="31" xfId="0" applyFill="1" applyBorder="1" applyAlignment="1">
      <alignment horizontal="center" vertical="center"/>
    </xf>
    <xf numFmtId="0" fontId="0" fillId="9" borderId="35" xfId="0" applyFill="1" applyBorder="1" applyAlignment="1">
      <alignment horizontal="center" vertical="center"/>
    </xf>
    <xf numFmtId="0" fontId="0" fillId="2" borderId="11" xfId="0" applyFill="1" applyBorder="1" applyAlignment="1">
      <alignment horizontal="left"/>
    </xf>
    <xf numFmtId="0" fontId="0" fillId="2" borderId="0" xfId="0" applyFill="1"/>
    <xf numFmtId="0" fontId="0" fillId="2" borderId="11" xfId="0" applyFill="1" applyBorder="1"/>
    <xf numFmtId="0" fontId="1" fillId="4" borderId="1" xfId="0" applyFont="1" applyFill="1" applyBorder="1" applyAlignment="1">
      <alignment horizontal="right"/>
    </xf>
    <xf numFmtId="0" fontId="0" fillId="12" borderId="19" xfId="0" applyFill="1" applyBorder="1"/>
    <xf numFmtId="0" fontId="0" fillId="12" borderId="22" xfId="0" applyFill="1" applyBorder="1"/>
    <xf numFmtId="1" fontId="0" fillId="0" borderId="0" xfId="0" applyNumberFormat="1"/>
    <xf numFmtId="0" fontId="0" fillId="3" borderId="1" xfId="0" applyFill="1" applyBorder="1" applyAlignment="1">
      <alignment horizontal="center"/>
    </xf>
    <xf numFmtId="1" fontId="0" fillId="3" borderId="1" xfId="0" applyNumberFormat="1" applyFill="1" applyBorder="1" applyAlignment="1">
      <alignment horizontal="center"/>
    </xf>
    <xf numFmtId="0" fontId="0" fillId="12" borderId="15" xfId="0" applyFill="1" applyBorder="1"/>
    <xf numFmtId="0" fontId="1" fillId="2" borderId="14" xfId="0" applyFont="1" applyFill="1" applyBorder="1" applyAlignment="1">
      <alignment horizontal="right"/>
    </xf>
    <xf numFmtId="0" fontId="1" fillId="2" borderId="18" xfId="0" applyFont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2" borderId="13" xfId="0" applyFont="1" applyFill="1" applyBorder="1" applyAlignment="1">
      <alignment horizontal="right"/>
    </xf>
    <xf numFmtId="0" fontId="1" fillId="13" borderId="13" xfId="0" applyFont="1" applyFill="1" applyBorder="1" applyAlignment="1">
      <alignment horizontal="right"/>
    </xf>
    <xf numFmtId="0" fontId="1" fillId="13" borderId="14" xfId="0" applyFont="1" applyFill="1" applyBorder="1" applyAlignment="1">
      <alignment horizontal="right"/>
    </xf>
    <xf numFmtId="0" fontId="1" fillId="13" borderId="18" xfId="0" applyFont="1" applyFill="1" applyBorder="1" applyAlignment="1">
      <alignment horizontal="right"/>
    </xf>
    <xf numFmtId="0" fontId="9" fillId="12" borderId="10" xfId="0" applyFont="1" applyFill="1" applyBorder="1"/>
    <xf numFmtId="0" fontId="9" fillId="12" borderId="21" xfId="0" applyFont="1" applyFill="1" applyBorder="1"/>
    <xf numFmtId="0" fontId="9" fillId="0" borderId="0" xfId="0" applyFont="1"/>
    <xf numFmtId="0" fontId="9" fillId="12" borderId="11" xfId="0" applyFont="1" applyFill="1" applyBorder="1"/>
    <xf numFmtId="0" fontId="0" fillId="12" borderId="0" xfId="0" applyFill="1"/>
    <xf numFmtId="0" fontId="0" fillId="13" borderId="0" xfId="0" applyFill="1"/>
    <xf numFmtId="0" fontId="1" fillId="0" borderId="0" xfId="0" quotePrefix="1" applyFont="1"/>
    <xf numFmtId="0" fontId="9" fillId="12" borderId="9" xfId="0" applyFont="1" applyFill="1" applyBorder="1"/>
    <xf numFmtId="0" fontId="0" fillId="2" borderId="0" xfId="0" applyFill="1" applyAlignment="1">
      <alignment horizontal="left"/>
    </xf>
    <xf numFmtId="0" fontId="1" fillId="2" borderId="39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12" xfId="0" applyFill="1" applyBorder="1" applyAlignment="1">
      <alignment horizontal="center" vertical="center"/>
    </xf>
    <xf numFmtId="0" fontId="0" fillId="12" borderId="43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9" fillId="0" borderId="15" xfId="0" applyFont="1" applyBorder="1"/>
    <xf numFmtId="0" fontId="0" fillId="0" borderId="0" xfId="0" quotePrefix="1" applyAlignment="1">
      <alignment horizontal="right"/>
    </xf>
    <xf numFmtId="1" fontId="0" fillId="2" borderId="0" xfId="0" applyNumberFormat="1" applyFill="1"/>
    <xf numFmtId="0" fontId="1" fillId="0" borderId="17" xfId="0" applyFont="1" applyBorder="1" applyAlignment="1">
      <alignment horizontal="right" vertical="center"/>
    </xf>
    <xf numFmtId="169" fontId="0" fillId="0" borderId="11" xfId="0" applyNumberFormat="1" applyBorder="1" applyAlignment="1">
      <alignment horizontal="left"/>
    </xf>
    <xf numFmtId="2" fontId="0" fillId="0" borderId="0" xfId="0" applyNumberFormat="1"/>
    <xf numFmtId="1" fontId="0" fillId="0" borderId="0" xfId="0" applyNumberFormat="1" applyAlignment="1">
      <alignment horizontal="left"/>
    </xf>
    <xf numFmtId="0" fontId="15" fillId="0" borderId="0" xfId="0" applyFont="1" applyAlignment="1">
      <alignment vertical="center"/>
    </xf>
    <xf numFmtId="0" fontId="0" fillId="0" borderId="13" xfId="0" applyBorder="1"/>
    <xf numFmtId="0" fontId="1" fillId="0" borderId="1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4" borderId="18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0" borderId="11" xfId="0" applyNumberFormat="1" applyBorder="1"/>
    <xf numFmtId="0" fontId="0" fillId="17" borderId="0" xfId="0" applyFill="1"/>
    <xf numFmtId="0" fontId="7" fillId="17" borderId="0" xfId="0" applyFont="1" applyFill="1"/>
    <xf numFmtId="0" fontId="0" fillId="17" borderId="0" xfId="0" applyFill="1" applyAlignment="1">
      <alignment horizontal="left"/>
    </xf>
    <xf numFmtId="0" fontId="1" fillId="17" borderId="0" xfId="0" applyFont="1" applyFill="1" applyAlignment="1">
      <alignment horizontal="center" vertical="center"/>
    </xf>
    <xf numFmtId="0" fontId="0" fillId="17" borderId="0" xfId="0" applyFill="1" applyAlignment="1">
      <alignment horizontal="center"/>
    </xf>
    <xf numFmtId="0" fontId="7" fillId="17" borderId="0" xfId="0" applyFont="1" applyFill="1" applyAlignment="1">
      <alignment horizontal="left"/>
    </xf>
    <xf numFmtId="0" fontId="7" fillId="17" borderId="1" xfId="0" applyFont="1" applyFill="1" applyBorder="1" applyAlignment="1" applyProtection="1">
      <alignment horizontal="center"/>
      <protection locked="0"/>
    </xf>
    <xf numFmtId="164" fontId="7" fillId="17" borderId="0" xfId="0" applyNumberFormat="1" applyFont="1" applyFill="1" applyAlignment="1">
      <alignment horizontal="left"/>
    </xf>
    <xf numFmtId="0" fontId="0" fillId="17" borderId="48" xfId="0" applyFill="1" applyBorder="1"/>
    <xf numFmtId="0" fontId="0" fillId="17" borderId="49" xfId="0" applyFill="1" applyBorder="1"/>
    <xf numFmtId="0" fontId="7" fillId="17" borderId="19" xfId="0" applyFont="1" applyFill="1" applyBorder="1" applyAlignment="1">
      <alignment horizontal="left"/>
    </xf>
    <xf numFmtId="0" fontId="0" fillId="17" borderId="19" xfId="0" applyFill="1" applyBorder="1"/>
    <xf numFmtId="0" fontId="0" fillId="17" borderId="20" xfId="0" applyFill="1" applyBorder="1"/>
    <xf numFmtId="0" fontId="0" fillId="17" borderId="17" xfId="0" applyFill="1" applyBorder="1"/>
    <xf numFmtId="0" fontId="0" fillId="17" borderId="21" xfId="0" applyFill="1" applyBorder="1"/>
    <xf numFmtId="0" fontId="0" fillId="17" borderId="22" xfId="0" applyFill="1" applyBorder="1"/>
    <xf numFmtId="0" fontId="0" fillId="17" borderId="16" xfId="0" applyFill="1" applyBorder="1"/>
    <xf numFmtId="0" fontId="0" fillId="17" borderId="50" xfId="0" applyFill="1" applyBorder="1"/>
    <xf numFmtId="0" fontId="0" fillId="17" borderId="43" xfId="0" applyFill="1" applyBorder="1"/>
    <xf numFmtId="0" fontId="0" fillId="17" borderId="51" xfId="0" applyFill="1" applyBorder="1"/>
    <xf numFmtId="0" fontId="0" fillId="17" borderId="18" xfId="0" applyFill="1" applyBorder="1"/>
    <xf numFmtId="0" fontId="0" fillId="17" borderId="10" xfId="0" applyFill="1" applyBorder="1"/>
    <xf numFmtId="0" fontId="19" fillId="18" borderId="19" xfId="0" applyFont="1" applyFill="1" applyBorder="1" applyAlignment="1">
      <alignment horizontal="center"/>
    </xf>
    <xf numFmtId="0" fontId="0" fillId="17" borderId="11" xfId="0" applyFill="1" applyBorder="1"/>
    <xf numFmtId="0" fontId="1" fillId="4" borderId="11" xfId="0" applyFont="1" applyFill="1" applyBorder="1"/>
    <xf numFmtId="0" fontId="1" fillId="4" borderId="0" xfId="0" applyFont="1" applyFill="1"/>
    <xf numFmtId="0" fontId="0" fillId="2" borderId="9" xfId="0" applyFill="1" applyBorder="1" applyAlignment="1">
      <alignment horizontal="center" vertical="center"/>
    </xf>
    <xf numFmtId="0" fontId="0" fillId="4" borderId="0" xfId="0" quotePrefix="1" applyFill="1" applyAlignment="1">
      <alignment horizontal="left"/>
    </xf>
    <xf numFmtId="0" fontId="0" fillId="4" borderId="0" xfId="0" applyFill="1"/>
    <xf numFmtId="0" fontId="9" fillId="12" borderId="0" xfId="0" applyFont="1" applyFill="1"/>
    <xf numFmtId="0" fontId="7" fillId="0" borderId="0" xfId="0" applyFont="1"/>
    <xf numFmtId="0" fontId="0" fillId="2" borderId="14" xfId="0" applyFill="1" applyBorder="1" applyAlignment="1">
      <alignment horizontal="center" vertical="center"/>
    </xf>
    <xf numFmtId="0" fontId="1" fillId="17" borderId="0" xfId="0" applyFont="1" applyFill="1"/>
    <xf numFmtId="0" fontId="1" fillId="3" borderId="1" xfId="0" applyFont="1" applyFill="1" applyBorder="1" applyAlignment="1">
      <alignment horizontal="center" vertical="center" wrapText="1"/>
    </xf>
    <xf numFmtId="0" fontId="0" fillId="5" borderId="17" xfId="0" applyFill="1" applyBorder="1"/>
    <xf numFmtId="0" fontId="0" fillId="0" borderId="17" xfId="0" applyBorder="1" applyAlignment="1">
      <alignment horizontal="left"/>
    </xf>
    <xf numFmtId="0" fontId="9" fillId="0" borderId="9" xfId="0" applyFont="1" applyBorder="1" applyProtection="1">
      <protection locked="0"/>
    </xf>
    <xf numFmtId="0" fontId="9" fillId="0" borderId="21" xfId="0" applyFont="1" applyBorder="1" applyProtection="1">
      <protection locked="0"/>
    </xf>
    <xf numFmtId="0" fontId="7" fillId="5" borderId="0" xfId="0" applyFont="1" applyFill="1"/>
    <xf numFmtId="0" fontId="0" fillId="0" borderId="11" xfId="0" applyBorder="1" applyProtection="1">
      <protection locked="0"/>
    </xf>
    <xf numFmtId="0" fontId="3" fillId="0" borderId="0" xfId="0" applyFont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7" fillId="5" borderId="0" xfId="0" applyFont="1" applyFill="1" applyProtection="1">
      <protection locked="0"/>
    </xf>
    <xf numFmtId="0" fontId="9" fillId="0" borderId="10" xfId="0" applyFont="1" applyBorder="1" applyAlignment="1" applyProtection="1">
      <alignment horizontal="left"/>
      <protection locked="0"/>
    </xf>
    <xf numFmtId="0" fontId="9" fillId="0" borderId="21" xfId="0" applyFont="1" applyBorder="1" applyAlignment="1" applyProtection="1">
      <alignment horizontal="left"/>
      <protection locked="0"/>
    </xf>
    <xf numFmtId="0" fontId="9" fillId="0" borderId="11" xfId="0" applyFont="1" applyBorder="1" applyProtection="1">
      <protection locked="0"/>
    </xf>
    <xf numFmtId="0" fontId="0" fillId="4" borderId="1" xfId="0" applyFill="1" applyBorder="1"/>
    <xf numFmtId="0" fontId="9" fillId="4" borderId="10" xfId="0" applyFont="1" applyFill="1" applyBorder="1"/>
    <xf numFmtId="0" fontId="0" fillId="4" borderId="19" xfId="0" applyFill="1" applyBorder="1"/>
    <xf numFmtId="0" fontId="0" fillId="4" borderId="15" xfId="0" applyFill="1" applyBorder="1"/>
    <xf numFmtId="0" fontId="9" fillId="4" borderId="9" xfId="0" applyFont="1" applyFill="1" applyBorder="1"/>
    <xf numFmtId="0" fontId="9" fillId="4" borderId="15" xfId="0" applyFont="1" applyFill="1" applyBorder="1"/>
    <xf numFmtId="0" fontId="11" fillId="4" borderId="21" xfId="0" applyFont="1" applyFill="1" applyBorder="1"/>
    <xf numFmtId="0" fontId="12" fillId="4" borderId="22" xfId="0" applyFont="1" applyFill="1" applyBorder="1"/>
    <xf numFmtId="0" fontId="20" fillId="17" borderId="0" xfId="0" applyFont="1" applyFill="1" applyAlignment="1">
      <alignment horizontal="right" vertical="top"/>
    </xf>
    <xf numFmtId="1" fontId="0" fillId="0" borderId="11" xfId="0" applyNumberFormat="1" applyBorder="1"/>
    <xf numFmtId="0" fontId="1" fillId="3" borderId="1" xfId="0" applyFont="1" applyFill="1" applyBorder="1" applyAlignment="1">
      <alignment horizontal="center"/>
    </xf>
    <xf numFmtId="0" fontId="0" fillId="12" borderId="1" xfId="0" quotePrefix="1" applyFill="1" applyBorder="1" applyAlignment="1">
      <alignment horizontal="center" vertical="center"/>
    </xf>
    <xf numFmtId="0" fontId="9" fillId="13" borderId="0" xfId="0" applyFont="1" applyFill="1"/>
    <xf numFmtId="0" fontId="9" fillId="0" borderId="0" xfId="0" applyFont="1" applyProtection="1">
      <protection locked="0"/>
    </xf>
    <xf numFmtId="0" fontId="9" fillId="0" borderId="19" xfId="0" applyFont="1" applyBorder="1" applyProtection="1">
      <protection locked="0"/>
    </xf>
    <xf numFmtId="0" fontId="1" fillId="14" borderId="0" xfId="0" applyFont="1" applyFill="1" applyAlignment="1">
      <alignment horizontal="right"/>
    </xf>
    <xf numFmtId="49" fontId="0" fillId="0" borderId="0" xfId="0" applyNumberFormat="1"/>
    <xf numFmtId="49" fontId="0" fillId="0" borderId="0" xfId="0" quotePrefix="1" applyNumberFormat="1"/>
    <xf numFmtId="0" fontId="3" fillId="0" borderId="0" xfId="0" applyFont="1" applyAlignment="1" applyProtection="1">
      <alignment horizontal="left"/>
      <protection locked="0"/>
    </xf>
    <xf numFmtId="0" fontId="0" fillId="19" borderId="17" xfId="0" applyFill="1" applyBorder="1" applyAlignment="1">
      <alignment horizontal="center" vertical="center"/>
    </xf>
    <xf numFmtId="0" fontId="0" fillId="2" borderId="27" xfId="0" applyFill="1" applyBorder="1" applyAlignment="1">
      <alignment horizontal="center" vertical="center"/>
    </xf>
    <xf numFmtId="0" fontId="0" fillId="0" borderId="17" xfId="0" quotePrefix="1" applyBorder="1"/>
    <xf numFmtId="0" fontId="0" fillId="2" borderId="27" xfId="0" applyFill="1" applyBorder="1" applyAlignment="1">
      <alignment horizontal="center"/>
    </xf>
    <xf numFmtId="0" fontId="0" fillId="0" borderId="29" xfId="0" applyBorder="1" applyAlignment="1">
      <alignment horizontal="left" textRotation="90" wrapText="1"/>
    </xf>
    <xf numFmtId="0" fontId="0" fillId="0" borderId="1" xfId="0" quotePrefix="1" applyBorder="1" applyAlignment="1">
      <alignment horizontal="center"/>
    </xf>
    <xf numFmtId="0" fontId="0" fillId="12" borderId="37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/>
    </xf>
    <xf numFmtId="0" fontId="0" fillId="10" borderId="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10" borderId="43" xfId="0" applyFill="1" applyBorder="1" applyAlignment="1">
      <alignment horizontal="center" vertical="center"/>
    </xf>
    <xf numFmtId="0" fontId="0" fillId="10" borderId="37" xfId="0" applyFill="1" applyBorder="1" applyAlignment="1">
      <alignment horizontal="center" vertical="center"/>
    </xf>
    <xf numFmtId="0" fontId="0" fillId="10" borderId="1" xfId="0" quotePrefix="1" applyFill="1" applyBorder="1" applyAlignment="1">
      <alignment horizontal="center" vertical="center"/>
    </xf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5" xfId="0" applyBorder="1" applyAlignment="1">
      <alignment horizontal="center"/>
    </xf>
    <xf numFmtId="0" fontId="1" fillId="2" borderId="40" xfId="0" applyFont="1" applyFill="1" applyBorder="1" applyAlignment="1">
      <alignment horizontal="center" vertical="center"/>
    </xf>
    <xf numFmtId="0" fontId="1" fillId="2" borderId="41" xfId="0" applyFont="1" applyFill="1" applyBorder="1" applyAlignment="1">
      <alignment horizontal="center" vertical="center"/>
    </xf>
    <xf numFmtId="0" fontId="0" fillId="10" borderId="37" xfId="0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 vertical="center"/>
    </xf>
    <xf numFmtId="0" fontId="1" fillId="2" borderId="36" xfId="0" applyFont="1" applyFill="1" applyBorder="1" applyAlignment="1">
      <alignment horizontal="center" vertical="center"/>
    </xf>
    <xf numFmtId="0" fontId="1" fillId="2" borderId="37" xfId="0" applyFont="1" applyFill="1" applyBorder="1" applyAlignment="1">
      <alignment horizontal="center" vertical="center"/>
    </xf>
    <xf numFmtId="0" fontId="1" fillId="2" borderId="23" xfId="0" applyFont="1" applyFill="1" applyBorder="1" applyAlignment="1">
      <alignment horizontal="center" vertical="center"/>
    </xf>
    <xf numFmtId="0" fontId="0" fillId="0" borderId="44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12" borderId="37" xfId="0" applyFill="1" applyBorder="1" applyAlignment="1">
      <alignment horizontal="center" vertical="center"/>
    </xf>
    <xf numFmtId="0" fontId="0" fillId="12" borderId="37" xfId="0" applyFill="1" applyBorder="1" applyAlignment="1">
      <alignment horizontal="center"/>
    </xf>
    <xf numFmtId="0" fontId="0" fillId="12" borderId="23" xfId="0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10" borderId="37" xfId="0" applyFill="1" applyBorder="1" applyAlignment="1">
      <alignment horizontal="center"/>
    </xf>
    <xf numFmtId="0" fontId="0" fillId="10" borderId="23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0" fillId="7" borderId="9" xfId="0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0" borderId="37" xfId="0" applyBorder="1" applyAlignment="1">
      <alignment horizontal="center" vertical="center"/>
    </xf>
    <xf numFmtId="0" fontId="0" fillId="10" borderId="9" xfId="0" applyFill="1" applyBorder="1" applyAlignment="1">
      <alignment horizontal="center"/>
    </xf>
    <xf numFmtId="0" fontId="0" fillId="10" borderId="8" xfId="0" applyFill="1" applyBorder="1" applyAlignment="1">
      <alignment horizontal="center"/>
    </xf>
    <xf numFmtId="0" fontId="0" fillId="0" borderId="9" xfId="0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10" borderId="9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 wrapText="1"/>
    </xf>
    <xf numFmtId="0" fontId="1" fillId="3" borderId="15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15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10" borderId="1" xfId="0" applyFont="1" applyFill="1" applyBorder="1" applyAlignment="1">
      <alignment horizontal="center" vertical="center"/>
    </xf>
    <xf numFmtId="0" fontId="7" fillId="12" borderId="1" xfId="0" applyFont="1" applyFill="1" applyBorder="1" applyAlignment="1">
      <alignment horizontal="center" vertical="center"/>
    </xf>
    <xf numFmtId="0" fontId="0" fillId="17" borderId="9" xfId="0" applyFill="1" applyBorder="1" applyAlignment="1" applyProtection="1">
      <alignment horizontal="center"/>
      <protection locked="0"/>
    </xf>
    <xf numFmtId="0" fontId="0" fillId="17" borderId="8" xfId="0" applyFill="1" applyBorder="1" applyAlignment="1" applyProtection="1">
      <alignment horizontal="center"/>
      <protection locked="0"/>
    </xf>
    <xf numFmtId="0" fontId="1" fillId="0" borderId="49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6" fillId="16" borderId="14" xfId="0" applyFont="1" applyFill="1" applyBorder="1" applyAlignment="1">
      <alignment horizontal="center" vertical="center"/>
    </xf>
    <xf numFmtId="0" fontId="16" fillId="16" borderId="18" xfId="0" applyFont="1" applyFill="1" applyBorder="1" applyAlignment="1">
      <alignment horizontal="center" vertical="center"/>
    </xf>
    <xf numFmtId="0" fontId="16" fillId="15" borderId="1" xfId="0" applyFont="1" applyFill="1" applyBorder="1" applyAlignment="1">
      <alignment horizontal="center"/>
    </xf>
    <xf numFmtId="0" fontId="7" fillId="17" borderId="1" xfId="0" applyFont="1" applyFill="1" applyBorder="1" applyAlignment="1" applyProtection="1">
      <alignment horizontal="center"/>
      <protection locked="0"/>
    </xf>
    <xf numFmtId="0" fontId="16" fillId="15" borderId="10" xfId="0" applyFont="1" applyFill="1" applyBorder="1" applyAlignment="1">
      <alignment horizontal="center"/>
    </xf>
    <xf numFmtId="0" fontId="16" fillId="15" borderId="19" xfId="0" applyFont="1" applyFill="1" applyBorder="1" applyAlignment="1">
      <alignment horizontal="center"/>
    </xf>
    <xf numFmtId="0" fontId="16" fillId="15" borderId="20" xfId="0" applyFont="1" applyFill="1" applyBorder="1" applyAlignment="1">
      <alignment horizontal="center"/>
    </xf>
    <xf numFmtId="0" fontId="1" fillId="4" borderId="21" xfId="0" applyFont="1" applyFill="1" applyBorder="1" applyAlignment="1">
      <alignment horizontal="center"/>
    </xf>
    <xf numFmtId="0" fontId="1" fillId="4" borderId="22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164" fontId="0" fillId="17" borderId="9" xfId="0" applyNumberFormat="1" applyFill="1" applyBorder="1" applyAlignment="1" applyProtection="1">
      <alignment horizontal="center"/>
      <protection locked="0"/>
    </xf>
    <xf numFmtId="164" fontId="0" fillId="17" borderId="15" xfId="0" applyNumberFormat="1" applyFill="1" applyBorder="1" applyAlignment="1" applyProtection="1">
      <alignment horizontal="center"/>
      <protection locked="0"/>
    </xf>
    <xf numFmtId="164" fontId="0" fillId="17" borderId="8" xfId="0" applyNumberFormat="1" applyFill="1" applyBorder="1" applyAlignment="1" applyProtection="1">
      <alignment horizontal="center"/>
      <protection locked="0"/>
    </xf>
    <xf numFmtId="0" fontId="1" fillId="12" borderId="9" xfId="0" applyFont="1" applyFill="1" applyBorder="1" applyAlignment="1">
      <alignment horizontal="center"/>
    </xf>
    <xf numFmtId="0" fontId="1" fillId="12" borderId="15" xfId="0" applyFont="1" applyFill="1" applyBorder="1" applyAlignment="1">
      <alignment horizontal="center"/>
    </xf>
    <xf numFmtId="0" fontId="1" fillId="12" borderId="8" xfId="0" applyFont="1" applyFill="1" applyBorder="1" applyAlignment="1">
      <alignment horizontal="center"/>
    </xf>
    <xf numFmtId="0" fontId="16" fillId="15" borderId="9" xfId="0" applyFont="1" applyFill="1" applyBorder="1" applyAlignment="1">
      <alignment horizontal="center"/>
    </xf>
    <xf numFmtId="0" fontId="16" fillId="15" borderId="15" xfId="0" applyFont="1" applyFill="1" applyBorder="1" applyAlignment="1">
      <alignment horizontal="center"/>
    </xf>
    <xf numFmtId="0" fontId="16" fillId="15" borderId="8" xfId="0" applyFont="1" applyFill="1" applyBorder="1" applyAlignment="1">
      <alignment horizontal="center"/>
    </xf>
    <xf numFmtId="0" fontId="17" fillId="17" borderId="0" xfId="0" applyFont="1" applyFill="1" applyAlignment="1">
      <alignment horizontal="center" vertical="center"/>
    </xf>
    <xf numFmtId="0" fontId="1" fillId="17" borderId="11" xfId="0" applyFont="1" applyFill="1" applyBorder="1" applyAlignment="1">
      <alignment horizontal="right"/>
    </xf>
    <xf numFmtId="0" fontId="1" fillId="17" borderId="0" xfId="0" applyFont="1" applyFill="1" applyAlignment="1">
      <alignment horizontal="right"/>
    </xf>
    <xf numFmtId="0" fontId="18" fillId="17" borderId="9" xfId="0" applyFont="1" applyFill="1" applyBorder="1" applyAlignment="1">
      <alignment horizontal="center"/>
    </xf>
    <xf numFmtId="0" fontId="18" fillId="17" borderId="15" xfId="0" applyFont="1" applyFill="1" applyBorder="1" applyAlignment="1">
      <alignment horizontal="center"/>
    </xf>
    <xf numFmtId="0" fontId="18" fillId="17" borderId="8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17" borderId="10" xfId="0" applyFont="1" applyFill="1" applyBorder="1" applyAlignment="1">
      <alignment horizontal="right"/>
    </xf>
    <xf numFmtId="0" fontId="1" fillId="17" borderId="19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7" fillId="0" borderId="52" xfId="0" applyFont="1" applyBorder="1" applyAlignment="1">
      <alignment horizontal="center" vertical="center"/>
    </xf>
    <xf numFmtId="0" fontId="7" fillId="0" borderId="53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2" borderId="9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4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1" fontId="0" fillId="0" borderId="62" xfId="0" applyNumberFormat="1" applyBorder="1" applyAlignment="1" applyProtection="1">
      <alignment horizontal="center"/>
      <protection locked="0"/>
    </xf>
    <xf numFmtId="1" fontId="0" fillId="0" borderId="23" xfId="0" applyNumberFormat="1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2" borderId="10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4" borderId="14" xfId="0" applyFill="1" applyBorder="1" applyAlignment="1">
      <alignment horizontal="center" vertical="center"/>
    </xf>
    <xf numFmtId="1" fontId="0" fillId="0" borderId="55" xfId="0" applyNumberFormat="1" applyBorder="1" applyAlignment="1" applyProtection="1">
      <alignment horizontal="center"/>
      <protection locked="0"/>
    </xf>
    <xf numFmtId="1" fontId="0" fillId="0" borderId="47" xfId="0" applyNumberFormat="1" applyBorder="1" applyAlignment="1" applyProtection="1">
      <alignment horizontal="center"/>
      <protection locked="0"/>
    </xf>
    <xf numFmtId="0" fontId="0" fillId="2" borderId="21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0" fontId="0" fillId="16" borderId="9" xfId="0" applyFill="1" applyBorder="1" applyAlignment="1">
      <alignment horizontal="center"/>
    </xf>
    <xf numFmtId="0" fontId="0" fillId="16" borderId="8" xfId="0" applyFill="1" applyBorder="1" applyAlignment="1">
      <alignment horizontal="center"/>
    </xf>
    <xf numFmtId="0" fontId="0" fillId="3" borderId="11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/>
    </xf>
    <xf numFmtId="0" fontId="0" fillId="3" borderId="14" xfId="0" applyFill="1" applyBorder="1" applyAlignment="1">
      <alignment horizontal="center" vertical="center" textRotation="90"/>
    </xf>
    <xf numFmtId="0" fontId="0" fillId="3" borderId="13" xfId="0" applyFill="1" applyBorder="1" applyAlignment="1">
      <alignment horizontal="center" vertical="center" textRotation="90"/>
    </xf>
    <xf numFmtId="0" fontId="0" fillId="3" borderId="18" xfId="0" applyFill="1" applyBorder="1" applyAlignment="1">
      <alignment horizontal="center" vertical="center" textRotation="90"/>
    </xf>
    <xf numFmtId="167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0" fontId="0" fillId="2" borderId="15" xfId="0" applyFill="1" applyBorder="1" applyAlignment="1">
      <alignment horizontal="center" vertical="center"/>
    </xf>
    <xf numFmtId="0" fontId="0" fillId="11" borderId="9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 textRotation="90" wrapText="1"/>
    </xf>
    <xf numFmtId="0" fontId="0" fillId="5" borderId="13" xfId="0" applyFill="1" applyBorder="1" applyAlignment="1">
      <alignment horizontal="center" vertical="center" textRotation="90" wrapText="1"/>
    </xf>
    <xf numFmtId="0" fontId="0" fillId="5" borderId="18" xfId="0" applyFill="1" applyBorder="1" applyAlignment="1">
      <alignment horizontal="center" vertical="center" textRotation="90" wrapText="1"/>
    </xf>
    <xf numFmtId="0" fontId="0" fillId="0" borderId="24" xfId="0" applyBorder="1" applyAlignment="1">
      <alignment horizontal="center"/>
    </xf>
    <xf numFmtId="0" fontId="0" fillId="2" borderId="60" xfId="0" applyFill="1" applyBorder="1" applyAlignment="1">
      <alignment horizontal="center" vertical="center"/>
    </xf>
    <xf numFmtId="0" fontId="0" fillId="2" borderId="61" xfId="0" applyFill="1" applyBorder="1" applyAlignment="1">
      <alignment horizontal="center" vertical="center"/>
    </xf>
    <xf numFmtId="0" fontId="0" fillId="2" borderId="27" xfId="0" applyFill="1" applyBorder="1" applyAlignment="1">
      <alignment horizontal="center"/>
    </xf>
    <xf numFmtId="0" fontId="0" fillId="2" borderId="58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3" borderId="25" xfId="0" applyFill="1" applyBorder="1" applyAlignment="1">
      <alignment horizontal="center" vertical="center" textRotation="90" wrapText="1"/>
    </xf>
    <xf numFmtId="0" fontId="0" fillId="3" borderId="29" xfId="0" applyFill="1" applyBorder="1" applyAlignment="1">
      <alignment horizontal="center" vertical="center" textRotation="90" wrapText="1"/>
    </xf>
    <xf numFmtId="1" fontId="0" fillId="0" borderId="59" xfId="0" applyNumberFormat="1" applyBorder="1" applyAlignment="1">
      <alignment horizontal="center"/>
    </xf>
    <xf numFmtId="0" fontId="0" fillId="0" borderId="25" xfId="0" applyBorder="1" applyAlignment="1">
      <alignment horizontal="center" vertical="center" textRotation="90" wrapText="1"/>
    </xf>
    <xf numFmtId="0" fontId="0" fillId="4" borderId="32" xfId="0" applyFill="1" applyBorder="1" applyAlignment="1">
      <alignment horizontal="center" vertical="center"/>
    </xf>
    <xf numFmtId="0" fontId="0" fillId="4" borderId="33" xfId="0" applyFill="1" applyBorder="1" applyAlignment="1">
      <alignment horizontal="center" vertical="center"/>
    </xf>
    <xf numFmtId="0" fontId="0" fillId="4" borderId="34" xfId="0" applyFill="1" applyBorder="1" applyAlignment="1">
      <alignment horizontal="center" vertical="center"/>
    </xf>
    <xf numFmtId="0" fontId="0" fillId="3" borderId="28" xfId="0" applyFill="1" applyBorder="1" applyAlignment="1">
      <alignment horizontal="center" textRotation="90" wrapText="1"/>
    </xf>
    <xf numFmtId="0" fontId="0" fillId="3" borderId="25" xfId="0" applyFill="1" applyBorder="1" applyAlignment="1">
      <alignment horizontal="center" textRotation="90" wrapText="1"/>
    </xf>
    <xf numFmtId="0" fontId="0" fillId="3" borderId="29" xfId="0" applyFill="1" applyBorder="1" applyAlignment="1">
      <alignment horizontal="center" textRotation="90" wrapText="1"/>
    </xf>
    <xf numFmtId="1" fontId="0" fillId="6" borderId="9" xfId="0" applyNumberFormat="1" applyFill="1" applyBorder="1" applyAlignment="1">
      <alignment horizontal="center"/>
    </xf>
    <xf numFmtId="1" fontId="0" fillId="6" borderId="8" xfId="0" applyNumberFormat="1" applyFill="1" applyBorder="1" applyAlignment="1">
      <alignment horizontal="center"/>
    </xf>
    <xf numFmtId="1" fontId="0" fillId="0" borderId="15" xfId="0" applyNumberFormat="1" applyBorder="1" applyAlignment="1">
      <alignment horizontal="center"/>
    </xf>
    <xf numFmtId="0" fontId="0" fillId="3" borderId="14" xfId="0" applyFill="1" applyBorder="1" applyAlignment="1">
      <alignment horizontal="center" textRotation="90" wrapText="1"/>
    </xf>
    <xf numFmtId="0" fontId="0" fillId="3" borderId="13" xfId="0" applyFill="1" applyBorder="1" applyAlignment="1">
      <alignment horizontal="center" textRotation="90" wrapText="1"/>
    </xf>
    <xf numFmtId="0" fontId="0" fillId="3" borderId="18" xfId="0" applyFill="1" applyBorder="1" applyAlignment="1">
      <alignment horizontal="center" textRotation="90" wrapText="1"/>
    </xf>
    <xf numFmtId="0" fontId="0" fillId="0" borderId="13" xfId="0" applyBorder="1" applyAlignment="1">
      <alignment horizontal="center" vertical="center" textRotation="90" wrapText="1"/>
    </xf>
    <xf numFmtId="0" fontId="0" fillId="3" borderId="13" xfId="0" applyFill="1" applyBorder="1" applyAlignment="1">
      <alignment horizontal="center" vertical="center" textRotation="90" wrapText="1"/>
    </xf>
    <xf numFmtId="0" fontId="0" fillId="3" borderId="18" xfId="0" applyFill="1" applyBorder="1" applyAlignment="1">
      <alignment horizontal="center" vertical="center" textRotation="90" wrapText="1"/>
    </xf>
    <xf numFmtId="0" fontId="4" fillId="8" borderId="30" xfId="0" applyFont="1" applyFill="1" applyBorder="1" applyAlignment="1">
      <alignment horizontal="center" vertical="center"/>
    </xf>
    <xf numFmtId="0" fontId="4" fillId="8" borderId="56" xfId="0" applyFont="1" applyFill="1" applyBorder="1" applyAlignment="1">
      <alignment horizontal="center" vertical="center"/>
    </xf>
    <xf numFmtId="0" fontId="4" fillId="8" borderId="57" xfId="0" applyFont="1" applyFill="1" applyBorder="1" applyAlignment="1">
      <alignment horizontal="center" vertical="center"/>
    </xf>
    <xf numFmtId="0" fontId="1" fillId="12" borderId="10" xfId="0" applyFont="1" applyFill="1" applyBorder="1" applyAlignment="1">
      <alignment horizontal="center"/>
    </xf>
    <xf numFmtId="0" fontId="0" fillId="2" borderId="11" xfId="0" applyFill="1" applyBorder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" fillId="4" borderId="9" xfId="0" applyFont="1" applyFill="1" applyBorder="1" applyAlignment="1">
      <alignment horizontal="center"/>
    </xf>
    <xf numFmtId="0" fontId="1" fillId="4" borderId="15" xfId="0" applyFont="1" applyFill="1" applyBorder="1" applyAlignment="1">
      <alignment horizontal="center"/>
    </xf>
    <xf numFmtId="0" fontId="1" fillId="4" borderId="8" xfId="0" applyFont="1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1" fontId="0" fillId="10" borderId="9" xfId="0" applyNumberFormat="1" applyFill="1" applyBorder="1" applyAlignment="1">
      <alignment horizontal="center"/>
    </xf>
    <xf numFmtId="1" fontId="0" fillId="10" borderId="8" xfId="0" applyNumberFormat="1" applyFill="1" applyBorder="1" applyAlignment="1">
      <alignment horizontal="center"/>
    </xf>
    <xf numFmtId="0" fontId="0" fillId="0" borderId="10" xfId="0" applyBorder="1" applyAlignment="1">
      <alignment horizontal="left" wrapText="1"/>
    </xf>
    <xf numFmtId="0" fontId="0" fillId="0" borderId="19" xfId="0" applyBorder="1" applyAlignment="1">
      <alignment horizontal="left" wrapText="1"/>
    </xf>
    <xf numFmtId="0" fontId="0" fillId="0" borderId="20" xfId="0" applyBorder="1" applyAlignment="1">
      <alignment horizontal="left" wrapText="1"/>
    </xf>
    <xf numFmtId="0" fontId="0" fillId="0" borderId="11" xfId="0" applyBorder="1" applyAlignment="1">
      <alignment horizontal="left" wrapText="1"/>
    </xf>
    <xf numFmtId="0" fontId="0" fillId="0" borderId="0" xfId="0" applyAlignment="1">
      <alignment horizontal="left" wrapText="1"/>
    </xf>
    <xf numFmtId="0" fontId="0" fillId="0" borderId="17" xfId="0" applyBorder="1" applyAlignment="1">
      <alignment horizontal="left" wrapText="1"/>
    </xf>
    <xf numFmtId="0" fontId="0" fillId="0" borderId="21" xfId="0" applyBorder="1" applyAlignment="1">
      <alignment horizontal="left" wrapText="1"/>
    </xf>
    <xf numFmtId="0" fontId="0" fillId="0" borderId="22" xfId="0" applyBorder="1" applyAlignment="1">
      <alignment horizontal="left" wrapText="1"/>
    </xf>
    <xf numFmtId="0" fontId="0" fillId="0" borderId="16" xfId="0" applyBorder="1" applyAlignment="1">
      <alignment horizontal="left" wrapText="1"/>
    </xf>
    <xf numFmtId="0" fontId="0" fillId="0" borderId="9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14" xfId="0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85725</xdr:colOff>
      <xdr:row>1</xdr:row>
      <xdr:rowOff>76200</xdr:rowOff>
    </xdr:from>
    <xdr:to>
      <xdr:col>9</xdr:col>
      <xdr:colOff>571994</xdr:colOff>
      <xdr:row>7</xdr:row>
      <xdr:rowOff>123991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" y="76200"/>
          <a:ext cx="3534269" cy="119079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11">
    <tabColor theme="0" tint="-0.34998626667073579"/>
  </sheetPr>
  <dimension ref="B1:O510"/>
  <sheetViews>
    <sheetView topLeftCell="A160" workbookViewId="0">
      <selection activeCell="C166" sqref="C166:D166"/>
    </sheetView>
  </sheetViews>
  <sheetFormatPr defaultRowHeight="15"/>
  <cols>
    <col min="2" max="2" width="13.7109375" bestFit="1" customWidth="1"/>
    <col min="3" max="3" width="20" customWidth="1"/>
    <col min="4" max="4" width="20.85546875" bestFit="1" customWidth="1"/>
    <col min="5" max="6" width="13.7109375" customWidth="1"/>
    <col min="7" max="7" width="15.5703125" bestFit="1" customWidth="1"/>
    <col min="11" max="11" width="12.85546875" customWidth="1"/>
    <col min="12" max="12" width="14.85546875" customWidth="1"/>
  </cols>
  <sheetData>
    <row r="1" spans="2:12">
      <c r="B1" s="153" t="s">
        <v>0</v>
      </c>
    </row>
    <row r="2" spans="2:12" ht="15.75" thickBot="1"/>
    <row r="3" spans="2:12" ht="15.75" thickBot="1">
      <c r="B3" s="93" t="s">
        <v>1</v>
      </c>
      <c r="C3" s="93" t="s">
        <v>2</v>
      </c>
      <c r="D3" s="93" t="s">
        <v>3</v>
      </c>
      <c r="E3" s="211" t="s">
        <v>4</v>
      </c>
      <c r="F3" s="212"/>
      <c r="G3" s="93" t="s">
        <v>5</v>
      </c>
      <c r="H3" s="216" t="s">
        <v>6</v>
      </c>
      <c r="I3" s="217"/>
      <c r="J3" s="216" t="s">
        <v>7</v>
      </c>
      <c r="K3" s="218"/>
      <c r="L3" s="219"/>
    </row>
    <row r="4" spans="2:12">
      <c r="B4" s="10" t="str">
        <f>CONCATENATE(DEC2HEX(E4,2),DEC2HEX(G4,2))</f>
        <v>0101</v>
      </c>
      <c r="C4" s="94" t="s">
        <v>8</v>
      </c>
      <c r="D4" s="232" t="s">
        <v>9</v>
      </c>
      <c r="E4" s="236">
        <v>1</v>
      </c>
      <c r="F4" s="236">
        <v>1</v>
      </c>
      <c r="G4" s="94">
        <v>1</v>
      </c>
      <c r="H4" s="209">
        <v>2</v>
      </c>
      <c r="I4" s="209">
        <v>2</v>
      </c>
      <c r="J4" s="209" t="s">
        <v>10</v>
      </c>
      <c r="K4" s="209" t="s">
        <v>10</v>
      </c>
      <c r="L4" s="210" t="s">
        <v>10</v>
      </c>
    </row>
    <row r="5" spans="2:12">
      <c r="B5" s="11" t="str">
        <f t="shared" ref="B5:B14" si="0">CONCATENATE(DEC2HEX(E5,2),DEC2HEX(G5,2))</f>
        <v>0102</v>
      </c>
      <c r="C5" s="95" t="s">
        <v>11</v>
      </c>
      <c r="D5" s="233"/>
      <c r="E5" s="237">
        <v>1</v>
      </c>
      <c r="F5" s="237">
        <v>1</v>
      </c>
      <c r="G5" s="95">
        <v>2</v>
      </c>
      <c r="H5" s="222">
        <v>4</v>
      </c>
      <c r="I5" s="222">
        <v>4</v>
      </c>
      <c r="J5" s="222" t="s">
        <v>12</v>
      </c>
      <c r="K5" s="222" t="s">
        <v>12</v>
      </c>
      <c r="L5" s="223" t="s">
        <v>12</v>
      </c>
    </row>
    <row r="6" spans="2:12">
      <c r="B6" s="11" t="str">
        <f t="shared" si="0"/>
        <v>0103</v>
      </c>
      <c r="C6" s="95" t="s">
        <v>13</v>
      </c>
      <c r="D6" s="233"/>
      <c r="E6" s="237">
        <v>1</v>
      </c>
      <c r="F6" s="237">
        <v>1</v>
      </c>
      <c r="G6" s="95">
        <v>3</v>
      </c>
      <c r="H6" s="222">
        <v>6</v>
      </c>
      <c r="I6" s="222">
        <v>6</v>
      </c>
      <c r="J6" s="222" t="s">
        <v>14</v>
      </c>
      <c r="K6" s="222" t="s">
        <v>14</v>
      </c>
      <c r="L6" s="223" t="s">
        <v>14</v>
      </c>
    </row>
    <row r="7" spans="2:12" ht="15.75" thickBot="1">
      <c r="B7" s="12" t="str">
        <f t="shared" si="0"/>
        <v>0104</v>
      </c>
      <c r="C7" s="96" t="s">
        <v>15</v>
      </c>
      <c r="D7" s="234"/>
      <c r="E7" s="235">
        <v>1</v>
      </c>
      <c r="F7" s="235">
        <v>1</v>
      </c>
      <c r="G7" s="96">
        <v>4</v>
      </c>
      <c r="H7" s="220">
        <v>7</v>
      </c>
      <c r="I7" s="220">
        <v>7</v>
      </c>
      <c r="J7" s="220" t="s">
        <v>16</v>
      </c>
      <c r="K7" s="220" t="s">
        <v>16</v>
      </c>
      <c r="L7" s="221" t="s">
        <v>16</v>
      </c>
    </row>
    <row r="8" spans="2:12">
      <c r="B8" s="10" t="str">
        <f t="shared" si="0"/>
        <v>0201</v>
      </c>
      <c r="C8" s="94" t="s">
        <v>17</v>
      </c>
      <c r="D8" s="232" t="s">
        <v>18</v>
      </c>
      <c r="E8" s="236">
        <v>2</v>
      </c>
      <c r="F8" s="236">
        <v>2</v>
      </c>
      <c r="G8" s="94">
        <v>1</v>
      </c>
      <c r="H8" s="209">
        <v>1</v>
      </c>
      <c r="I8" s="209">
        <v>1</v>
      </c>
      <c r="J8" s="209" t="s">
        <v>19</v>
      </c>
      <c r="K8" s="209" t="s">
        <v>19</v>
      </c>
      <c r="L8" s="210" t="s">
        <v>19</v>
      </c>
    </row>
    <row r="9" spans="2:12">
      <c r="B9" s="11" t="str">
        <f t="shared" si="0"/>
        <v>0202</v>
      </c>
      <c r="C9" s="95" t="s">
        <v>20</v>
      </c>
      <c r="D9" s="233"/>
      <c r="E9" s="237">
        <v>2</v>
      </c>
      <c r="F9" s="237">
        <v>2</v>
      </c>
      <c r="G9" s="95">
        <v>2</v>
      </c>
      <c r="H9" s="222">
        <v>3</v>
      </c>
      <c r="I9" s="222">
        <v>3</v>
      </c>
      <c r="J9" s="222" t="s">
        <v>21</v>
      </c>
      <c r="K9" s="222" t="s">
        <v>21</v>
      </c>
      <c r="L9" s="223" t="s">
        <v>21</v>
      </c>
    </row>
    <row r="10" spans="2:12" ht="15.75" thickBot="1">
      <c r="B10" s="12" t="str">
        <f t="shared" si="0"/>
        <v>0203</v>
      </c>
      <c r="C10" s="97" t="s">
        <v>22</v>
      </c>
      <c r="D10" s="233"/>
      <c r="E10" s="235">
        <v>2</v>
      </c>
      <c r="F10" s="235">
        <v>2</v>
      </c>
      <c r="G10" s="96">
        <v>3</v>
      </c>
      <c r="H10" s="220">
        <v>10</v>
      </c>
      <c r="I10" s="220">
        <v>10</v>
      </c>
      <c r="J10" s="220" t="s">
        <v>23</v>
      </c>
      <c r="K10" s="220" t="s">
        <v>23</v>
      </c>
      <c r="L10" s="221" t="s">
        <v>23</v>
      </c>
    </row>
    <row r="11" spans="2:12">
      <c r="B11" s="10" t="str">
        <f t="shared" si="0"/>
        <v>1001</v>
      </c>
      <c r="C11" s="94" t="s">
        <v>24</v>
      </c>
      <c r="D11" s="232" t="s">
        <v>25</v>
      </c>
      <c r="E11" s="236">
        <v>16</v>
      </c>
      <c r="F11" s="236">
        <v>3</v>
      </c>
      <c r="G11" s="94">
        <v>1</v>
      </c>
      <c r="H11" s="209">
        <v>8</v>
      </c>
      <c r="I11" s="209">
        <v>8</v>
      </c>
      <c r="J11" s="209" t="s">
        <v>26</v>
      </c>
      <c r="K11" s="209" t="s">
        <v>26</v>
      </c>
      <c r="L11" s="210" t="s">
        <v>26</v>
      </c>
    </row>
    <row r="12" spans="2:12" ht="15.75" thickBot="1">
      <c r="B12" s="12" t="str">
        <f t="shared" si="0"/>
        <v>1002</v>
      </c>
      <c r="C12" s="96" t="s">
        <v>27</v>
      </c>
      <c r="D12" s="234"/>
      <c r="E12" s="235">
        <v>16</v>
      </c>
      <c r="F12" s="235">
        <v>3</v>
      </c>
      <c r="G12" s="96">
        <v>2</v>
      </c>
      <c r="H12" s="220">
        <v>9</v>
      </c>
      <c r="I12" s="220">
        <v>9</v>
      </c>
      <c r="J12" s="220" t="s">
        <v>28</v>
      </c>
      <c r="K12" s="220" t="s">
        <v>28</v>
      </c>
      <c r="L12" s="221" t="s">
        <v>28</v>
      </c>
    </row>
    <row r="13" spans="2:12" ht="15.75" thickBot="1">
      <c r="B13" s="99" t="str">
        <f t="shared" si="0"/>
        <v>0401</v>
      </c>
      <c r="C13" s="98" t="s">
        <v>29</v>
      </c>
      <c r="D13" s="98" t="s">
        <v>30</v>
      </c>
      <c r="E13" s="243">
        <v>4</v>
      </c>
      <c r="F13" s="243">
        <v>4</v>
      </c>
      <c r="G13" s="98">
        <v>1</v>
      </c>
      <c r="H13" s="227">
        <v>5</v>
      </c>
      <c r="I13" s="227">
        <v>5</v>
      </c>
      <c r="J13" s="227" t="s">
        <v>31</v>
      </c>
      <c r="K13" s="227" t="s">
        <v>31</v>
      </c>
      <c r="L13" s="228" t="s">
        <v>31</v>
      </c>
    </row>
    <row r="14" spans="2:12" ht="15.75" thickBot="1">
      <c r="B14" s="99" t="str">
        <f t="shared" si="0"/>
        <v>1101</v>
      </c>
      <c r="C14" s="98" t="s">
        <v>32</v>
      </c>
      <c r="D14" s="98" t="s">
        <v>33</v>
      </c>
      <c r="E14" s="243">
        <v>17</v>
      </c>
      <c r="F14" s="243">
        <v>17</v>
      </c>
      <c r="G14" s="98">
        <v>1</v>
      </c>
      <c r="H14" s="227" t="s">
        <v>33</v>
      </c>
      <c r="I14" s="227" t="s">
        <v>33</v>
      </c>
      <c r="J14" s="227" t="s">
        <v>33</v>
      </c>
      <c r="K14" s="227" t="s">
        <v>33</v>
      </c>
      <c r="L14" s="228" t="s">
        <v>33</v>
      </c>
    </row>
    <row r="15" spans="2:12" ht="15.75" thickBot="1">
      <c r="B15" s="100" t="str">
        <f>CONCATENATE(DEC2HEX(E15,2),DEC2HEX(G15,2))</f>
        <v>1201</v>
      </c>
      <c r="C15" s="101" t="s">
        <v>34</v>
      </c>
      <c r="D15" s="102" t="s">
        <v>35</v>
      </c>
      <c r="E15" s="224">
        <v>18</v>
      </c>
      <c r="F15" s="224"/>
      <c r="G15" s="195">
        <v>1</v>
      </c>
      <c r="H15" s="225" t="s">
        <v>33</v>
      </c>
      <c r="I15" s="225" t="s">
        <v>33</v>
      </c>
      <c r="J15" s="225" t="s">
        <v>33</v>
      </c>
      <c r="K15" s="225" t="s">
        <v>33</v>
      </c>
      <c r="L15" s="226" t="s">
        <v>33</v>
      </c>
    </row>
    <row r="16" spans="2:12" ht="15.75" thickBot="1">
      <c r="B16" s="198" t="str">
        <f>CONCATENATE(DEC2HEX(E16,2),DEC2HEX(G16,2))</f>
        <v>1301</v>
      </c>
      <c r="C16" s="199" t="s">
        <v>36</v>
      </c>
      <c r="D16" s="200" t="s">
        <v>37</v>
      </c>
      <c r="E16" s="213">
        <v>19</v>
      </c>
      <c r="F16" s="213"/>
      <c r="G16" s="201">
        <v>1</v>
      </c>
      <c r="H16" s="229" t="s">
        <v>33</v>
      </c>
      <c r="I16" s="229" t="s">
        <v>33</v>
      </c>
      <c r="J16" s="229" t="s">
        <v>33</v>
      </c>
      <c r="K16" s="229" t="s">
        <v>33</v>
      </c>
      <c r="L16" s="230" t="s">
        <v>33</v>
      </c>
    </row>
    <row r="17" spans="2:15" ht="15.75" thickBot="1">
      <c r="B17" s="198" t="str">
        <f>CONCATENATE(DEC2HEX(E17,2),DEC2HEX(G17,2))</f>
        <v>1302</v>
      </c>
      <c r="C17" s="199" t="s">
        <v>38</v>
      </c>
      <c r="D17" s="200" t="s">
        <v>37</v>
      </c>
      <c r="E17" s="213">
        <v>19</v>
      </c>
      <c r="F17" s="213"/>
      <c r="G17" s="201">
        <v>2</v>
      </c>
      <c r="H17" s="229" t="s">
        <v>33</v>
      </c>
      <c r="I17" s="229" t="s">
        <v>33</v>
      </c>
      <c r="J17" s="229" t="s">
        <v>33</v>
      </c>
      <c r="K17" s="229" t="s">
        <v>33</v>
      </c>
      <c r="L17" s="230" t="s">
        <v>33</v>
      </c>
    </row>
    <row r="20" spans="2:15">
      <c r="B20" t="s">
        <v>39</v>
      </c>
    </row>
    <row r="21" spans="2:15">
      <c r="B21" s="8" t="s">
        <v>1</v>
      </c>
      <c r="C21" s="214" t="s">
        <v>40</v>
      </c>
      <c r="D21" s="215"/>
      <c r="E21" s="13" t="s">
        <v>41</v>
      </c>
      <c r="F21" s="13" t="s">
        <v>42</v>
      </c>
      <c r="J21" s="240" t="s">
        <v>43</v>
      </c>
      <c r="K21" s="241"/>
      <c r="L21" s="241"/>
      <c r="M21" s="242"/>
    </row>
    <row r="22" spans="2:15">
      <c r="B22" s="2" t="s">
        <v>44</v>
      </c>
      <c r="C22" s="205" t="s">
        <v>45</v>
      </c>
      <c r="D22" s="206"/>
      <c r="E22" s="2">
        <v>14</v>
      </c>
      <c r="F22" s="2">
        <v>0</v>
      </c>
      <c r="H22" s="106" t="s">
        <v>46</v>
      </c>
      <c r="I22" s="4" t="s">
        <v>47</v>
      </c>
      <c r="J22" s="159"/>
      <c r="K22" s="49"/>
      <c r="L22" s="49"/>
    </row>
    <row r="23" spans="2:15">
      <c r="B23" s="2" t="s">
        <v>48</v>
      </c>
      <c r="C23" s="205" t="s">
        <v>49</v>
      </c>
      <c r="D23" s="206"/>
      <c r="E23" s="2">
        <v>14</v>
      </c>
      <c r="F23" s="2">
        <v>1</v>
      </c>
      <c r="I23" s="170" t="s">
        <v>50</v>
      </c>
      <c r="J23" s="171" t="str">
        <f>SUBSTITUTE(J22,";"," ")</f>
        <v/>
      </c>
      <c r="K23" s="172"/>
      <c r="L23" s="172"/>
      <c r="M23" s="173"/>
    </row>
    <row r="24" spans="2:15">
      <c r="B24" s="2" t="s">
        <v>51</v>
      </c>
      <c r="C24" s="205" t="s">
        <v>52</v>
      </c>
      <c r="D24" s="206"/>
      <c r="E24" s="2">
        <v>14</v>
      </c>
      <c r="F24" s="2">
        <v>2</v>
      </c>
      <c r="J24" s="240" t="s">
        <v>53</v>
      </c>
      <c r="K24" s="241"/>
      <c r="L24" s="241"/>
      <c r="M24" s="242"/>
    </row>
    <row r="25" spans="2:15">
      <c r="B25" s="2" t="s">
        <v>54</v>
      </c>
      <c r="C25" s="205" t="s">
        <v>55</v>
      </c>
      <c r="D25" s="206"/>
      <c r="E25" s="2">
        <v>14</v>
      </c>
      <c r="F25" s="2">
        <v>3</v>
      </c>
      <c r="H25" s="106" t="s">
        <v>46</v>
      </c>
      <c r="I25" s="4" t="s">
        <v>50</v>
      </c>
      <c r="J25" s="160"/>
      <c r="K25" s="32"/>
      <c r="L25" s="32"/>
    </row>
    <row r="26" spans="2:15">
      <c r="B26" s="2" t="s">
        <v>56</v>
      </c>
      <c r="C26" s="205" t="s">
        <v>57</v>
      </c>
      <c r="D26" s="206"/>
      <c r="E26" s="2">
        <v>14</v>
      </c>
      <c r="F26" s="2">
        <v>4</v>
      </c>
      <c r="I26" s="170" t="s">
        <v>47</v>
      </c>
      <c r="J26" s="176" t="str">
        <f>SUBSTITUTE(J25," ",";")</f>
        <v/>
      </c>
      <c r="K26" s="177"/>
      <c r="L26" s="177"/>
      <c r="M26" s="173"/>
    </row>
    <row r="27" spans="2:15">
      <c r="B27" s="2" t="s">
        <v>58</v>
      </c>
      <c r="C27" s="205" t="s">
        <v>59</v>
      </c>
      <c r="D27" s="206"/>
      <c r="E27" s="2">
        <v>14</v>
      </c>
      <c r="F27" s="2">
        <v>15</v>
      </c>
    </row>
    <row r="28" spans="2:15">
      <c r="B28" s="16"/>
      <c r="C28" s="17"/>
      <c r="D28" s="17"/>
      <c r="E28" s="16"/>
      <c r="F28" s="16"/>
      <c r="J28" s="240" t="s">
        <v>60</v>
      </c>
      <c r="K28" s="241"/>
      <c r="L28" s="241"/>
      <c r="M28" s="242"/>
    </row>
    <row r="29" spans="2:15">
      <c r="B29" s="16"/>
      <c r="C29" s="17"/>
      <c r="D29" s="17"/>
      <c r="E29" s="16"/>
      <c r="F29" s="16"/>
      <c r="H29" s="106" t="s">
        <v>46</v>
      </c>
      <c r="I29" s="4" t="s">
        <v>61</v>
      </c>
      <c r="J29" s="159"/>
      <c r="K29" s="105"/>
      <c r="L29" s="105"/>
      <c r="M29" s="105"/>
      <c r="N29" s="86"/>
      <c r="O29" s="86"/>
    </row>
    <row r="30" spans="2:15">
      <c r="B30" t="s">
        <v>62</v>
      </c>
      <c r="I30" s="170" t="s">
        <v>63</v>
      </c>
      <c r="J30" s="174" t="str">
        <f>IF(ISERROR(CONCATENATE(DEC2HEX(MID(J29,1,2),2)," ",DEC2HEX(MID(J29,3,2),2)," ",DEC2HEX(MID(J29,5,2),2)," ",DEC2HEX(MID(J29,8,2),2)," ",CONCATENATE(MID(DEC2HEX(MID(J29,11,10),10),1,2)," ",MID(DEC2HEX(MID(J29,11,10),10),3,2)," ",MID(DEC2HEX(MID(J29,11,10),10),5,2)," ",MID(DEC2HEX(MID(J29,11,10),10),7,2)," ",MID(DEC2HEX(MID(J29,11,10),10),9,2))," ",CONCATENATE(MID(DEC2HEX(MID(J29,22,3),4),1,2)," ",MID(DEC2HEX(MID(J29,22,3),4),3,2)," ",)))=TRUE,"",CONCATENATE(DEC2HEX(MID(J29,1,2),2)," ",DEC2HEX(MID(J29,3,2),2)," ",DEC2HEX(MID(J29,5,2),2)," ",DEC2HEX(MID(J29,8,2),2)," ",CONCATENATE(MID(DEC2HEX(MID(J29,11,10),10),1,2)," ",MID(DEC2HEX(MID(J29,11,10),10),3,2)," ",MID(DEC2HEX(MID(J29,11,10),10),5,2)," ",MID(DEC2HEX(MID(J29,11,10),10),7,2)," ",MID(DEC2HEX(MID(J29,11,10),10),9,2))," ",CONCATENATE(MID(DEC2HEX(MID(J29,22,3),4),1,2)," ",MID(DEC2HEX(MID(J29,22,3),4),3,2)," ",)))</f>
        <v/>
      </c>
      <c r="K30" s="175"/>
      <c r="L30" s="175"/>
      <c r="M30" s="175"/>
      <c r="N30" s="86"/>
      <c r="O30" s="86"/>
    </row>
    <row r="31" spans="2:15">
      <c r="B31" s="8" t="s">
        <v>1</v>
      </c>
      <c r="C31" s="214" t="s">
        <v>40</v>
      </c>
      <c r="D31" s="215"/>
      <c r="H31" s="106" t="s">
        <v>46</v>
      </c>
      <c r="I31" s="4" t="s">
        <v>63</v>
      </c>
      <c r="J31" s="159" t="s">
        <v>64</v>
      </c>
      <c r="K31" s="105"/>
      <c r="L31" s="105"/>
      <c r="M31" s="105"/>
      <c r="N31" s="86"/>
      <c r="O31" s="86"/>
    </row>
    <row r="32" spans="2:15">
      <c r="B32" s="57" t="s">
        <v>65</v>
      </c>
      <c r="C32" s="205" t="s">
        <v>66</v>
      </c>
      <c r="D32" s="206"/>
      <c r="I32" s="170" t="s">
        <v>61</v>
      </c>
      <c r="J32" s="174" t="str">
        <f>CONCATENATE((TEXT(HEX2DEC(MID(J31,1,2)),"00")),(TEXT(HEX2DEC(MID(J31,4,2)),"00")),(TEXT(HEX2DEC(MID(J31,7,2)),"00")),"-",(TEXT(HEX2DEC(MID(J31,10,2)),"00")),"-",(TEXT(HEX2DEC(MID(J31,13,2))*2^32+HEX2DEC(SUBSTITUTE(MID(J31,16,11)," ","")),"0000000000")),"-",(TEXT(HEX2DEC(SUBSTITUTE(MID(J31,28,5)," ","")),"000")))</f>
        <v>140603-12-4828271874-976</v>
      </c>
      <c r="K32" s="175"/>
      <c r="L32" s="175"/>
      <c r="M32" s="175"/>
      <c r="N32" s="86"/>
      <c r="O32" s="86"/>
    </row>
    <row r="33" spans="2:15">
      <c r="B33" s="57" t="s">
        <v>67</v>
      </c>
      <c r="C33" s="205" t="s">
        <v>66</v>
      </c>
      <c r="D33" s="206"/>
      <c r="N33" s="86"/>
      <c r="O33" s="86"/>
    </row>
    <row r="34" spans="2:15">
      <c r="B34" s="57" t="s">
        <v>68</v>
      </c>
      <c r="C34" s="205" t="s">
        <v>66</v>
      </c>
      <c r="D34" s="206"/>
    </row>
    <row r="35" spans="2:15">
      <c r="B35" s="57" t="s">
        <v>69</v>
      </c>
      <c r="C35" s="205" t="s">
        <v>66</v>
      </c>
      <c r="D35" s="206"/>
    </row>
    <row r="36" spans="2:15">
      <c r="B36" s="57" t="s">
        <v>70</v>
      </c>
      <c r="C36" s="205" t="s">
        <v>66</v>
      </c>
      <c r="D36" s="206"/>
      <c r="I36" s="104"/>
      <c r="L36" s="86"/>
      <c r="O36" s="86"/>
    </row>
    <row r="37" spans="2:15">
      <c r="B37" s="57" t="s">
        <v>71</v>
      </c>
      <c r="C37" s="205" t="s">
        <v>66</v>
      </c>
      <c r="D37" s="206"/>
      <c r="I37" s="104"/>
      <c r="L37" s="86"/>
      <c r="O37" s="86"/>
    </row>
    <row r="38" spans="2:15">
      <c r="B38" s="57" t="s">
        <v>72</v>
      </c>
      <c r="C38" s="205" t="s">
        <v>73</v>
      </c>
      <c r="D38" s="206"/>
      <c r="I38" s="104"/>
      <c r="L38" s="86"/>
      <c r="O38" s="86"/>
    </row>
    <row r="39" spans="2:15">
      <c r="B39" s="57" t="s">
        <v>74</v>
      </c>
      <c r="C39" s="205" t="s">
        <v>75</v>
      </c>
      <c r="D39" s="206"/>
      <c r="I39" s="104"/>
      <c r="L39" s="86"/>
      <c r="O39" s="86"/>
    </row>
    <row r="40" spans="2:15">
      <c r="B40" s="57" t="s">
        <v>76</v>
      </c>
      <c r="C40" s="205" t="s">
        <v>77</v>
      </c>
      <c r="D40" s="206"/>
      <c r="I40" s="104"/>
      <c r="L40" s="86"/>
      <c r="O40" s="86"/>
    </row>
    <row r="41" spans="2:15">
      <c r="I41" s="104"/>
      <c r="L41" s="86"/>
      <c r="O41" s="86"/>
    </row>
    <row r="42" spans="2:15">
      <c r="I42" s="104"/>
      <c r="L42" s="86"/>
      <c r="O42" s="86"/>
    </row>
    <row r="43" spans="2:15">
      <c r="B43" t="s">
        <v>78</v>
      </c>
      <c r="I43" s="104"/>
      <c r="L43" s="86"/>
      <c r="O43" s="86"/>
    </row>
    <row r="44" spans="2:15">
      <c r="B44" s="8" t="s">
        <v>1</v>
      </c>
      <c r="C44" s="214" t="s">
        <v>40</v>
      </c>
      <c r="D44" s="215"/>
      <c r="E44" s="238" t="s">
        <v>79</v>
      </c>
      <c r="F44" s="239"/>
      <c r="I44" s="104"/>
      <c r="L44" s="86"/>
      <c r="O44" s="86"/>
    </row>
    <row r="45" spans="2:15">
      <c r="B45" s="56" t="s">
        <v>67</v>
      </c>
      <c r="C45" s="205" t="s">
        <v>80</v>
      </c>
      <c r="D45" s="206"/>
      <c r="E45" s="205">
        <v>1</v>
      </c>
      <c r="F45" s="206"/>
      <c r="I45" s="104"/>
      <c r="L45" s="86"/>
      <c r="O45" s="86"/>
    </row>
    <row r="46" spans="2:15">
      <c r="B46" s="56" t="s">
        <v>68</v>
      </c>
      <c r="C46" s="205" t="s">
        <v>81</v>
      </c>
      <c r="D46" s="206"/>
      <c r="E46" s="205">
        <v>2</v>
      </c>
      <c r="F46" s="206"/>
      <c r="I46" s="104"/>
      <c r="L46" s="86"/>
      <c r="O46" s="86"/>
    </row>
    <row r="47" spans="2:15">
      <c r="I47" s="104"/>
      <c r="L47" s="86"/>
      <c r="O47" s="86"/>
    </row>
    <row r="48" spans="2:15">
      <c r="I48" s="104"/>
      <c r="L48" s="86"/>
      <c r="O48" s="86"/>
    </row>
    <row r="49" spans="2:15">
      <c r="B49" t="s">
        <v>82</v>
      </c>
      <c r="I49" s="104"/>
      <c r="L49" s="86"/>
      <c r="O49" s="86"/>
    </row>
    <row r="50" spans="2:15">
      <c r="B50" s="8" t="s">
        <v>1</v>
      </c>
      <c r="C50" s="214" t="s">
        <v>40</v>
      </c>
      <c r="D50" s="215"/>
      <c r="E50" s="238" t="s">
        <v>83</v>
      </c>
      <c r="F50" s="239"/>
      <c r="I50" s="104"/>
      <c r="L50" s="86"/>
      <c r="O50" s="86"/>
    </row>
    <row r="51" spans="2:15">
      <c r="B51" s="56" t="s">
        <v>65</v>
      </c>
      <c r="C51" s="205" t="s">
        <v>84</v>
      </c>
      <c r="D51" s="206"/>
      <c r="E51" s="205">
        <v>0</v>
      </c>
      <c r="F51" s="206"/>
      <c r="I51" s="104"/>
      <c r="L51" s="86"/>
      <c r="O51" s="86"/>
    </row>
    <row r="52" spans="2:15">
      <c r="B52" s="56" t="s">
        <v>67</v>
      </c>
      <c r="C52" s="205" t="s">
        <v>85</v>
      </c>
      <c r="D52" s="206"/>
      <c r="E52" s="205">
        <v>1</v>
      </c>
      <c r="F52" s="206"/>
      <c r="I52" s="104"/>
      <c r="L52" s="86"/>
      <c r="O52" s="86"/>
    </row>
    <row r="53" spans="2:15">
      <c r="B53" s="56" t="s">
        <v>68</v>
      </c>
      <c r="C53" s="205" t="s">
        <v>86</v>
      </c>
      <c r="D53" s="206"/>
      <c r="E53" s="205">
        <v>2</v>
      </c>
      <c r="F53" s="206"/>
      <c r="I53" s="104"/>
      <c r="L53" s="86"/>
      <c r="O53" s="86"/>
    </row>
    <row r="54" spans="2:15">
      <c r="B54" s="56" t="s">
        <v>87</v>
      </c>
      <c r="C54" s="205" t="s">
        <v>88</v>
      </c>
      <c r="D54" s="206"/>
      <c r="E54" s="205">
        <v>3</v>
      </c>
      <c r="F54" s="206"/>
      <c r="I54" s="104"/>
      <c r="L54" s="86"/>
      <c r="O54" s="86"/>
    </row>
    <row r="55" spans="2:15">
      <c r="B55" s="56" t="s">
        <v>69</v>
      </c>
      <c r="C55" s="205" t="s">
        <v>89</v>
      </c>
      <c r="D55" s="206"/>
      <c r="E55" s="205">
        <v>4</v>
      </c>
      <c r="F55" s="206"/>
      <c r="I55" s="104"/>
      <c r="L55" s="86"/>
      <c r="O55" s="86"/>
    </row>
    <row r="56" spans="2:15">
      <c r="B56" s="56" t="s">
        <v>90</v>
      </c>
      <c r="C56" s="205" t="s">
        <v>91</v>
      </c>
      <c r="D56" s="206"/>
      <c r="E56" s="205">
        <v>5</v>
      </c>
      <c r="F56" s="206"/>
      <c r="I56" s="104"/>
      <c r="L56" s="86"/>
      <c r="O56" s="86"/>
    </row>
    <row r="57" spans="2:15">
      <c r="I57" s="104"/>
      <c r="L57" s="86"/>
      <c r="O57" s="86"/>
    </row>
    <row r="58" spans="2:15">
      <c r="I58" s="104"/>
      <c r="L58" s="86"/>
      <c r="O58" s="86"/>
    </row>
    <row r="59" spans="2:15">
      <c r="B59" t="s">
        <v>92</v>
      </c>
      <c r="I59" s="104"/>
      <c r="L59" s="86"/>
      <c r="O59" s="86"/>
    </row>
    <row r="60" spans="2:15">
      <c r="B60" s="8" t="s">
        <v>1</v>
      </c>
      <c r="C60" s="214" t="s">
        <v>40</v>
      </c>
      <c r="D60" s="215"/>
      <c r="E60" s="238" t="s">
        <v>93</v>
      </c>
      <c r="F60" s="239"/>
      <c r="I60" s="104"/>
      <c r="L60" s="86"/>
      <c r="O60" s="86"/>
    </row>
    <row r="61" spans="2:15">
      <c r="B61" s="56" t="s">
        <v>65</v>
      </c>
      <c r="C61" s="205" t="s">
        <v>94</v>
      </c>
      <c r="D61" s="206"/>
      <c r="E61" s="205">
        <v>0</v>
      </c>
      <c r="F61" s="206"/>
      <c r="I61" s="104"/>
      <c r="L61" s="86"/>
      <c r="O61" s="86"/>
    </row>
    <row r="62" spans="2:15">
      <c r="B62" s="56" t="s">
        <v>67</v>
      </c>
      <c r="C62" s="205" t="s">
        <v>95</v>
      </c>
      <c r="D62" s="206"/>
      <c r="E62" s="205">
        <v>1</v>
      </c>
      <c r="F62" s="206"/>
      <c r="I62" s="104"/>
      <c r="L62" s="86"/>
      <c r="O62" s="86"/>
    </row>
    <row r="63" spans="2:15">
      <c r="B63" s="56" t="s">
        <v>68</v>
      </c>
      <c r="C63" s="205" t="s">
        <v>96</v>
      </c>
      <c r="D63" s="206"/>
      <c r="E63" s="205">
        <v>2</v>
      </c>
      <c r="F63" s="206"/>
      <c r="I63" s="104"/>
      <c r="L63" s="86"/>
      <c r="O63" s="86"/>
    </row>
    <row r="64" spans="2:15">
      <c r="B64" s="56" t="s">
        <v>87</v>
      </c>
      <c r="C64" s="205" t="s">
        <v>97</v>
      </c>
      <c r="D64" s="206"/>
      <c r="E64" s="205">
        <v>3</v>
      </c>
      <c r="F64" s="206"/>
      <c r="I64" s="104"/>
      <c r="L64" s="86"/>
      <c r="O64" s="86"/>
    </row>
    <row r="65" spans="2:15">
      <c r="B65" s="56" t="s">
        <v>69</v>
      </c>
      <c r="C65" s="205" t="s">
        <v>98</v>
      </c>
      <c r="D65" s="206"/>
      <c r="E65" s="205">
        <v>4</v>
      </c>
      <c r="F65" s="206"/>
      <c r="I65" s="104"/>
      <c r="L65" s="86"/>
      <c r="O65" s="86"/>
    </row>
    <row r="66" spans="2:15">
      <c r="B66" s="56" t="s">
        <v>90</v>
      </c>
      <c r="C66" s="205" t="s">
        <v>99</v>
      </c>
      <c r="D66" s="206"/>
      <c r="E66" s="205">
        <v>5</v>
      </c>
      <c r="F66" s="206"/>
      <c r="I66" s="104"/>
      <c r="L66" s="86"/>
      <c r="O66" s="86"/>
    </row>
    <row r="67" spans="2:15">
      <c r="B67" s="56" t="s">
        <v>100</v>
      </c>
      <c r="C67" s="205" t="s">
        <v>101</v>
      </c>
      <c r="D67" s="206"/>
      <c r="E67" s="205">
        <v>6</v>
      </c>
      <c r="F67" s="206"/>
      <c r="I67" s="104"/>
      <c r="L67" s="86"/>
      <c r="O67" s="86"/>
    </row>
    <row r="68" spans="2:15">
      <c r="B68" s="56" t="s">
        <v>102</v>
      </c>
      <c r="C68" s="205" t="s">
        <v>103</v>
      </c>
      <c r="D68" s="206"/>
      <c r="E68" s="205">
        <v>7</v>
      </c>
      <c r="F68" s="206"/>
      <c r="I68" s="104"/>
      <c r="L68" s="86"/>
      <c r="O68" s="86"/>
    </row>
    <row r="69" spans="2:15">
      <c r="B69" s="56" t="s">
        <v>70</v>
      </c>
      <c r="C69" s="205" t="s">
        <v>104</v>
      </c>
      <c r="D69" s="206"/>
      <c r="E69" s="205">
        <v>8</v>
      </c>
      <c r="F69" s="206"/>
      <c r="I69" s="104"/>
      <c r="L69" s="86"/>
      <c r="O69" s="86"/>
    </row>
    <row r="70" spans="2:15">
      <c r="B70" t="s">
        <v>105</v>
      </c>
      <c r="I70" s="104"/>
      <c r="L70" s="86"/>
      <c r="O70" s="86"/>
    </row>
    <row r="71" spans="2:15">
      <c r="I71" s="104"/>
      <c r="L71" s="86"/>
      <c r="O71" s="86"/>
    </row>
    <row r="72" spans="2:15">
      <c r="I72" s="104"/>
      <c r="L72" s="86"/>
      <c r="O72" s="86"/>
    </row>
    <row r="73" spans="2:15">
      <c r="B73" t="s">
        <v>106</v>
      </c>
      <c r="I73" s="104"/>
      <c r="L73" s="86"/>
      <c r="O73" s="86"/>
    </row>
    <row r="74" spans="2:15">
      <c r="B74" s="8" t="s">
        <v>1</v>
      </c>
      <c r="C74" s="214" t="s">
        <v>40</v>
      </c>
      <c r="D74" s="215"/>
      <c r="E74" s="238" t="s">
        <v>107</v>
      </c>
      <c r="F74" s="239"/>
      <c r="I74" s="104"/>
      <c r="L74" s="86"/>
      <c r="O74" s="86"/>
    </row>
    <row r="75" spans="2:15">
      <c r="B75" s="56" t="s">
        <v>65</v>
      </c>
      <c r="C75" s="205" t="s">
        <v>108</v>
      </c>
      <c r="D75" s="206"/>
      <c r="E75" s="205">
        <v>0</v>
      </c>
      <c r="F75" s="206"/>
      <c r="I75" s="104"/>
      <c r="L75" s="86"/>
      <c r="O75" s="86"/>
    </row>
    <row r="76" spans="2:15">
      <c r="B76" s="56" t="s">
        <v>67</v>
      </c>
      <c r="C76" s="205" t="s">
        <v>109</v>
      </c>
      <c r="D76" s="206"/>
      <c r="E76" s="205">
        <v>1</v>
      </c>
      <c r="F76" s="206"/>
      <c r="I76" s="104"/>
      <c r="L76" s="86"/>
      <c r="O76" s="86"/>
    </row>
    <row r="77" spans="2:15">
      <c r="B77" s="56" t="s">
        <v>68</v>
      </c>
      <c r="C77" s="205" t="s">
        <v>110</v>
      </c>
      <c r="D77" s="206"/>
      <c r="E77" s="205">
        <v>2</v>
      </c>
      <c r="F77" s="206"/>
      <c r="I77" s="104"/>
      <c r="L77" s="86"/>
      <c r="O77" s="86"/>
    </row>
    <row r="78" spans="2:15">
      <c r="I78" s="104"/>
      <c r="L78" s="86"/>
      <c r="O78" s="86"/>
    </row>
    <row r="79" spans="2:15">
      <c r="I79" s="104"/>
      <c r="L79" s="86"/>
      <c r="O79" s="86"/>
    </row>
    <row r="80" spans="2:15">
      <c r="B80" t="s">
        <v>111</v>
      </c>
      <c r="I80" s="104"/>
      <c r="L80" s="86"/>
      <c r="O80" s="86"/>
    </row>
    <row r="81" spans="2:15">
      <c r="B81" s="8" t="s">
        <v>1</v>
      </c>
      <c r="C81" s="214" t="s">
        <v>40</v>
      </c>
      <c r="D81" s="215"/>
      <c r="E81" s="238" t="s">
        <v>112</v>
      </c>
      <c r="F81" s="239"/>
      <c r="I81" s="104"/>
      <c r="L81" s="86"/>
      <c r="O81" s="86"/>
    </row>
    <row r="82" spans="2:15">
      <c r="B82" s="56" t="s">
        <v>65</v>
      </c>
      <c r="C82" s="205" t="s">
        <v>113</v>
      </c>
      <c r="D82" s="206"/>
      <c r="E82" s="205">
        <v>0</v>
      </c>
      <c r="F82" s="206"/>
      <c r="I82" s="104"/>
      <c r="L82" s="86"/>
      <c r="O82" s="86"/>
    </row>
    <row r="83" spans="2:15">
      <c r="B83" s="56" t="s">
        <v>67</v>
      </c>
      <c r="C83" s="205" t="s">
        <v>114</v>
      </c>
      <c r="D83" s="206"/>
      <c r="E83" s="205">
        <v>1</v>
      </c>
      <c r="F83" s="206"/>
      <c r="I83" s="104"/>
      <c r="L83" s="86"/>
      <c r="O83" s="86"/>
    </row>
    <row r="84" spans="2:15">
      <c r="I84" s="104"/>
      <c r="L84" s="86"/>
      <c r="O84" s="86"/>
    </row>
    <row r="85" spans="2:15">
      <c r="I85" s="104"/>
      <c r="L85" s="86"/>
      <c r="O85" s="86"/>
    </row>
    <row r="86" spans="2:15">
      <c r="B86" s="23" t="s">
        <v>115</v>
      </c>
      <c r="I86" s="104"/>
      <c r="L86" s="86"/>
      <c r="O86" s="86"/>
    </row>
    <row r="87" spans="2:15">
      <c r="B87" s="8" t="s">
        <v>1</v>
      </c>
      <c r="C87" s="214" t="s">
        <v>40</v>
      </c>
      <c r="D87" s="215"/>
      <c r="E87" s="238" t="s">
        <v>116</v>
      </c>
      <c r="F87" s="239"/>
      <c r="I87" s="104"/>
      <c r="L87" s="86"/>
      <c r="O87" s="86"/>
    </row>
    <row r="88" spans="2:15">
      <c r="B88" s="56" t="s">
        <v>67</v>
      </c>
      <c r="C88" s="205" t="s">
        <v>117</v>
      </c>
      <c r="D88" s="206"/>
      <c r="E88" s="205">
        <v>1</v>
      </c>
      <c r="F88" s="206"/>
      <c r="I88" s="104"/>
      <c r="L88" s="86"/>
      <c r="O88" s="86"/>
    </row>
    <row r="89" spans="2:15">
      <c r="B89" s="56" t="s">
        <v>68</v>
      </c>
      <c r="C89" s="205" t="s">
        <v>118</v>
      </c>
      <c r="D89" s="206"/>
      <c r="E89" s="205">
        <v>2</v>
      </c>
      <c r="F89" s="206"/>
      <c r="I89" s="104"/>
      <c r="L89" s="86"/>
      <c r="O89" s="86"/>
    </row>
    <row r="90" spans="2:15">
      <c r="I90" s="104"/>
      <c r="L90" s="86"/>
      <c r="O90" s="86"/>
    </row>
    <row r="91" spans="2:15">
      <c r="I91" s="104"/>
      <c r="L91" s="86"/>
      <c r="O91" s="86"/>
    </row>
    <row r="92" spans="2:15">
      <c r="B92" t="s">
        <v>119</v>
      </c>
      <c r="I92" s="104"/>
      <c r="L92" s="86"/>
      <c r="O92" s="86"/>
    </row>
    <row r="93" spans="2:15">
      <c r="B93" s="8" t="s">
        <v>1</v>
      </c>
      <c r="C93" s="214" t="s">
        <v>40</v>
      </c>
      <c r="D93" s="215"/>
      <c r="E93" s="238" t="s">
        <v>120</v>
      </c>
      <c r="F93" s="239"/>
    </row>
    <row r="94" spans="2:15">
      <c r="B94" s="56" t="s">
        <v>65</v>
      </c>
      <c r="C94" s="205" t="s">
        <v>121</v>
      </c>
      <c r="D94" s="206"/>
      <c r="E94" s="205">
        <v>0</v>
      </c>
      <c r="F94" s="206"/>
    </row>
    <row r="95" spans="2:15">
      <c r="B95" s="56" t="s">
        <v>67</v>
      </c>
      <c r="C95" s="205" t="s">
        <v>95</v>
      </c>
      <c r="D95" s="206"/>
      <c r="E95" s="205">
        <v>1</v>
      </c>
      <c r="F95" s="206"/>
    </row>
    <row r="96" spans="2:15">
      <c r="B96" s="56" t="s">
        <v>68</v>
      </c>
      <c r="C96" s="205" t="s">
        <v>96</v>
      </c>
      <c r="D96" s="206"/>
      <c r="E96" s="205">
        <v>2</v>
      </c>
      <c r="F96" s="206"/>
    </row>
    <row r="97" spans="2:6">
      <c r="B97" s="56" t="s">
        <v>87</v>
      </c>
      <c r="C97" s="205" t="s">
        <v>97</v>
      </c>
      <c r="D97" s="206"/>
      <c r="E97" s="205">
        <v>3</v>
      </c>
      <c r="F97" s="206"/>
    </row>
    <row r="98" spans="2:6">
      <c r="B98" s="56" t="s">
        <v>69</v>
      </c>
      <c r="C98" s="205" t="s">
        <v>98</v>
      </c>
      <c r="D98" s="206"/>
      <c r="E98" s="205">
        <v>4</v>
      </c>
      <c r="F98" s="206"/>
    </row>
    <row r="99" spans="2:6">
      <c r="B99" s="56" t="s">
        <v>90</v>
      </c>
      <c r="C99" s="205" t="s">
        <v>99</v>
      </c>
      <c r="D99" s="206"/>
      <c r="E99" s="205">
        <v>5</v>
      </c>
      <c r="F99" s="206"/>
    </row>
    <row r="100" spans="2:6">
      <c r="B100" s="56" t="s">
        <v>100</v>
      </c>
      <c r="C100" s="205" t="s">
        <v>101</v>
      </c>
      <c r="D100" s="206"/>
      <c r="E100" s="205">
        <v>6</v>
      </c>
      <c r="F100" s="206"/>
    </row>
    <row r="101" spans="2:6">
      <c r="B101" s="56" t="s">
        <v>102</v>
      </c>
      <c r="C101" s="205" t="s">
        <v>103</v>
      </c>
      <c r="D101" s="206"/>
      <c r="E101" s="205">
        <v>7</v>
      </c>
      <c r="F101" s="206"/>
    </row>
    <row r="102" spans="2:6">
      <c r="B102" s="56" t="s">
        <v>70</v>
      </c>
      <c r="C102" s="205" t="s">
        <v>104</v>
      </c>
      <c r="D102" s="206"/>
      <c r="E102" s="205">
        <v>8</v>
      </c>
      <c r="F102" s="206"/>
    </row>
    <row r="103" spans="2:6">
      <c r="B103" t="s">
        <v>122</v>
      </c>
    </row>
    <row r="106" spans="2:6">
      <c r="B106" t="s">
        <v>123</v>
      </c>
    </row>
    <row r="107" spans="2:6">
      <c r="B107" s="8" t="s">
        <v>1</v>
      </c>
      <c r="C107" s="214" t="s">
        <v>40</v>
      </c>
      <c r="D107" s="215"/>
      <c r="E107" s="13" t="s">
        <v>41</v>
      </c>
      <c r="F107" s="13" t="s">
        <v>42</v>
      </c>
    </row>
    <row r="108" spans="2:6">
      <c r="B108" s="9" t="s">
        <v>124</v>
      </c>
      <c r="C108" s="231" t="s">
        <v>125</v>
      </c>
      <c r="D108" s="231"/>
      <c r="E108" s="2">
        <v>8</v>
      </c>
      <c r="F108" s="2">
        <v>1</v>
      </c>
    </row>
    <row r="109" spans="2:6">
      <c r="B109" s="9" t="s">
        <v>126</v>
      </c>
      <c r="C109" s="231" t="s">
        <v>127</v>
      </c>
      <c r="D109" s="231"/>
      <c r="E109" s="2">
        <v>8</v>
      </c>
      <c r="F109" s="2">
        <v>2</v>
      </c>
    </row>
    <row r="110" spans="2:6">
      <c r="B110" s="9" t="s">
        <v>128</v>
      </c>
      <c r="C110" s="231" t="s">
        <v>129</v>
      </c>
      <c r="D110" s="231"/>
      <c r="E110" s="2">
        <v>8</v>
      </c>
      <c r="F110" s="2">
        <v>4</v>
      </c>
    </row>
    <row r="111" spans="2:6">
      <c r="B111" s="16"/>
      <c r="C111" s="17"/>
      <c r="D111" s="17"/>
      <c r="E111" s="16"/>
      <c r="F111" s="16"/>
    </row>
    <row r="112" spans="2:6">
      <c r="B112" s="16"/>
      <c r="C112" s="17"/>
      <c r="D112" s="17"/>
      <c r="E112" s="16"/>
      <c r="F112" s="16"/>
    </row>
    <row r="113" spans="2:6">
      <c r="B113" s="23" t="s">
        <v>130</v>
      </c>
    </row>
    <row r="114" spans="2:6">
      <c r="B114" s="8" t="s">
        <v>1</v>
      </c>
      <c r="C114" s="214" t="s">
        <v>40</v>
      </c>
      <c r="D114" s="215"/>
      <c r="E114" s="13" t="s">
        <v>41</v>
      </c>
      <c r="F114" s="13" t="s">
        <v>42</v>
      </c>
    </row>
    <row r="115" spans="2:6">
      <c r="B115" s="56" t="s">
        <v>131</v>
      </c>
      <c r="C115" s="205" t="s">
        <v>132</v>
      </c>
      <c r="D115" s="206"/>
      <c r="E115" s="2">
        <v>8</v>
      </c>
      <c r="F115" s="2">
        <v>12</v>
      </c>
    </row>
    <row r="116" spans="2:6">
      <c r="B116" s="34"/>
      <c r="C116" s="17"/>
      <c r="D116" s="17"/>
      <c r="E116" s="16"/>
      <c r="F116" s="16"/>
    </row>
    <row r="117" spans="2:6">
      <c r="B117" s="34"/>
      <c r="C117" s="17"/>
      <c r="D117" s="17"/>
      <c r="E117" s="16"/>
      <c r="F117" s="16"/>
    </row>
    <row r="118" spans="2:6">
      <c r="B118" s="23" t="s">
        <v>133</v>
      </c>
    </row>
    <row r="119" spans="2:6">
      <c r="B119" s="8" t="s">
        <v>1</v>
      </c>
      <c r="C119" s="214" t="s">
        <v>40</v>
      </c>
      <c r="D119" s="215"/>
      <c r="E119" s="238" t="s">
        <v>134</v>
      </c>
      <c r="F119" s="239"/>
    </row>
    <row r="120" spans="2:6">
      <c r="B120" s="56" t="s">
        <v>67</v>
      </c>
      <c r="C120" s="205" t="s">
        <v>135</v>
      </c>
      <c r="D120" s="206"/>
      <c r="E120" s="207">
        <v>1</v>
      </c>
      <c r="F120" s="208"/>
    </row>
    <row r="121" spans="2:6">
      <c r="B121" s="56" t="s">
        <v>68</v>
      </c>
      <c r="C121" s="205" t="s">
        <v>136</v>
      </c>
      <c r="D121" s="206"/>
      <c r="E121" s="207">
        <v>2</v>
      </c>
      <c r="F121" s="208"/>
    </row>
    <row r="122" spans="2:6">
      <c r="B122" s="56" t="s">
        <v>87</v>
      </c>
      <c r="C122" s="205" t="s">
        <v>137</v>
      </c>
      <c r="D122" s="206"/>
      <c r="E122" s="207">
        <v>3</v>
      </c>
      <c r="F122" s="208"/>
    </row>
    <row r="125" spans="2:6">
      <c r="B125" s="23" t="s">
        <v>138</v>
      </c>
    </row>
    <row r="126" spans="2:6">
      <c r="B126" s="8" t="s">
        <v>1</v>
      </c>
      <c r="C126" s="214" t="s">
        <v>40</v>
      </c>
      <c r="D126" s="215"/>
      <c r="E126" s="13" t="s">
        <v>41</v>
      </c>
      <c r="F126" s="13" t="s">
        <v>42</v>
      </c>
    </row>
    <row r="127" spans="2:6">
      <c r="B127" s="56" t="s">
        <v>139</v>
      </c>
      <c r="C127" s="205" t="s">
        <v>140</v>
      </c>
      <c r="D127" s="206"/>
      <c r="E127" s="2">
        <v>6</v>
      </c>
      <c r="F127" s="2">
        <v>3</v>
      </c>
    </row>
    <row r="128" spans="2:6">
      <c r="B128" s="56" t="s">
        <v>141</v>
      </c>
      <c r="C128" s="205" t="s">
        <v>142</v>
      </c>
      <c r="D128" s="206"/>
      <c r="E128" s="2">
        <v>6</v>
      </c>
      <c r="F128" s="2">
        <v>10</v>
      </c>
    </row>
    <row r="129" spans="2:11">
      <c r="B129" s="56" t="s">
        <v>143</v>
      </c>
      <c r="C129" s="205" t="s">
        <v>144</v>
      </c>
      <c r="D129" s="206"/>
      <c r="E129" s="2">
        <v>6</v>
      </c>
      <c r="F129" s="2">
        <v>15</v>
      </c>
    </row>
    <row r="132" spans="2:11">
      <c r="B132" s="23" t="s">
        <v>145</v>
      </c>
    </row>
    <row r="133" spans="2:11">
      <c r="B133" s="8" t="s">
        <v>1</v>
      </c>
      <c r="C133" s="214" t="s">
        <v>40</v>
      </c>
      <c r="D133" s="215"/>
      <c r="E133" s="238" t="s">
        <v>146</v>
      </c>
      <c r="F133" s="239"/>
    </row>
    <row r="134" spans="2:11">
      <c r="B134" s="56" t="s">
        <v>65</v>
      </c>
      <c r="C134" s="205" t="s">
        <v>147</v>
      </c>
      <c r="D134" s="206"/>
      <c r="E134" s="207">
        <v>0</v>
      </c>
      <c r="F134" s="208"/>
    </row>
    <row r="135" spans="2:11">
      <c r="B135" s="56" t="s">
        <v>67</v>
      </c>
      <c r="C135" s="205" t="s">
        <v>148</v>
      </c>
      <c r="D135" s="206"/>
      <c r="E135" s="207">
        <v>1</v>
      </c>
      <c r="F135" s="208"/>
    </row>
    <row r="136" spans="2:11">
      <c r="B136" s="56" t="s">
        <v>68</v>
      </c>
      <c r="C136" s="205" t="s">
        <v>149</v>
      </c>
      <c r="D136" s="206"/>
      <c r="E136" s="207">
        <v>2</v>
      </c>
      <c r="F136" s="208"/>
    </row>
    <row r="137" spans="2:11">
      <c r="B137" s="56" t="s">
        <v>87</v>
      </c>
      <c r="C137" s="205" t="s">
        <v>149</v>
      </c>
      <c r="D137" s="206"/>
      <c r="E137" s="207">
        <v>3</v>
      </c>
      <c r="F137" s="208"/>
    </row>
    <row r="138" spans="2:11">
      <c r="B138" s="56" t="s">
        <v>69</v>
      </c>
      <c r="C138" s="205" t="s">
        <v>149</v>
      </c>
      <c r="D138" s="206"/>
      <c r="E138" s="207">
        <v>4</v>
      </c>
      <c r="F138" s="208"/>
    </row>
    <row r="139" spans="2:11">
      <c r="K139" s="63"/>
    </row>
    <row r="140" spans="2:11">
      <c r="K140" s="63"/>
    </row>
    <row r="141" spans="2:11">
      <c r="B141" s="23" t="s">
        <v>150</v>
      </c>
      <c r="K141" s="63"/>
    </row>
    <row r="142" spans="2:11">
      <c r="B142" s="8" t="s">
        <v>1</v>
      </c>
      <c r="C142" s="214" t="s">
        <v>40</v>
      </c>
      <c r="D142" s="215"/>
      <c r="E142" s="238" t="s">
        <v>151</v>
      </c>
      <c r="F142" s="239"/>
      <c r="K142" s="63"/>
    </row>
    <row r="143" spans="2:11">
      <c r="B143" s="56" t="s">
        <v>67</v>
      </c>
      <c r="C143" s="205" t="s">
        <v>152</v>
      </c>
      <c r="D143" s="206"/>
      <c r="E143" s="207">
        <v>1</v>
      </c>
      <c r="F143" s="208"/>
    </row>
    <row r="144" spans="2:11">
      <c r="B144" s="56" t="s">
        <v>68</v>
      </c>
      <c r="C144" s="205" t="s">
        <v>153</v>
      </c>
      <c r="D144" s="206"/>
      <c r="E144" s="207">
        <v>2</v>
      </c>
      <c r="F144" s="208"/>
    </row>
    <row r="145" spans="2:6">
      <c r="B145" s="56" t="s">
        <v>69</v>
      </c>
      <c r="C145" s="205" t="s">
        <v>154</v>
      </c>
      <c r="D145" s="206"/>
      <c r="E145" s="207">
        <v>4</v>
      </c>
      <c r="F145" s="208"/>
    </row>
    <row r="146" spans="2:6">
      <c r="B146" s="56" t="s">
        <v>70</v>
      </c>
      <c r="C146" s="205" t="s">
        <v>155</v>
      </c>
      <c r="D146" s="206"/>
      <c r="E146" s="207">
        <v>8</v>
      </c>
      <c r="F146" s="208"/>
    </row>
    <row r="147" spans="2:6">
      <c r="B147" s="51"/>
    </row>
    <row r="148" spans="2:6">
      <c r="B148" s="23" t="s">
        <v>156</v>
      </c>
    </row>
    <row r="149" spans="2:6">
      <c r="B149" s="8" t="s">
        <v>1</v>
      </c>
      <c r="C149" s="214" t="s">
        <v>40</v>
      </c>
      <c r="D149" s="215"/>
      <c r="E149" s="238" t="s">
        <v>157</v>
      </c>
      <c r="F149" s="239"/>
    </row>
    <row r="150" spans="2:6">
      <c r="B150" s="56" t="s">
        <v>65</v>
      </c>
      <c r="C150" s="205" t="s">
        <v>158</v>
      </c>
      <c r="D150" s="206"/>
      <c r="E150" s="207">
        <v>0</v>
      </c>
      <c r="F150" s="208"/>
    </row>
    <row r="151" spans="2:6">
      <c r="B151" s="56" t="s">
        <v>67</v>
      </c>
      <c r="C151" s="205" t="s">
        <v>159</v>
      </c>
      <c r="D151" s="206"/>
      <c r="E151" s="207">
        <v>1</v>
      </c>
      <c r="F151" s="208"/>
    </row>
    <row r="152" spans="2:6">
      <c r="B152" s="56" t="s">
        <v>68</v>
      </c>
      <c r="C152" s="205" t="s">
        <v>160</v>
      </c>
      <c r="D152" s="206"/>
      <c r="E152" s="207">
        <v>2</v>
      </c>
      <c r="F152" s="208"/>
    </row>
    <row r="153" spans="2:6">
      <c r="B153" s="56" t="s">
        <v>87</v>
      </c>
      <c r="C153" s="205" t="s">
        <v>161</v>
      </c>
      <c r="D153" s="206"/>
      <c r="E153" s="207">
        <v>3</v>
      </c>
      <c r="F153" s="208"/>
    </row>
    <row r="154" spans="2:6">
      <c r="B154" s="56" t="s">
        <v>69</v>
      </c>
      <c r="C154" s="205" t="s">
        <v>162</v>
      </c>
      <c r="D154" s="206"/>
      <c r="E154" s="207">
        <v>4</v>
      </c>
      <c r="F154" s="208"/>
    </row>
    <row r="155" spans="2:6">
      <c r="B155" s="56" t="s">
        <v>90</v>
      </c>
      <c r="C155" s="205" t="s">
        <v>163</v>
      </c>
      <c r="D155" s="206"/>
      <c r="E155" s="207">
        <v>5</v>
      </c>
      <c r="F155" s="208"/>
    </row>
    <row r="156" spans="2:6">
      <c r="B156" s="56" t="s">
        <v>100</v>
      </c>
      <c r="C156" s="205" t="s">
        <v>164</v>
      </c>
      <c r="D156" s="206"/>
      <c r="E156" s="207">
        <v>6</v>
      </c>
      <c r="F156" s="208"/>
    </row>
    <row r="157" spans="2:6">
      <c r="B157" s="56" t="s">
        <v>102</v>
      </c>
      <c r="C157" s="205" t="s">
        <v>165</v>
      </c>
      <c r="D157" s="206"/>
      <c r="E157" s="207">
        <v>7</v>
      </c>
      <c r="F157" s="208"/>
    </row>
    <row r="158" spans="2:6">
      <c r="B158" s="56" t="s">
        <v>70</v>
      </c>
      <c r="C158" s="205" t="s">
        <v>166</v>
      </c>
      <c r="D158" s="206"/>
      <c r="E158" s="207">
        <v>8</v>
      </c>
      <c r="F158" s="208"/>
    </row>
    <row r="161" spans="2:4">
      <c r="B161" s="23" t="s">
        <v>167</v>
      </c>
    </row>
    <row r="162" spans="2:4">
      <c r="B162" s="8" t="s">
        <v>1</v>
      </c>
      <c r="C162" s="214" t="s">
        <v>40</v>
      </c>
      <c r="D162" s="215"/>
    </row>
    <row r="163" spans="2:4">
      <c r="B163" s="56" t="s">
        <v>168</v>
      </c>
      <c r="C163" s="205" t="s">
        <v>169</v>
      </c>
      <c r="D163" s="206"/>
    </row>
    <row r="164" spans="2:4">
      <c r="B164" s="56" t="s">
        <v>170</v>
      </c>
      <c r="C164" s="205" t="s">
        <v>171</v>
      </c>
      <c r="D164" s="206"/>
    </row>
    <row r="165" spans="2:4">
      <c r="B165" s="56" t="s">
        <v>172</v>
      </c>
      <c r="C165" s="205" t="s">
        <v>173</v>
      </c>
      <c r="D165" s="206"/>
    </row>
    <row r="166" spans="2:4">
      <c r="B166" s="56" t="s">
        <v>174</v>
      </c>
      <c r="C166" s="205" t="s">
        <v>175</v>
      </c>
      <c r="D166" s="206"/>
    </row>
    <row r="167" spans="2:4">
      <c r="B167" s="56" t="s">
        <v>176</v>
      </c>
      <c r="C167" s="205" t="s">
        <v>66</v>
      </c>
      <c r="D167" s="206"/>
    </row>
    <row r="168" spans="2:4">
      <c r="B168" s="56" t="s">
        <v>177</v>
      </c>
      <c r="C168" s="205" t="s">
        <v>66</v>
      </c>
      <c r="D168" s="206"/>
    </row>
    <row r="169" spans="2:4">
      <c r="B169" s="56" t="s">
        <v>178</v>
      </c>
      <c r="C169" s="205" t="s">
        <v>66</v>
      </c>
      <c r="D169" s="206"/>
    </row>
    <row r="170" spans="2:4">
      <c r="B170" s="56" t="s">
        <v>179</v>
      </c>
      <c r="C170" s="205" t="s">
        <v>66</v>
      </c>
      <c r="D170" s="206"/>
    </row>
    <row r="171" spans="2:4">
      <c r="B171" s="56" t="s">
        <v>180</v>
      </c>
      <c r="C171" s="205" t="s">
        <v>66</v>
      </c>
      <c r="D171" s="206"/>
    </row>
    <row r="172" spans="2:4">
      <c r="B172" s="56" t="s">
        <v>181</v>
      </c>
      <c r="C172" s="205" t="s">
        <v>66</v>
      </c>
      <c r="D172" s="206"/>
    </row>
    <row r="173" spans="2:4">
      <c r="B173" s="56" t="s">
        <v>71</v>
      </c>
      <c r="C173" s="205" t="s">
        <v>66</v>
      </c>
      <c r="D173" s="206"/>
    </row>
    <row r="174" spans="2:4">
      <c r="B174" s="56" t="s">
        <v>182</v>
      </c>
      <c r="C174" s="205" t="s">
        <v>66</v>
      </c>
      <c r="D174" s="206"/>
    </row>
    <row r="175" spans="2:4">
      <c r="B175" s="56" t="s">
        <v>183</v>
      </c>
      <c r="C175" s="205" t="s">
        <v>66</v>
      </c>
      <c r="D175" s="206"/>
    </row>
    <row r="176" spans="2:4">
      <c r="B176" s="56" t="s">
        <v>184</v>
      </c>
      <c r="C176" s="205" t="s">
        <v>66</v>
      </c>
      <c r="D176" s="206"/>
    </row>
    <row r="177" spans="2:6">
      <c r="B177" s="56" t="s">
        <v>185</v>
      </c>
      <c r="C177" s="205" t="s">
        <v>66</v>
      </c>
      <c r="D177" s="206"/>
    </row>
    <row r="178" spans="2:6">
      <c r="B178" s="56" t="s">
        <v>186</v>
      </c>
      <c r="C178" s="205" t="s">
        <v>66</v>
      </c>
      <c r="D178" s="206"/>
    </row>
    <row r="181" spans="2:6">
      <c r="B181" s="23" t="s">
        <v>187</v>
      </c>
    </row>
    <row r="182" spans="2:6">
      <c r="B182" s="8" t="s">
        <v>1</v>
      </c>
      <c r="C182" s="214" t="s">
        <v>40</v>
      </c>
      <c r="D182" s="215"/>
      <c r="E182" s="238" t="s">
        <v>188</v>
      </c>
      <c r="F182" s="239"/>
    </row>
    <row r="183" spans="2:6">
      <c r="B183" s="56" t="s">
        <v>65</v>
      </c>
      <c r="C183" s="205" t="s">
        <v>149</v>
      </c>
      <c r="D183" s="206"/>
      <c r="E183" s="207">
        <v>0</v>
      </c>
      <c r="F183" s="208"/>
    </row>
    <row r="184" spans="2:6">
      <c r="B184" s="56" t="s">
        <v>76</v>
      </c>
      <c r="C184" s="205" t="s">
        <v>189</v>
      </c>
      <c r="D184" s="206"/>
      <c r="E184" s="207">
        <v>128</v>
      </c>
      <c r="F184" s="208"/>
    </row>
    <row r="185" spans="2:6">
      <c r="B185" s="56" t="s">
        <v>190</v>
      </c>
      <c r="C185" s="205" t="s">
        <v>191</v>
      </c>
      <c r="D185" s="206"/>
      <c r="E185" s="207">
        <v>255</v>
      </c>
      <c r="F185" s="208"/>
    </row>
    <row r="188" spans="2:6">
      <c r="B188" s="23" t="s">
        <v>192</v>
      </c>
    </row>
    <row r="189" spans="2:6">
      <c r="B189" s="8" t="s">
        <v>1</v>
      </c>
      <c r="C189" s="214" t="s">
        <v>40</v>
      </c>
      <c r="D189" s="215"/>
      <c r="E189" s="238" t="s">
        <v>157</v>
      </c>
      <c r="F189" s="239"/>
    </row>
    <row r="190" spans="2:6">
      <c r="B190" s="56" t="s">
        <v>67</v>
      </c>
      <c r="C190" s="205" t="s">
        <v>193</v>
      </c>
      <c r="D190" s="206"/>
      <c r="E190" s="207">
        <v>1</v>
      </c>
      <c r="F190" s="208"/>
    </row>
    <row r="191" spans="2:6">
      <c r="B191" s="56" t="s">
        <v>68</v>
      </c>
      <c r="C191" s="205" t="s">
        <v>194</v>
      </c>
      <c r="D191" s="206"/>
      <c r="E191" s="207">
        <v>2</v>
      </c>
      <c r="F191" s="208"/>
    </row>
    <row r="192" spans="2:6">
      <c r="B192" s="56" t="s">
        <v>87</v>
      </c>
      <c r="C192" s="205" t="s">
        <v>195</v>
      </c>
      <c r="D192" s="206"/>
      <c r="E192" s="207">
        <v>3</v>
      </c>
      <c r="F192" s="208"/>
    </row>
    <row r="193" spans="2:6">
      <c r="B193" s="56" t="s">
        <v>69</v>
      </c>
      <c r="C193" s="205" t="s">
        <v>196</v>
      </c>
      <c r="D193" s="206"/>
      <c r="E193" s="207">
        <v>4</v>
      </c>
      <c r="F193" s="208"/>
    </row>
    <row r="196" spans="2:6">
      <c r="B196" s="23" t="s">
        <v>197</v>
      </c>
    </row>
    <row r="197" spans="2:6">
      <c r="B197" s="8" t="s">
        <v>1</v>
      </c>
      <c r="C197" s="214" t="s">
        <v>40</v>
      </c>
      <c r="D197" s="215"/>
      <c r="E197" s="238" t="s">
        <v>198</v>
      </c>
      <c r="F197" s="239"/>
    </row>
    <row r="198" spans="2:6">
      <c r="B198" s="56" t="s">
        <v>65</v>
      </c>
      <c r="C198" s="205" t="s">
        <v>199</v>
      </c>
      <c r="D198" s="206"/>
      <c r="E198" s="207">
        <v>0</v>
      </c>
      <c r="F198" s="208"/>
    </row>
    <row r="199" spans="2:6">
      <c r="B199" s="51"/>
    </row>
    <row r="201" spans="2:6">
      <c r="B201" s="23" t="s">
        <v>200</v>
      </c>
    </row>
    <row r="202" spans="2:6">
      <c r="B202" s="8" t="s">
        <v>1</v>
      </c>
      <c r="C202" s="214" t="s">
        <v>40</v>
      </c>
      <c r="D202" s="215"/>
      <c r="E202" s="238" t="s">
        <v>201</v>
      </c>
      <c r="F202" s="239"/>
    </row>
    <row r="203" spans="2:6">
      <c r="B203" s="56" t="s">
        <v>67</v>
      </c>
      <c r="C203" s="205" t="s">
        <v>202</v>
      </c>
      <c r="D203" s="206"/>
      <c r="E203" s="207">
        <v>1</v>
      </c>
      <c r="F203" s="208"/>
    </row>
    <row r="204" spans="2:6">
      <c r="B204" s="56" t="s">
        <v>68</v>
      </c>
      <c r="C204" s="205" t="s">
        <v>203</v>
      </c>
      <c r="D204" s="206"/>
      <c r="E204" s="207">
        <v>2</v>
      </c>
      <c r="F204" s="208"/>
    </row>
    <row r="205" spans="2:6">
      <c r="B205" s="56" t="s">
        <v>87</v>
      </c>
      <c r="C205" s="205" t="s">
        <v>204</v>
      </c>
      <c r="D205" s="206"/>
      <c r="E205" s="207">
        <v>3</v>
      </c>
      <c r="F205" s="208"/>
    </row>
    <row r="208" spans="2:6">
      <c r="B208" s="23" t="s">
        <v>205</v>
      </c>
    </row>
    <row r="209" spans="2:6">
      <c r="B209" s="8" t="s">
        <v>1</v>
      </c>
      <c r="C209" s="214" t="s">
        <v>40</v>
      </c>
      <c r="D209" s="215"/>
      <c r="E209" s="238" t="s">
        <v>201</v>
      </c>
      <c r="F209" s="239"/>
    </row>
    <row r="210" spans="2:6">
      <c r="B210" s="3" t="str">
        <f>DEC2HEX(E210,2)</f>
        <v>01</v>
      </c>
      <c r="C210" s="205" t="s">
        <v>206</v>
      </c>
      <c r="D210" s="206"/>
      <c r="E210" s="207">
        <v>1</v>
      </c>
      <c r="F210" s="208"/>
    </row>
    <row r="211" spans="2:6">
      <c r="B211" s="3" t="str">
        <f t="shared" ref="B211:B236" si="1">DEC2HEX(E211,2)</f>
        <v>02</v>
      </c>
      <c r="C211" s="205" t="s">
        <v>207</v>
      </c>
      <c r="D211" s="206"/>
      <c r="E211" s="207">
        <v>2</v>
      </c>
      <c r="F211" s="208"/>
    </row>
    <row r="212" spans="2:6">
      <c r="B212" s="3" t="str">
        <f t="shared" si="1"/>
        <v>03</v>
      </c>
      <c r="C212" s="205" t="s">
        <v>208</v>
      </c>
      <c r="D212" s="206"/>
      <c r="E212" s="207">
        <v>3</v>
      </c>
      <c r="F212" s="208"/>
    </row>
    <row r="213" spans="2:6">
      <c r="B213" s="3" t="str">
        <f t="shared" si="1"/>
        <v>04</v>
      </c>
      <c r="C213" s="205" t="s">
        <v>209</v>
      </c>
      <c r="D213" s="206"/>
      <c r="E213" s="207">
        <v>4</v>
      </c>
      <c r="F213" s="208"/>
    </row>
    <row r="214" spans="2:6">
      <c r="B214" s="3" t="str">
        <f t="shared" si="1"/>
        <v>05</v>
      </c>
      <c r="C214" s="205" t="s">
        <v>210</v>
      </c>
      <c r="D214" s="206"/>
      <c r="E214" s="207">
        <v>5</v>
      </c>
      <c r="F214" s="208"/>
    </row>
    <row r="215" spans="2:6">
      <c r="B215" s="3" t="str">
        <f t="shared" si="1"/>
        <v>06</v>
      </c>
      <c r="C215" s="205" t="s">
        <v>211</v>
      </c>
      <c r="D215" s="206"/>
      <c r="E215" s="207">
        <v>6</v>
      </c>
      <c r="F215" s="208"/>
    </row>
    <row r="216" spans="2:6">
      <c r="B216" s="3" t="str">
        <f t="shared" si="1"/>
        <v>07</v>
      </c>
      <c r="C216" s="205" t="s">
        <v>212</v>
      </c>
      <c r="D216" s="206"/>
      <c r="E216" s="207">
        <v>7</v>
      </c>
      <c r="F216" s="208"/>
    </row>
    <row r="217" spans="2:6">
      <c r="B217" s="3" t="str">
        <f t="shared" si="1"/>
        <v>08</v>
      </c>
      <c r="C217" s="205" t="s">
        <v>213</v>
      </c>
      <c r="D217" s="206"/>
      <c r="E217" s="207">
        <v>8</v>
      </c>
      <c r="F217" s="208"/>
    </row>
    <row r="218" spans="2:6">
      <c r="B218" s="3" t="str">
        <f t="shared" si="1"/>
        <v>09</v>
      </c>
      <c r="C218" s="205" t="s">
        <v>214</v>
      </c>
      <c r="D218" s="206"/>
      <c r="E218" s="207">
        <v>9</v>
      </c>
      <c r="F218" s="208"/>
    </row>
    <row r="219" spans="2:6">
      <c r="B219" s="3" t="str">
        <f t="shared" si="1"/>
        <v>0A</v>
      </c>
      <c r="C219" s="205" t="s">
        <v>215</v>
      </c>
      <c r="D219" s="206"/>
      <c r="E219" s="207">
        <v>10</v>
      </c>
      <c r="F219" s="208"/>
    </row>
    <row r="220" spans="2:6">
      <c r="B220" s="3" t="str">
        <f t="shared" si="1"/>
        <v>0B</v>
      </c>
      <c r="C220" s="205" t="s">
        <v>216</v>
      </c>
      <c r="D220" s="206"/>
      <c r="E220" s="207">
        <v>11</v>
      </c>
      <c r="F220" s="208"/>
    </row>
    <row r="221" spans="2:6">
      <c r="B221" s="3" t="str">
        <f t="shared" si="1"/>
        <v>0C</v>
      </c>
      <c r="C221" s="205" t="s">
        <v>217</v>
      </c>
      <c r="D221" s="206"/>
      <c r="E221" s="207">
        <v>12</v>
      </c>
      <c r="F221" s="208"/>
    </row>
    <row r="222" spans="2:6">
      <c r="B222" s="3" t="str">
        <f t="shared" si="1"/>
        <v>0D</v>
      </c>
      <c r="C222" s="205" t="s">
        <v>218</v>
      </c>
      <c r="D222" s="206"/>
      <c r="E222" s="207">
        <v>13</v>
      </c>
      <c r="F222" s="208"/>
    </row>
    <row r="223" spans="2:6">
      <c r="B223" s="3" t="str">
        <f t="shared" si="1"/>
        <v>0E</v>
      </c>
      <c r="C223" s="205" t="s">
        <v>219</v>
      </c>
      <c r="D223" s="206"/>
      <c r="E223" s="207">
        <v>14</v>
      </c>
      <c r="F223" s="208"/>
    </row>
    <row r="224" spans="2:6">
      <c r="B224" s="3" t="str">
        <f t="shared" si="1"/>
        <v>0F</v>
      </c>
      <c r="C224" s="205" t="s">
        <v>220</v>
      </c>
      <c r="D224" s="206"/>
      <c r="E224" s="207">
        <v>15</v>
      </c>
      <c r="F224" s="208"/>
    </row>
    <row r="225" spans="2:8">
      <c r="B225" s="3" t="str">
        <f t="shared" si="1"/>
        <v>12</v>
      </c>
      <c r="C225" s="205" t="s">
        <v>221</v>
      </c>
      <c r="D225" s="206"/>
      <c r="E225" s="207">
        <v>18</v>
      </c>
      <c r="F225" s="208"/>
    </row>
    <row r="226" spans="2:8">
      <c r="B226" s="3" t="str">
        <f t="shared" si="1"/>
        <v>13</v>
      </c>
      <c r="C226" s="205" t="s">
        <v>222</v>
      </c>
      <c r="D226" s="206"/>
      <c r="E226" s="207">
        <v>19</v>
      </c>
      <c r="F226" s="208"/>
    </row>
    <row r="227" spans="2:8">
      <c r="B227" s="3" t="str">
        <f t="shared" si="1"/>
        <v>14</v>
      </c>
      <c r="C227" s="205" t="s">
        <v>223</v>
      </c>
      <c r="D227" s="206"/>
      <c r="E227" s="207">
        <v>20</v>
      </c>
      <c r="F227" s="208"/>
    </row>
    <row r="228" spans="2:8">
      <c r="B228" s="3" t="str">
        <f t="shared" si="1"/>
        <v>15</v>
      </c>
      <c r="C228" s="205" t="s">
        <v>224</v>
      </c>
      <c r="D228" s="206"/>
      <c r="E228" s="207">
        <v>21</v>
      </c>
      <c r="F228" s="208"/>
    </row>
    <row r="229" spans="2:8">
      <c r="B229" s="3" t="str">
        <f t="shared" si="1"/>
        <v>16</v>
      </c>
      <c r="C229" s="205" t="s">
        <v>225</v>
      </c>
      <c r="D229" s="206"/>
      <c r="E229" s="207">
        <v>22</v>
      </c>
      <c r="F229" s="208"/>
    </row>
    <row r="230" spans="2:8">
      <c r="B230" s="3" t="str">
        <f t="shared" si="1"/>
        <v>17</v>
      </c>
      <c r="C230" s="205" t="s">
        <v>226</v>
      </c>
      <c r="D230" s="206"/>
      <c r="E230" s="207">
        <v>23</v>
      </c>
      <c r="F230" s="208"/>
    </row>
    <row r="231" spans="2:8">
      <c r="B231" s="3" t="str">
        <f t="shared" si="1"/>
        <v>1F</v>
      </c>
      <c r="C231" s="205" t="s">
        <v>227</v>
      </c>
      <c r="D231" s="206"/>
      <c r="E231" s="207">
        <v>31</v>
      </c>
      <c r="F231" s="208"/>
    </row>
    <row r="232" spans="2:8">
      <c r="B232" s="3" t="str">
        <f t="shared" si="1"/>
        <v>20</v>
      </c>
      <c r="C232" s="205" t="s">
        <v>228</v>
      </c>
      <c r="D232" s="206"/>
      <c r="E232" s="207">
        <v>32</v>
      </c>
      <c r="F232" s="208"/>
    </row>
    <row r="233" spans="2:8">
      <c r="B233" s="3" t="str">
        <f t="shared" si="1"/>
        <v>24</v>
      </c>
      <c r="C233" s="205" t="s">
        <v>229</v>
      </c>
      <c r="D233" s="206"/>
      <c r="E233" s="207">
        <v>36</v>
      </c>
      <c r="F233" s="208"/>
    </row>
    <row r="234" spans="2:8">
      <c r="B234" s="3" t="str">
        <f t="shared" si="1"/>
        <v>25</v>
      </c>
      <c r="C234" s="205" t="s">
        <v>230</v>
      </c>
      <c r="D234" s="206"/>
      <c r="E234" s="207">
        <v>37</v>
      </c>
      <c r="F234" s="208"/>
    </row>
    <row r="235" spans="2:8">
      <c r="B235" s="3" t="str">
        <f t="shared" ref="B235" si="2">DEC2HEX(E235,2)</f>
        <v>26</v>
      </c>
      <c r="C235" s="205" t="s">
        <v>231</v>
      </c>
      <c r="D235" s="206"/>
      <c r="E235" s="207">
        <v>38</v>
      </c>
      <c r="F235" s="208"/>
    </row>
    <row r="236" spans="2:8">
      <c r="B236" s="203" t="str">
        <f t="shared" si="1"/>
        <v>27</v>
      </c>
      <c r="C236" s="244" t="s">
        <v>232</v>
      </c>
      <c r="D236" s="245"/>
      <c r="E236" s="249">
        <v>39</v>
      </c>
      <c r="F236" s="250"/>
    </row>
    <row r="239" spans="2:8">
      <c r="B239" t="s">
        <v>233</v>
      </c>
    </row>
    <row r="240" spans="2:8" ht="30">
      <c r="B240" s="156" t="s">
        <v>234</v>
      </c>
      <c r="C240" s="156" t="s">
        <v>235</v>
      </c>
      <c r="D240" s="156" t="s">
        <v>236</v>
      </c>
      <c r="E240" s="251" t="s">
        <v>40</v>
      </c>
      <c r="F240" s="252"/>
      <c r="G240" s="252"/>
      <c r="H240" s="253"/>
    </row>
    <row r="241" spans="2:8">
      <c r="B241" s="3" t="s">
        <v>237</v>
      </c>
      <c r="C241" s="3">
        <v>0</v>
      </c>
      <c r="D241" s="3"/>
      <c r="E241" s="246" t="s">
        <v>238</v>
      </c>
      <c r="F241" s="247"/>
      <c r="G241" s="247"/>
      <c r="H241" s="248"/>
    </row>
    <row r="242" spans="2:8">
      <c r="B242" s="3" t="s">
        <v>239</v>
      </c>
      <c r="C242" s="3">
        <v>1</v>
      </c>
      <c r="D242" s="3"/>
      <c r="E242" s="246" t="s">
        <v>238</v>
      </c>
      <c r="F242" s="247"/>
      <c r="G242" s="247"/>
      <c r="H242" s="248"/>
    </row>
    <row r="243" spans="2:8">
      <c r="B243" s="3" t="s">
        <v>240</v>
      </c>
      <c r="C243" s="3">
        <v>2</v>
      </c>
      <c r="D243" s="3"/>
      <c r="E243" s="246" t="s">
        <v>238</v>
      </c>
      <c r="F243" s="247"/>
      <c r="G243" s="247"/>
      <c r="H243" s="248"/>
    </row>
    <row r="244" spans="2:8">
      <c r="B244" s="3" t="s">
        <v>241</v>
      </c>
      <c r="C244" s="3">
        <v>3</v>
      </c>
      <c r="D244" s="3"/>
      <c r="E244" s="246" t="s">
        <v>238</v>
      </c>
      <c r="F244" s="247"/>
      <c r="G244" s="247"/>
      <c r="H244" s="248"/>
    </row>
    <row r="245" spans="2:8">
      <c r="B245" s="3" t="s">
        <v>242</v>
      </c>
      <c r="C245" s="3">
        <v>4</v>
      </c>
      <c r="D245" s="3"/>
      <c r="E245" s="246" t="s">
        <v>238</v>
      </c>
      <c r="F245" s="247"/>
      <c r="G245" s="247"/>
      <c r="H245" s="248"/>
    </row>
    <row r="246" spans="2:8">
      <c r="B246" s="3" t="s">
        <v>243</v>
      </c>
      <c r="C246" s="3">
        <v>5</v>
      </c>
      <c r="D246" s="3"/>
      <c r="E246" s="246" t="s">
        <v>238</v>
      </c>
      <c r="F246" s="247"/>
      <c r="G246" s="247"/>
      <c r="H246" s="248"/>
    </row>
    <row r="247" spans="2:8">
      <c r="B247" s="3" t="s">
        <v>244</v>
      </c>
      <c r="C247" s="3">
        <v>6</v>
      </c>
      <c r="D247" s="3"/>
      <c r="E247" s="246" t="s">
        <v>238</v>
      </c>
      <c r="F247" s="247"/>
      <c r="G247" s="247"/>
      <c r="H247" s="248"/>
    </row>
    <row r="248" spans="2:8">
      <c r="B248" s="3" t="s">
        <v>245</v>
      </c>
      <c r="C248" s="3">
        <v>7</v>
      </c>
      <c r="D248" s="3"/>
      <c r="E248" s="246" t="s">
        <v>238</v>
      </c>
      <c r="F248" s="247"/>
      <c r="G248" s="247"/>
      <c r="H248" s="248"/>
    </row>
    <row r="249" spans="2:8">
      <c r="B249" s="3" t="s">
        <v>246</v>
      </c>
      <c r="C249" s="3">
        <v>8</v>
      </c>
      <c r="D249" s="3"/>
      <c r="E249" s="246" t="s">
        <v>238</v>
      </c>
      <c r="F249" s="247"/>
      <c r="G249" s="247"/>
      <c r="H249" s="248"/>
    </row>
    <row r="250" spans="2:8">
      <c r="B250" s="3" t="s">
        <v>247</v>
      </c>
      <c r="C250" s="3">
        <v>9</v>
      </c>
      <c r="D250" s="3"/>
      <c r="E250" s="246" t="s">
        <v>238</v>
      </c>
      <c r="F250" s="247"/>
      <c r="G250" s="247"/>
      <c r="H250" s="248"/>
    </row>
    <row r="251" spans="2:8">
      <c r="B251" s="3" t="s">
        <v>248</v>
      </c>
      <c r="C251" s="3" t="s">
        <v>249</v>
      </c>
      <c r="D251" s="3"/>
      <c r="E251" s="246" t="s">
        <v>238</v>
      </c>
      <c r="F251" s="247"/>
      <c r="G251" s="247"/>
      <c r="H251" s="248"/>
    </row>
    <row r="252" spans="2:8">
      <c r="B252" s="3" t="s">
        <v>250</v>
      </c>
      <c r="C252" s="3" t="s">
        <v>251</v>
      </c>
      <c r="D252" s="3"/>
      <c r="E252" s="246" t="s">
        <v>238</v>
      </c>
      <c r="F252" s="247"/>
      <c r="G252" s="247"/>
      <c r="H252" s="248"/>
    </row>
    <row r="253" spans="2:8">
      <c r="B253" s="3" t="s">
        <v>252</v>
      </c>
      <c r="C253" s="3" t="s">
        <v>253</v>
      </c>
      <c r="D253" s="3"/>
      <c r="E253" s="246" t="s">
        <v>238</v>
      </c>
      <c r="F253" s="247"/>
      <c r="G253" s="247"/>
      <c r="H253" s="248"/>
    </row>
    <row r="254" spans="2:8">
      <c r="B254" s="3" t="s">
        <v>254</v>
      </c>
      <c r="C254" s="3" t="s">
        <v>255</v>
      </c>
      <c r="D254" s="3"/>
      <c r="E254" s="246" t="s">
        <v>238</v>
      </c>
      <c r="F254" s="247"/>
      <c r="G254" s="247"/>
      <c r="H254" s="248"/>
    </row>
    <row r="255" spans="2:8">
      <c r="B255" s="3" t="s">
        <v>256</v>
      </c>
      <c r="C255" s="3" t="s">
        <v>257</v>
      </c>
      <c r="D255" s="3"/>
      <c r="E255" s="246" t="s">
        <v>238</v>
      </c>
      <c r="F255" s="247"/>
      <c r="G255" s="247"/>
      <c r="H255" s="248"/>
    </row>
    <row r="256" spans="2:8">
      <c r="B256" s="3" t="s">
        <v>258</v>
      </c>
      <c r="C256" s="3" t="s">
        <v>259</v>
      </c>
      <c r="D256" s="3"/>
      <c r="E256" s="246" t="s">
        <v>238</v>
      </c>
      <c r="F256" s="247"/>
      <c r="G256" s="247"/>
      <c r="H256" s="248"/>
    </row>
    <row r="257" spans="2:8">
      <c r="B257" s="3" t="s">
        <v>260</v>
      </c>
      <c r="C257" s="3">
        <v>10</v>
      </c>
      <c r="D257" s="3"/>
      <c r="E257" s="246" t="s">
        <v>238</v>
      </c>
      <c r="F257" s="247"/>
      <c r="G257" s="247"/>
      <c r="H257" s="248"/>
    </row>
    <row r="258" spans="2:8">
      <c r="B258" s="3" t="s">
        <v>261</v>
      </c>
      <c r="C258" s="3">
        <v>11</v>
      </c>
      <c r="D258" s="3"/>
      <c r="E258" s="246" t="s">
        <v>238</v>
      </c>
      <c r="F258" s="247"/>
      <c r="G258" s="247"/>
      <c r="H258" s="248"/>
    </row>
    <row r="259" spans="2:8">
      <c r="B259" s="3" t="s">
        <v>262</v>
      </c>
      <c r="C259" s="3">
        <v>12</v>
      </c>
      <c r="D259" s="3"/>
      <c r="E259" s="246" t="s">
        <v>238</v>
      </c>
      <c r="F259" s="247"/>
      <c r="G259" s="247"/>
      <c r="H259" s="248"/>
    </row>
    <row r="260" spans="2:8">
      <c r="B260" s="3" t="s">
        <v>263</v>
      </c>
      <c r="C260" s="3">
        <v>13</v>
      </c>
      <c r="D260" s="3"/>
      <c r="E260" s="246" t="s">
        <v>238</v>
      </c>
      <c r="F260" s="247"/>
      <c r="G260" s="247"/>
      <c r="H260" s="248"/>
    </row>
    <row r="261" spans="2:8">
      <c r="B261" s="3" t="s">
        <v>264</v>
      </c>
      <c r="C261" s="3">
        <v>14</v>
      </c>
      <c r="D261" s="3"/>
      <c r="E261" s="246" t="s">
        <v>238</v>
      </c>
      <c r="F261" s="247"/>
      <c r="G261" s="247"/>
      <c r="H261" s="248"/>
    </row>
    <row r="262" spans="2:8">
      <c r="B262" s="3" t="s">
        <v>265</v>
      </c>
      <c r="C262" s="3">
        <v>15</v>
      </c>
      <c r="D262" s="3"/>
      <c r="E262" s="246" t="s">
        <v>238</v>
      </c>
      <c r="F262" s="247"/>
      <c r="G262" s="247"/>
      <c r="H262" s="248"/>
    </row>
    <row r="263" spans="2:8">
      <c r="B263" s="3" t="s">
        <v>266</v>
      </c>
      <c r="C263" s="3">
        <v>16</v>
      </c>
      <c r="D263" s="3"/>
      <c r="E263" s="246" t="s">
        <v>238</v>
      </c>
      <c r="F263" s="247"/>
      <c r="G263" s="247"/>
      <c r="H263" s="248"/>
    </row>
    <row r="264" spans="2:8">
      <c r="B264" s="3" t="s">
        <v>267</v>
      </c>
      <c r="C264" s="3">
        <v>17</v>
      </c>
      <c r="D264" s="3"/>
      <c r="E264" s="246" t="s">
        <v>238</v>
      </c>
      <c r="F264" s="247"/>
      <c r="G264" s="247"/>
      <c r="H264" s="248"/>
    </row>
    <row r="265" spans="2:8">
      <c r="B265" s="3" t="s">
        <v>268</v>
      </c>
      <c r="C265" s="3">
        <v>18</v>
      </c>
      <c r="D265" s="3"/>
      <c r="E265" s="246" t="s">
        <v>238</v>
      </c>
      <c r="F265" s="247"/>
      <c r="G265" s="247"/>
      <c r="H265" s="248"/>
    </row>
    <row r="266" spans="2:8">
      <c r="B266" s="3" t="s">
        <v>269</v>
      </c>
      <c r="C266" s="3">
        <v>19</v>
      </c>
      <c r="D266" s="3"/>
      <c r="E266" s="246" t="s">
        <v>238</v>
      </c>
      <c r="F266" s="247"/>
      <c r="G266" s="247"/>
      <c r="H266" s="248"/>
    </row>
    <row r="267" spans="2:8">
      <c r="B267" s="3" t="s">
        <v>270</v>
      </c>
      <c r="C267" s="3" t="s">
        <v>271</v>
      </c>
      <c r="D267" s="3"/>
      <c r="E267" s="246" t="s">
        <v>238</v>
      </c>
      <c r="F267" s="247"/>
      <c r="G267" s="247"/>
      <c r="H267" s="248"/>
    </row>
    <row r="268" spans="2:8">
      <c r="B268" s="3" t="s">
        <v>272</v>
      </c>
      <c r="C268" s="3" t="s">
        <v>273</v>
      </c>
      <c r="D268" s="3"/>
      <c r="E268" s="246" t="s">
        <v>238</v>
      </c>
      <c r="F268" s="247"/>
      <c r="G268" s="247"/>
      <c r="H268" s="248"/>
    </row>
    <row r="269" spans="2:8">
      <c r="B269" s="3" t="s">
        <v>274</v>
      </c>
      <c r="C269" s="3" t="s">
        <v>275</v>
      </c>
      <c r="D269" s="3"/>
      <c r="E269" s="246" t="s">
        <v>238</v>
      </c>
      <c r="F269" s="247"/>
      <c r="G269" s="247"/>
      <c r="H269" s="248"/>
    </row>
    <row r="270" spans="2:8">
      <c r="B270" s="3" t="s">
        <v>276</v>
      </c>
      <c r="C270" s="3" t="s">
        <v>277</v>
      </c>
      <c r="D270" s="3"/>
      <c r="E270" s="246" t="s">
        <v>238</v>
      </c>
      <c r="F270" s="247"/>
      <c r="G270" s="247"/>
      <c r="H270" s="248"/>
    </row>
    <row r="271" spans="2:8">
      <c r="B271" s="3" t="s">
        <v>278</v>
      </c>
      <c r="C271" s="3" t="s">
        <v>279</v>
      </c>
      <c r="D271" s="3"/>
      <c r="E271" s="246" t="s">
        <v>238</v>
      </c>
      <c r="F271" s="247"/>
      <c r="G271" s="247"/>
      <c r="H271" s="248"/>
    </row>
    <row r="272" spans="2:8">
      <c r="B272" s="3" t="s">
        <v>280</v>
      </c>
      <c r="C272" s="3" t="s">
        <v>281</v>
      </c>
      <c r="D272" s="3"/>
      <c r="E272" s="246" t="s">
        <v>238</v>
      </c>
      <c r="F272" s="247"/>
      <c r="G272" s="247"/>
      <c r="H272" s="248"/>
    </row>
    <row r="273" spans="2:8">
      <c r="B273" s="3" t="s">
        <v>282</v>
      </c>
      <c r="C273" s="3">
        <v>20</v>
      </c>
      <c r="D273" s="3"/>
      <c r="E273" s="246" t="s">
        <v>283</v>
      </c>
      <c r="F273" s="247"/>
      <c r="G273" s="247"/>
      <c r="H273" s="248"/>
    </row>
    <row r="274" spans="2:8">
      <c r="B274" s="3" t="s">
        <v>284</v>
      </c>
      <c r="C274" s="3">
        <v>21</v>
      </c>
      <c r="D274" s="3" t="s">
        <v>285</v>
      </c>
      <c r="E274" s="246" t="s">
        <v>286</v>
      </c>
      <c r="F274" s="247"/>
      <c r="G274" s="247"/>
      <c r="H274" s="248"/>
    </row>
    <row r="275" spans="2:8">
      <c r="B275" s="3" t="s">
        <v>287</v>
      </c>
      <c r="C275" s="3">
        <v>22</v>
      </c>
      <c r="D275" s="3" t="s">
        <v>288</v>
      </c>
      <c r="E275" s="246" t="s">
        <v>289</v>
      </c>
      <c r="F275" s="247"/>
      <c r="G275" s="247"/>
      <c r="H275" s="248"/>
    </row>
    <row r="276" spans="2:8">
      <c r="B276" s="3" t="s">
        <v>290</v>
      </c>
      <c r="C276" s="3">
        <v>23</v>
      </c>
      <c r="D276" s="3" t="s">
        <v>291</v>
      </c>
      <c r="E276" s="246" t="s">
        <v>292</v>
      </c>
      <c r="F276" s="247"/>
      <c r="G276" s="247"/>
      <c r="H276" s="248"/>
    </row>
    <row r="277" spans="2:8">
      <c r="B277" s="3" t="s">
        <v>293</v>
      </c>
      <c r="C277" s="3">
        <v>24</v>
      </c>
      <c r="D277" s="3" t="s">
        <v>294</v>
      </c>
      <c r="E277" s="246" t="s">
        <v>295</v>
      </c>
      <c r="F277" s="247"/>
      <c r="G277" s="247"/>
      <c r="H277" s="248"/>
    </row>
    <row r="278" spans="2:8">
      <c r="B278" s="3" t="s">
        <v>296</v>
      </c>
      <c r="C278" s="3">
        <v>25</v>
      </c>
      <c r="D278" s="3" t="s">
        <v>297</v>
      </c>
      <c r="E278" s="246" t="s">
        <v>298</v>
      </c>
      <c r="F278" s="247"/>
      <c r="G278" s="247"/>
      <c r="H278" s="248"/>
    </row>
    <row r="279" spans="2:8">
      <c r="B279" s="3" t="s">
        <v>299</v>
      </c>
      <c r="C279" s="3">
        <v>26</v>
      </c>
      <c r="D279" s="3" t="s">
        <v>300</v>
      </c>
      <c r="E279" s="246" t="s">
        <v>301</v>
      </c>
      <c r="F279" s="247"/>
      <c r="G279" s="247"/>
      <c r="H279" s="248"/>
    </row>
    <row r="280" spans="2:8">
      <c r="B280" s="3" t="s">
        <v>302</v>
      </c>
      <c r="C280" s="3">
        <v>27</v>
      </c>
      <c r="D280" s="3" t="s">
        <v>303</v>
      </c>
      <c r="E280" s="246" t="s">
        <v>304</v>
      </c>
      <c r="F280" s="247"/>
      <c r="G280" s="247"/>
      <c r="H280" s="248"/>
    </row>
    <row r="281" spans="2:8">
      <c r="B281" s="3" t="s">
        <v>305</v>
      </c>
      <c r="C281" s="3">
        <v>28</v>
      </c>
      <c r="D281" s="3" t="s">
        <v>306</v>
      </c>
      <c r="E281" s="246" t="s">
        <v>307</v>
      </c>
      <c r="F281" s="247"/>
      <c r="G281" s="247"/>
      <c r="H281" s="248"/>
    </row>
    <row r="282" spans="2:8">
      <c r="B282" s="3" t="s">
        <v>308</v>
      </c>
      <c r="C282" s="3">
        <v>29</v>
      </c>
      <c r="D282" s="3" t="s">
        <v>309</v>
      </c>
      <c r="E282" s="246" t="s">
        <v>310</v>
      </c>
      <c r="F282" s="247"/>
      <c r="G282" s="247"/>
      <c r="H282" s="248"/>
    </row>
    <row r="283" spans="2:8">
      <c r="B283" s="3" t="s">
        <v>311</v>
      </c>
      <c r="C283" s="3" t="s">
        <v>312</v>
      </c>
      <c r="D283" s="3" t="s">
        <v>313</v>
      </c>
      <c r="E283" s="246" t="s">
        <v>314</v>
      </c>
      <c r="F283" s="247"/>
      <c r="G283" s="247"/>
      <c r="H283" s="248"/>
    </row>
    <row r="284" spans="2:8">
      <c r="B284" s="3" t="s">
        <v>315</v>
      </c>
      <c r="C284" s="3" t="s">
        <v>316</v>
      </c>
      <c r="D284" s="3" t="s">
        <v>317</v>
      </c>
      <c r="E284" s="246" t="s">
        <v>318</v>
      </c>
      <c r="F284" s="247"/>
      <c r="G284" s="247"/>
      <c r="H284" s="248"/>
    </row>
    <row r="285" spans="2:8">
      <c r="B285" s="3" t="s">
        <v>319</v>
      </c>
      <c r="C285" s="3" t="s">
        <v>320</v>
      </c>
      <c r="D285" s="3" t="s">
        <v>321</v>
      </c>
      <c r="E285" s="246" t="s">
        <v>322</v>
      </c>
      <c r="F285" s="247"/>
      <c r="G285" s="247"/>
      <c r="H285" s="248"/>
    </row>
    <row r="286" spans="2:8">
      <c r="B286" s="3" t="s">
        <v>323</v>
      </c>
      <c r="C286" s="3" t="s">
        <v>324</v>
      </c>
      <c r="D286" s="3" t="s">
        <v>325</v>
      </c>
      <c r="E286" s="246" t="s">
        <v>326</v>
      </c>
      <c r="F286" s="247"/>
      <c r="G286" s="247"/>
      <c r="H286" s="248"/>
    </row>
    <row r="287" spans="2:8">
      <c r="B287" s="3" t="s">
        <v>327</v>
      </c>
      <c r="C287" s="3" t="s">
        <v>328</v>
      </c>
      <c r="D287" s="3" t="s">
        <v>329</v>
      </c>
      <c r="E287" s="246" t="s">
        <v>330</v>
      </c>
      <c r="F287" s="247"/>
      <c r="G287" s="247"/>
      <c r="H287" s="248"/>
    </row>
    <row r="288" spans="2:8">
      <c r="B288" s="3" t="s">
        <v>331</v>
      </c>
      <c r="C288" s="3" t="s">
        <v>332</v>
      </c>
      <c r="D288" s="3" t="s">
        <v>333</v>
      </c>
      <c r="E288" s="246" t="s">
        <v>334</v>
      </c>
      <c r="F288" s="247"/>
      <c r="G288" s="247"/>
      <c r="H288" s="248"/>
    </row>
    <row r="289" spans="2:8">
      <c r="B289" s="3" t="s">
        <v>335</v>
      </c>
      <c r="C289" s="3">
        <v>30</v>
      </c>
      <c r="D289" s="3">
        <v>0</v>
      </c>
      <c r="E289" s="246" t="s">
        <v>336</v>
      </c>
      <c r="F289" s="247"/>
      <c r="G289" s="247"/>
      <c r="H289" s="248"/>
    </row>
    <row r="290" spans="2:8">
      <c r="B290" s="3" t="s">
        <v>337</v>
      </c>
      <c r="C290" s="3">
        <v>31</v>
      </c>
      <c r="D290" s="3">
        <v>1</v>
      </c>
      <c r="E290" s="246" t="s">
        <v>338</v>
      </c>
      <c r="F290" s="247"/>
      <c r="G290" s="247"/>
      <c r="H290" s="248"/>
    </row>
    <row r="291" spans="2:8">
      <c r="B291" s="3" t="s">
        <v>339</v>
      </c>
      <c r="C291" s="3">
        <v>32</v>
      </c>
      <c r="D291" s="3">
        <v>2</v>
      </c>
      <c r="E291" s="246" t="s">
        <v>340</v>
      </c>
      <c r="F291" s="247"/>
      <c r="G291" s="247"/>
      <c r="H291" s="248"/>
    </row>
    <row r="292" spans="2:8">
      <c r="B292" s="3" t="s">
        <v>341</v>
      </c>
      <c r="C292" s="3">
        <v>33</v>
      </c>
      <c r="D292" s="3">
        <v>3</v>
      </c>
      <c r="E292" s="246" t="s">
        <v>342</v>
      </c>
      <c r="F292" s="247"/>
      <c r="G292" s="247"/>
      <c r="H292" s="248"/>
    </row>
    <row r="293" spans="2:8">
      <c r="B293" s="3" t="s">
        <v>343</v>
      </c>
      <c r="C293" s="3">
        <v>34</v>
      </c>
      <c r="D293" s="3">
        <v>4</v>
      </c>
      <c r="E293" s="246" t="s">
        <v>344</v>
      </c>
      <c r="F293" s="247"/>
      <c r="G293" s="247"/>
      <c r="H293" s="248"/>
    </row>
    <row r="294" spans="2:8">
      <c r="B294" s="3" t="s">
        <v>345</v>
      </c>
      <c r="C294" s="3">
        <v>35</v>
      </c>
      <c r="D294" s="3">
        <v>5</v>
      </c>
      <c r="E294" s="246" t="s">
        <v>346</v>
      </c>
      <c r="F294" s="247"/>
      <c r="G294" s="247"/>
      <c r="H294" s="248"/>
    </row>
    <row r="295" spans="2:8">
      <c r="B295" s="3" t="s">
        <v>347</v>
      </c>
      <c r="C295" s="3">
        <v>36</v>
      </c>
      <c r="D295" s="3">
        <v>6</v>
      </c>
      <c r="E295" s="246" t="s">
        <v>348</v>
      </c>
      <c r="F295" s="247"/>
      <c r="G295" s="247"/>
      <c r="H295" s="248"/>
    </row>
    <row r="296" spans="2:8">
      <c r="B296" s="3" t="s">
        <v>349</v>
      </c>
      <c r="C296" s="3">
        <v>37</v>
      </c>
      <c r="D296" s="3">
        <v>7</v>
      </c>
      <c r="E296" s="246" t="s">
        <v>350</v>
      </c>
      <c r="F296" s="247"/>
      <c r="G296" s="247"/>
      <c r="H296" s="248"/>
    </row>
    <row r="297" spans="2:8">
      <c r="B297" s="3" t="s">
        <v>351</v>
      </c>
      <c r="C297" s="3">
        <v>38</v>
      </c>
      <c r="D297" s="3">
        <v>8</v>
      </c>
      <c r="E297" s="246" t="s">
        <v>352</v>
      </c>
      <c r="F297" s="247"/>
      <c r="G297" s="247"/>
      <c r="H297" s="248"/>
    </row>
    <row r="298" spans="2:8">
      <c r="B298" s="3" t="s">
        <v>353</v>
      </c>
      <c r="C298" s="3">
        <v>39</v>
      </c>
      <c r="D298" s="3">
        <v>9</v>
      </c>
      <c r="E298" s="246" t="s">
        <v>354</v>
      </c>
      <c r="F298" s="247"/>
      <c r="G298" s="247"/>
      <c r="H298" s="248"/>
    </row>
    <row r="299" spans="2:8">
      <c r="B299" s="3" t="s">
        <v>355</v>
      </c>
      <c r="C299" s="3" t="s">
        <v>356</v>
      </c>
      <c r="D299" s="3" t="s">
        <v>357</v>
      </c>
      <c r="E299" s="246" t="s">
        <v>358</v>
      </c>
      <c r="F299" s="247"/>
      <c r="G299" s="247"/>
      <c r="H299" s="248"/>
    </row>
    <row r="300" spans="2:8">
      <c r="B300" s="3" t="s">
        <v>359</v>
      </c>
      <c r="C300" s="3" t="s">
        <v>360</v>
      </c>
      <c r="D300" s="3" t="s">
        <v>361</v>
      </c>
      <c r="E300" s="246" t="s">
        <v>362</v>
      </c>
      <c r="F300" s="247"/>
      <c r="G300" s="247"/>
      <c r="H300" s="248"/>
    </row>
    <row r="301" spans="2:8">
      <c r="B301" s="3" t="s">
        <v>363</v>
      </c>
      <c r="C301" s="3" t="s">
        <v>364</v>
      </c>
      <c r="D301" s="3" t="s">
        <v>365</v>
      </c>
      <c r="E301" s="246" t="s">
        <v>366</v>
      </c>
      <c r="F301" s="247"/>
      <c r="G301" s="247"/>
      <c r="H301" s="248"/>
    </row>
    <row r="302" spans="2:8">
      <c r="B302" s="3" t="s">
        <v>367</v>
      </c>
      <c r="C302" s="3" t="s">
        <v>368</v>
      </c>
      <c r="D302" s="3" t="s">
        <v>369</v>
      </c>
      <c r="E302" s="246" t="s">
        <v>370</v>
      </c>
      <c r="F302" s="247"/>
      <c r="G302" s="247"/>
      <c r="H302" s="248"/>
    </row>
    <row r="303" spans="2:8">
      <c r="B303" s="3" t="s">
        <v>371</v>
      </c>
      <c r="C303" s="3" t="s">
        <v>372</v>
      </c>
      <c r="D303" s="3" t="s">
        <v>373</v>
      </c>
      <c r="E303" s="246" t="s">
        <v>374</v>
      </c>
      <c r="F303" s="247"/>
      <c r="G303" s="247"/>
      <c r="H303" s="248"/>
    </row>
    <row r="304" spans="2:8">
      <c r="B304" s="3" t="s">
        <v>375</v>
      </c>
      <c r="C304" s="3" t="s">
        <v>376</v>
      </c>
      <c r="D304" s="3" t="s">
        <v>377</v>
      </c>
      <c r="E304" s="246" t="s">
        <v>378</v>
      </c>
      <c r="F304" s="247"/>
      <c r="G304" s="247"/>
      <c r="H304" s="248"/>
    </row>
    <row r="305" spans="2:8">
      <c r="B305" s="3" t="s">
        <v>379</v>
      </c>
      <c r="C305" s="3">
        <v>40</v>
      </c>
      <c r="D305" s="3" t="s">
        <v>380</v>
      </c>
      <c r="E305" s="246" t="s">
        <v>381</v>
      </c>
      <c r="F305" s="247"/>
      <c r="G305" s="247"/>
      <c r="H305" s="248"/>
    </row>
    <row r="306" spans="2:8">
      <c r="B306" s="3" t="s">
        <v>382</v>
      </c>
      <c r="C306" s="3">
        <v>41</v>
      </c>
      <c r="D306" s="3" t="s">
        <v>383</v>
      </c>
      <c r="E306" s="246" t="s">
        <v>384</v>
      </c>
      <c r="F306" s="247"/>
      <c r="G306" s="247"/>
      <c r="H306" s="248"/>
    </row>
    <row r="307" spans="2:8">
      <c r="B307" s="3" t="s">
        <v>385</v>
      </c>
      <c r="C307" s="3">
        <v>42</v>
      </c>
      <c r="D307" s="3" t="s">
        <v>386</v>
      </c>
      <c r="E307" s="246" t="s">
        <v>387</v>
      </c>
      <c r="F307" s="247"/>
      <c r="G307" s="247"/>
      <c r="H307" s="248"/>
    </row>
    <row r="308" spans="2:8">
      <c r="B308" s="3" t="s">
        <v>388</v>
      </c>
      <c r="C308" s="3">
        <v>43</v>
      </c>
      <c r="D308" s="3" t="s">
        <v>389</v>
      </c>
      <c r="E308" s="246" t="s">
        <v>390</v>
      </c>
      <c r="F308" s="247"/>
      <c r="G308" s="247"/>
      <c r="H308" s="248"/>
    </row>
    <row r="309" spans="2:8">
      <c r="B309" s="3" t="s">
        <v>391</v>
      </c>
      <c r="C309" s="3">
        <v>44</v>
      </c>
      <c r="D309" s="3" t="s">
        <v>392</v>
      </c>
      <c r="E309" s="246" t="s">
        <v>393</v>
      </c>
      <c r="F309" s="247"/>
      <c r="G309" s="247"/>
      <c r="H309" s="248"/>
    </row>
    <row r="310" spans="2:8">
      <c r="B310" s="3" t="s">
        <v>394</v>
      </c>
      <c r="C310" s="3">
        <v>45</v>
      </c>
      <c r="D310" s="3" t="s">
        <v>395</v>
      </c>
      <c r="E310" s="246" t="s">
        <v>396</v>
      </c>
      <c r="F310" s="247"/>
      <c r="G310" s="247"/>
      <c r="H310" s="248"/>
    </row>
    <row r="311" spans="2:8">
      <c r="B311" s="3" t="s">
        <v>397</v>
      </c>
      <c r="C311" s="3">
        <v>46</v>
      </c>
      <c r="D311" s="3" t="s">
        <v>398</v>
      </c>
      <c r="E311" s="246" t="s">
        <v>399</v>
      </c>
      <c r="F311" s="247"/>
      <c r="G311" s="247"/>
      <c r="H311" s="248"/>
    </row>
    <row r="312" spans="2:8">
      <c r="B312" s="3" t="s">
        <v>400</v>
      </c>
      <c r="C312" s="3">
        <v>47</v>
      </c>
      <c r="D312" s="3" t="s">
        <v>401</v>
      </c>
      <c r="E312" s="246" t="s">
        <v>402</v>
      </c>
      <c r="F312" s="247"/>
      <c r="G312" s="247"/>
      <c r="H312" s="248"/>
    </row>
    <row r="313" spans="2:8">
      <c r="B313" s="3" t="s">
        <v>403</v>
      </c>
      <c r="C313" s="3">
        <v>48</v>
      </c>
      <c r="D313" s="3" t="s">
        <v>404</v>
      </c>
      <c r="E313" s="246" t="s">
        <v>405</v>
      </c>
      <c r="F313" s="247"/>
      <c r="G313" s="247"/>
      <c r="H313" s="248"/>
    </row>
    <row r="314" spans="2:8">
      <c r="B314" s="3" t="s">
        <v>406</v>
      </c>
      <c r="C314" s="3">
        <v>49</v>
      </c>
      <c r="D314" s="3" t="s">
        <v>407</v>
      </c>
      <c r="E314" s="246" t="s">
        <v>408</v>
      </c>
      <c r="F314" s="247"/>
      <c r="G314" s="247"/>
      <c r="H314" s="248"/>
    </row>
    <row r="315" spans="2:8">
      <c r="B315" s="3" t="s">
        <v>409</v>
      </c>
      <c r="C315" s="3" t="s">
        <v>410</v>
      </c>
      <c r="D315" s="3" t="s">
        <v>411</v>
      </c>
      <c r="E315" s="246" t="s">
        <v>412</v>
      </c>
      <c r="F315" s="247"/>
      <c r="G315" s="247"/>
      <c r="H315" s="248"/>
    </row>
    <row r="316" spans="2:8">
      <c r="B316" s="3" t="s">
        <v>413</v>
      </c>
      <c r="C316" s="3" t="s">
        <v>414</v>
      </c>
      <c r="D316" s="3" t="s">
        <v>415</v>
      </c>
      <c r="E316" s="246" t="s">
        <v>416</v>
      </c>
      <c r="F316" s="247"/>
      <c r="G316" s="247"/>
      <c r="H316" s="248"/>
    </row>
    <row r="317" spans="2:8">
      <c r="B317" s="3" t="s">
        <v>417</v>
      </c>
      <c r="C317" s="3" t="s">
        <v>418</v>
      </c>
      <c r="D317" s="3" t="s">
        <v>419</v>
      </c>
      <c r="E317" s="246" t="s">
        <v>420</v>
      </c>
      <c r="F317" s="247"/>
      <c r="G317" s="247"/>
      <c r="H317" s="248"/>
    </row>
    <row r="318" spans="2:8">
      <c r="B318" s="3" t="s">
        <v>421</v>
      </c>
      <c r="C318" s="3" t="s">
        <v>422</v>
      </c>
      <c r="D318" s="3" t="s">
        <v>423</v>
      </c>
      <c r="E318" s="246" t="s">
        <v>424</v>
      </c>
      <c r="F318" s="247"/>
      <c r="G318" s="247"/>
      <c r="H318" s="248"/>
    </row>
    <row r="319" spans="2:8">
      <c r="B319" s="3" t="s">
        <v>425</v>
      </c>
      <c r="C319" s="3" t="s">
        <v>426</v>
      </c>
      <c r="D319" s="3" t="s">
        <v>427</v>
      </c>
      <c r="E319" s="246" t="s">
        <v>428</v>
      </c>
      <c r="F319" s="247"/>
      <c r="G319" s="247"/>
      <c r="H319" s="248"/>
    </row>
    <row r="320" spans="2:8">
      <c r="B320" s="3" t="s">
        <v>429</v>
      </c>
      <c r="C320" s="3" t="s">
        <v>430</v>
      </c>
      <c r="D320" s="3" t="s">
        <v>431</v>
      </c>
      <c r="E320" s="246" t="s">
        <v>432</v>
      </c>
      <c r="F320" s="247"/>
      <c r="G320" s="247"/>
      <c r="H320" s="248"/>
    </row>
    <row r="321" spans="2:8">
      <c r="B321" s="3" t="s">
        <v>433</v>
      </c>
      <c r="C321" s="3">
        <v>50</v>
      </c>
      <c r="D321" s="3" t="s">
        <v>434</v>
      </c>
      <c r="E321" s="246" t="s">
        <v>435</v>
      </c>
      <c r="F321" s="247"/>
      <c r="G321" s="247"/>
      <c r="H321" s="248"/>
    </row>
    <row r="322" spans="2:8">
      <c r="B322" s="3" t="s">
        <v>436</v>
      </c>
      <c r="C322" s="3">
        <v>51</v>
      </c>
      <c r="D322" s="3" t="s">
        <v>437</v>
      </c>
      <c r="E322" s="246" t="s">
        <v>438</v>
      </c>
      <c r="F322" s="247"/>
      <c r="G322" s="247"/>
      <c r="H322" s="248"/>
    </row>
    <row r="323" spans="2:8">
      <c r="B323" s="3" t="s">
        <v>439</v>
      </c>
      <c r="C323" s="3">
        <v>52</v>
      </c>
      <c r="D323" s="3" t="s">
        <v>440</v>
      </c>
      <c r="E323" s="246" t="s">
        <v>441</v>
      </c>
      <c r="F323" s="247"/>
      <c r="G323" s="247"/>
      <c r="H323" s="248"/>
    </row>
    <row r="324" spans="2:8">
      <c r="B324" s="3" t="s">
        <v>442</v>
      </c>
      <c r="C324" s="3">
        <v>53</v>
      </c>
      <c r="D324" s="3" t="s">
        <v>443</v>
      </c>
      <c r="E324" s="246" t="s">
        <v>444</v>
      </c>
      <c r="F324" s="247"/>
      <c r="G324" s="247"/>
      <c r="H324" s="248"/>
    </row>
    <row r="325" spans="2:8">
      <c r="B325" s="3" t="s">
        <v>445</v>
      </c>
      <c r="C325" s="3">
        <v>54</v>
      </c>
      <c r="D325" s="3" t="s">
        <v>446</v>
      </c>
      <c r="E325" s="246" t="s">
        <v>447</v>
      </c>
      <c r="F325" s="247"/>
      <c r="G325" s="247"/>
      <c r="H325" s="248"/>
    </row>
    <row r="326" spans="2:8">
      <c r="B326" s="3" t="s">
        <v>448</v>
      </c>
      <c r="C326" s="3">
        <v>55</v>
      </c>
      <c r="D326" s="3" t="s">
        <v>449</v>
      </c>
      <c r="E326" s="246" t="s">
        <v>450</v>
      </c>
      <c r="F326" s="247"/>
      <c r="G326" s="247"/>
      <c r="H326" s="248"/>
    </row>
    <row r="327" spans="2:8">
      <c r="B327" s="3" t="s">
        <v>451</v>
      </c>
      <c r="C327" s="3">
        <v>56</v>
      </c>
      <c r="D327" s="3" t="s">
        <v>452</v>
      </c>
      <c r="E327" s="246" t="s">
        <v>453</v>
      </c>
      <c r="F327" s="247"/>
      <c r="G327" s="247"/>
      <c r="H327" s="248"/>
    </row>
    <row r="328" spans="2:8">
      <c r="B328" s="3" t="s">
        <v>454</v>
      </c>
      <c r="C328" s="3">
        <v>57</v>
      </c>
      <c r="D328" s="3" t="s">
        <v>455</v>
      </c>
      <c r="E328" s="246" t="s">
        <v>456</v>
      </c>
      <c r="F328" s="247"/>
      <c r="G328" s="247"/>
      <c r="H328" s="248"/>
    </row>
    <row r="329" spans="2:8">
      <c r="B329" s="3" t="s">
        <v>457</v>
      </c>
      <c r="C329" s="3">
        <v>58</v>
      </c>
      <c r="D329" s="3" t="s">
        <v>458</v>
      </c>
      <c r="E329" s="246" t="s">
        <v>459</v>
      </c>
      <c r="F329" s="247"/>
      <c r="G329" s="247"/>
      <c r="H329" s="248"/>
    </row>
    <row r="330" spans="2:8">
      <c r="B330" s="3" t="s">
        <v>460</v>
      </c>
      <c r="C330" s="3">
        <v>59</v>
      </c>
      <c r="D330" s="3" t="s">
        <v>461</v>
      </c>
      <c r="E330" s="246" t="s">
        <v>462</v>
      </c>
      <c r="F330" s="247"/>
      <c r="G330" s="247"/>
      <c r="H330" s="248"/>
    </row>
    <row r="331" spans="2:8">
      <c r="B331" s="3" t="s">
        <v>463</v>
      </c>
      <c r="C331" s="3" t="s">
        <v>464</v>
      </c>
      <c r="D331" s="3" t="s">
        <v>465</v>
      </c>
      <c r="E331" s="246" t="s">
        <v>466</v>
      </c>
      <c r="F331" s="247"/>
      <c r="G331" s="247"/>
      <c r="H331" s="248"/>
    </row>
    <row r="332" spans="2:8">
      <c r="B332" s="3" t="s">
        <v>467</v>
      </c>
      <c r="C332" s="3" t="s">
        <v>468</v>
      </c>
      <c r="D332" s="3" t="s">
        <v>469</v>
      </c>
      <c r="E332" s="246" t="s">
        <v>470</v>
      </c>
      <c r="F332" s="247"/>
      <c r="G332" s="247"/>
      <c r="H332" s="248"/>
    </row>
    <row r="333" spans="2:8">
      <c r="B333" s="3" t="s">
        <v>471</v>
      </c>
      <c r="C333" s="3" t="s">
        <v>472</v>
      </c>
      <c r="D333" s="3" t="s">
        <v>473</v>
      </c>
      <c r="E333" s="246" t="s">
        <v>474</v>
      </c>
      <c r="F333" s="247"/>
      <c r="G333" s="247"/>
      <c r="H333" s="248"/>
    </row>
    <row r="334" spans="2:8">
      <c r="B334" s="3" t="s">
        <v>475</v>
      </c>
      <c r="C334" s="3" t="s">
        <v>476</v>
      </c>
      <c r="D334" s="3" t="s">
        <v>477</v>
      </c>
      <c r="E334" s="246" t="s">
        <v>478</v>
      </c>
      <c r="F334" s="247"/>
      <c r="G334" s="247"/>
      <c r="H334" s="248"/>
    </row>
    <row r="335" spans="2:8">
      <c r="B335" s="3" t="s">
        <v>479</v>
      </c>
      <c r="C335" s="3" t="s">
        <v>480</v>
      </c>
      <c r="D335" s="3" t="s">
        <v>481</v>
      </c>
      <c r="E335" s="246" t="s">
        <v>482</v>
      </c>
      <c r="F335" s="247"/>
      <c r="G335" s="247"/>
      <c r="H335" s="248"/>
    </row>
    <row r="336" spans="2:8">
      <c r="B336" s="3" t="s">
        <v>483</v>
      </c>
      <c r="C336" s="3" t="s">
        <v>484</v>
      </c>
      <c r="D336" s="3" t="s">
        <v>485</v>
      </c>
      <c r="E336" s="246" t="s">
        <v>486</v>
      </c>
      <c r="F336" s="247"/>
      <c r="G336" s="247"/>
      <c r="H336" s="248"/>
    </row>
    <row r="337" spans="2:8">
      <c r="B337" s="3" t="s">
        <v>487</v>
      </c>
      <c r="C337" s="3">
        <v>60</v>
      </c>
      <c r="D337" s="3" t="s">
        <v>488</v>
      </c>
      <c r="E337" s="246" t="s">
        <v>489</v>
      </c>
      <c r="F337" s="247"/>
      <c r="G337" s="247"/>
      <c r="H337" s="248"/>
    </row>
    <row r="338" spans="2:8">
      <c r="B338" s="3" t="s">
        <v>490</v>
      </c>
      <c r="C338" s="3">
        <v>61</v>
      </c>
      <c r="D338" s="3" t="s">
        <v>491</v>
      </c>
      <c r="E338" s="246" t="s">
        <v>492</v>
      </c>
      <c r="F338" s="247"/>
      <c r="G338" s="247"/>
      <c r="H338" s="248"/>
    </row>
    <row r="339" spans="2:8">
      <c r="B339" s="3" t="s">
        <v>493</v>
      </c>
      <c r="C339" s="3">
        <v>62</v>
      </c>
      <c r="D339" s="3" t="s">
        <v>494</v>
      </c>
      <c r="E339" s="246" t="s">
        <v>495</v>
      </c>
      <c r="F339" s="247"/>
      <c r="G339" s="247"/>
      <c r="H339" s="248"/>
    </row>
    <row r="340" spans="2:8">
      <c r="B340" s="3" t="s">
        <v>496</v>
      </c>
      <c r="C340" s="3">
        <v>63</v>
      </c>
      <c r="D340" s="3" t="s">
        <v>497</v>
      </c>
      <c r="E340" s="246" t="s">
        <v>498</v>
      </c>
      <c r="F340" s="247"/>
      <c r="G340" s="247"/>
      <c r="H340" s="248"/>
    </row>
    <row r="341" spans="2:8">
      <c r="B341" s="3" t="s">
        <v>499</v>
      </c>
      <c r="C341" s="3">
        <v>64</v>
      </c>
      <c r="D341" s="3" t="s">
        <v>500</v>
      </c>
      <c r="E341" s="246" t="s">
        <v>501</v>
      </c>
      <c r="F341" s="247"/>
      <c r="G341" s="247"/>
      <c r="H341" s="248"/>
    </row>
    <row r="342" spans="2:8">
      <c r="B342" s="3" t="s">
        <v>502</v>
      </c>
      <c r="C342" s="3">
        <v>65</v>
      </c>
      <c r="D342" s="3" t="s">
        <v>503</v>
      </c>
      <c r="E342" s="246" t="s">
        <v>504</v>
      </c>
      <c r="F342" s="247"/>
      <c r="G342" s="247"/>
      <c r="H342" s="248"/>
    </row>
    <row r="343" spans="2:8">
      <c r="B343" s="3" t="s">
        <v>505</v>
      </c>
      <c r="C343" s="3">
        <v>66</v>
      </c>
      <c r="D343" s="3" t="s">
        <v>506</v>
      </c>
      <c r="E343" s="246" t="s">
        <v>507</v>
      </c>
      <c r="F343" s="247"/>
      <c r="G343" s="247"/>
      <c r="H343" s="248"/>
    </row>
    <row r="344" spans="2:8">
      <c r="B344" s="3" t="s">
        <v>508</v>
      </c>
      <c r="C344" s="3">
        <v>67</v>
      </c>
      <c r="D344" s="3" t="s">
        <v>509</v>
      </c>
      <c r="E344" s="246" t="s">
        <v>510</v>
      </c>
      <c r="F344" s="247"/>
      <c r="G344" s="247"/>
      <c r="H344" s="248"/>
    </row>
    <row r="345" spans="2:8">
      <c r="B345" s="3" t="s">
        <v>511</v>
      </c>
      <c r="C345" s="3">
        <v>68</v>
      </c>
      <c r="D345" s="3" t="s">
        <v>512</v>
      </c>
      <c r="E345" s="246" t="s">
        <v>513</v>
      </c>
      <c r="F345" s="247"/>
      <c r="G345" s="247"/>
      <c r="H345" s="248"/>
    </row>
    <row r="346" spans="2:8">
      <c r="B346" s="3" t="s">
        <v>514</v>
      </c>
      <c r="C346" s="3">
        <v>69</v>
      </c>
      <c r="D346" s="3" t="s">
        <v>515</v>
      </c>
      <c r="E346" s="246" t="s">
        <v>516</v>
      </c>
      <c r="F346" s="247"/>
      <c r="G346" s="247"/>
      <c r="H346" s="248"/>
    </row>
    <row r="347" spans="2:8">
      <c r="B347" s="3" t="s">
        <v>517</v>
      </c>
      <c r="C347" s="3" t="s">
        <v>518</v>
      </c>
      <c r="D347" s="3" t="s">
        <v>519</v>
      </c>
      <c r="E347" s="246" t="s">
        <v>520</v>
      </c>
      <c r="F347" s="247"/>
      <c r="G347" s="247"/>
      <c r="H347" s="248"/>
    </row>
    <row r="348" spans="2:8">
      <c r="B348" s="3" t="s">
        <v>521</v>
      </c>
      <c r="C348" s="3" t="s">
        <v>522</v>
      </c>
      <c r="D348" s="3" t="s">
        <v>523</v>
      </c>
      <c r="E348" s="246" t="s">
        <v>524</v>
      </c>
      <c r="F348" s="247"/>
      <c r="G348" s="247"/>
      <c r="H348" s="248"/>
    </row>
    <row r="349" spans="2:8">
      <c r="B349" s="3" t="s">
        <v>525</v>
      </c>
      <c r="C349" s="3" t="s">
        <v>526</v>
      </c>
      <c r="D349" s="3" t="s">
        <v>527</v>
      </c>
      <c r="E349" s="246" t="s">
        <v>528</v>
      </c>
      <c r="F349" s="247"/>
      <c r="G349" s="247"/>
      <c r="H349" s="248"/>
    </row>
    <row r="350" spans="2:8">
      <c r="B350" s="3" t="s">
        <v>529</v>
      </c>
      <c r="C350" s="3" t="s">
        <v>530</v>
      </c>
      <c r="D350" s="3" t="s">
        <v>531</v>
      </c>
      <c r="E350" s="246" t="s">
        <v>532</v>
      </c>
      <c r="F350" s="247"/>
      <c r="G350" s="247"/>
      <c r="H350" s="248"/>
    </row>
    <row r="351" spans="2:8">
      <c r="B351" s="3" t="s">
        <v>533</v>
      </c>
      <c r="C351" s="3" t="s">
        <v>534</v>
      </c>
      <c r="D351" s="3" t="s">
        <v>535</v>
      </c>
      <c r="E351" s="246" t="s">
        <v>536</v>
      </c>
      <c r="F351" s="247"/>
      <c r="G351" s="247"/>
      <c r="H351" s="248"/>
    </row>
    <row r="352" spans="2:8">
      <c r="B352" s="3" t="s">
        <v>537</v>
      </c>
      <c r="C352" s="3" t="s">
        <v>538</v>
      </c>
      <c r="D352" s="3" t="s">
        <v>539</v>
      </c>
      <c r="E352" s="246" t="s">
        <v>540</v>
      </c>
      <c r="F352" s="247"/>
      <c r="G352" s="247"/>
      <c r="H352" s="248"/>
    </row>
    <row r="353" spans="2:8">
      <c r="B353" s="3" t="s">
        <v>541</v>
      </c>
      <c r="C353" s="3">
        <v>70</v>
      </c>
      <c r="D353" s="3" t="s">
        <v>542</v>
      </c>
      <c r="E353" s="246" t="s">
        <v>543</v>
      </c>
      <c r="F353" s="247"/>
      <c r="G353" s="247"/>
      <c r="H353" s="248"/>
    </row>
    <row r="354" spans="2:8">
      <c r="B354" s="3" t="s">
        <v>544</v>
      </c>
      <c r="C354" s="3">
        <v>71</v>
      </c>
      <c r="D354" s="3" t="s">
        <v>545</v>
      </c>
      <c r="E354" s="246" t="s">
        <v>546</v>
      </c>
      <c r="F354" s="247"/>
      <c r="G354" s="247"/>
      <c r="H354" s="248"/>
    </row>
    <row r="355" spans="2:8">
      <c r="B355" s="3" t="s">
        <v>547</v>
      </c>
      <c r="C355" s="3">
        <v>72</v>
      </c>
      <c r="D355" s="3" t="s">
        <v>548</v>
      </c>
      <c r="E355" s="246" t="s">
        <v>549</v>
      </c>
      <c r="F355" s="247"/>
      <c r="G355" s="247"/>
      <c r="H355" s="248"/>
    </row>
    <row r="356" spans="2:8">
      <c r="B356" s="3" t="s">
        <v>550</v>
      </c>
      <c r="C356" s="3">
        <v>73</v>
      </c>
      <c r="D356" s="3" t="s">
        <v>551</v>
      </c>
      <c r="E356" s="246" t="s">
        <v>552</v>
      </c>
      <c r="F356" s="247"/>
      <c r="G356" s="247"/>
      <c r="H356" s="248"/>
    </row>
    <row r="357" spans="2:8">
      <c r="B357" s="3" t="s">
        <v>553</v>
      </c>
      <c r="C357" s="3">
        <v>74</v>
      </c>
      <c r="D357" s="3" t="s">
        <v>554</v>
      </c>
      <c r="E357" s="246" t="s">
        <v>555</v>
      </c>
      <c r="F357" s="247"/>
      <c r="G357" s="247"/>
      <c r="H357" s="248"/>
    </row>
    <row r="358" spans="2:8">
      <c r="B358" s="3" t="s">
        <v>556</v>
      </c>
      <c r="C358" s="3">
        <v>75</v>
      </c>
      <c r="D358" s="3" t="s">
        <v>557</v>
      </c>
      <c r="E358" s="246" t="s">
        <v>558</v>
      </c>
      <c r="F358" s="247"/>
      <c r="G358" s="247"/>
      <c r="H358" s="248"/>
    </row>
    <row r="359" spans="2:8">
      <c r="B359" s="3" t="s">
        <v>559</v>
      </c>
      <c r="C359" s="3">
        <v>76</v>
      </c>
      <c r="D359" s="3" t="s">
        <v>560</v>
      </c>
      <c r="E359" s="246" t="s">
        <v>561</v>
      </c>
      <c r="F359" s="247"/>
      <c r="G359" s="247"/>
      <c r="H359" s="248"/>
    </row>
    <row r="360" spans="2:8">
      <c r="B360" s="3" t="s">
        <v>562</v>
      </c>
      <c r="C360" s="3">
        <v>77</v>
      </c>
      <c r="D360" s="3" t="s">
        <v>563</v>
      </c>
      <c r="E360" s="246" t="s">
        <v>564</v>
      </c>
      <c r="F360" s="247"/>
      <c r="G360" s="247"/>
      <c r="H360" s="248"/>
    </row>
    <row r="361" spans="2:8">
      <c r="B361" s="3" t="s">
        <v>565</v>
      </c>
      <c r="C361" s="3">
        <v>78</v>
      </c>
      <c r="D361" s="3" t="s">
        <v>566</v>
      </c>
      <c r="E361" s="246" t="s">
        <v>567</v>
      </c>
      <c r="F361" s="247"/>
      <c r="G361" s="247"/>
      <c r="H361" s="248"/>
    </row>
    <row r="362" spans="2:8">
      <c r="B362" s="3" t="s">
        <v>568</v>
      </c>
      <c r="C362" s="3">
        <v>79</v>
      </c>
      <c r="D362" s="3" t="s">
        <v>569</v>
      </c>
      <c r="E362" s="246" t="s">
        <v>570</v>
      </c>
      <c r="F362" s="247"/>
      <c r="G362" s="247"/>
      <c r="H362" s="248"/>
    </row>
    <row r="363" spans="2:8">
      <c r="B363" s="3" t="s">
        <v>571</v>
      </c>
      <c r="C363" s="3" t="s">
        <v>572</v>
      </c>
      <c r="D363" s="3" t="s">
        <v>573</v>
      </c>
      <c r="E363" s="246" t="s">
        <v>574</v>
      </c>
      <c r="F363" s="247"/>
      <c r="G363" s="247"/>
      <c r="H363" s="248"/>
    </row>
    <row r="364" spans="2:8">
      <c r="B364" s="3" t="s">
        <v>575</v>
      </c>
      <c r="C364" s="3" t="s">
        <v>576</v>
      </c>
      <c r="D364" s="3" t="s">
        <v>577</v>
      </c>
      <c r="E364" s="246" t="s">
        <v>578</v>
      </c>
      <c r="F364" s="247"/>
      <c r="G364" s="247"/>
      <c r="H364" s="248"/>
    </row>
    <row r="365" spans="2:8">
      <c r="B365" s="3" t="s">
        <v>579</v>
      </c>
      <c r="C365" s="3" t="s">
        <v>580</v>
      </c>
      <c r="D365" s="3" t="s">
        <v>581</v>
      </c>
      <c r="E365" s="246" t="s">
        <v>582</v>
      </c>
      <c r="F365" s="247"/>
      <c r="G365" s="247"/>
      <c r="H365" s="248"/>
    </row>
    <row r="366" spans="2:8">
      <c r="B366" s="3" t="s">
        <v>583</v>
      </c>
      <c r="C366" s="3" t="s">
        <v>584</v>
      </c>
      <c r="D366" s="3" t="s">
        <v>585</v>
      </c>
      <c r="E366" s="246" t="s">
        <v>586</v>
      </c>
      <c r="F366" s="247"/>
      <c r="G366" s="247"/>
      <c r="H366" s="248"/>
    </row>
    <row r="367" spans="2:8">
      <c r="B367" s="3" t="s">
        <v>587</v>
      </c>
      <c r="C367" s="3" t="s">
        <v>588</v>
      </c>
      <c r="D367" s="3" t="s">
        <v>589</v>
      </c>
      <c r="E367" s="246" t="s">
        <v>590</v>
      </c>
      <c r="F367" s="247"/>
      <c r="G367" s="247"/>
      <c r="H367" s="248"/>
    </row>
    <row r="368" spans="2:8">
      <c r="B368" s="3" t="s">
        <v>591</v>
      </c>
      <c r="C368" s="3" t="s">
        <v>592</v>
      </c>
      <c r="D368" s="3"/>
      <c r="E368" s="246" t="s">
        <v>238</v>
      </c>
      <c r="F368" s="247"/>
      <c r="G368" s="247"/>
      <c r="H368" s="248"/>
    </row>
    <row r="369" spans="2:8">
      <c r="B369" s="3" t="s">
        <v>593</v>
      </c>
      <c r="C369" s="3" t="s">
        <v>594</v>
      </c>
      <c r="D369" s="3"/>
      <c r="E369" s="246" t="s">
        <v>238</v>
      </c>
      <c r="F369" s="247"/>
      <c r="G369" s="247"/>
      <c r="H369" s="248"/>
    </row>
    <row r="370" spans="2:8">
      <c r="B370" s="3" t="s">
        <v>595</v>
      </c>
      <c r="C370" s="3" t="s">
        <v>596</v>
      </c>
      <c r="D370" s="3"/>
      <c r="E370" s="246" t="s">
        <v>238</v>
      </c>
      <c r="F370" s="247"/>
      <c r="G370" s="247"/>
      <c r="H370" s="248"/>
    </row>
    <row r="371" spans="2:8">
      <c r="B371" s="3" t="s">
        <v>597</v>
      </c>
      <c r="C371" s="3" t="s">
        <v>598</v>
      </c>
      <c r="D371" s="3"/>
      <c r="E371" s="246" t="s">
        <v>238</v>
      </c>
      <c r="F371" s="247"/>
      <c r="G371" s="247"/>
      <c r="H371" s="248"/>
    </row>
    <row r="372" spans="2:8">
      <c r="B372" s="3" t="s">
        <v>599</v>
      </c>
      <c r="C372" s="3" t="s">
        <v>600</v>
      </c>
      <c r="D372" s="3"/>
      <c r="E372" s="246" t="s">
        <v>238</v>
      </c>
      <c r="F372" s="247"/>
      <c r="G372" s="247"/>
      <c r="H372" s="248"/>
    </row>
    <row r="373" spans="2:8">
      <c r="B373" s="3" t="s">
        <v>601</v>
      </c>
      <c r="C373" s="3" t="s">
        <v>602</v>
      </c>
      <c r="D373" s="3"/>
      <c r="E373" s="246" t="s">
        <v>238</v>
      </c>
      <c r="F373" s="247"/>
      <c r="G373" s="247"/>
      <c r="H373" s="248"/>
    </row>
    <row r="374" spans="2:8">
      <c r="B374" s="3" t="s">
        <v>603</v>
      </c>
      <c r="C374" s="3" t="s">
        <v>604</v>
      </c>
      <c r="D374" s="3"/>
      <c r="E374" s="246" t="s">
        <v>238</v>
      </c>
      <c r="F374" s="247"/>
      <c r="G374" s="247"/>
      <c r="H374" s="248"/>
    </row>
    <row r="375" spans="2:8">
      <c r="B375" s="3" t="s">
        <v>605</v>
      </c>
      <c r="C375" s="3" t="s">
        <v>606</v>
      </c>
      <c r="D375" s="3"/>
      <c r="E375" s="246" t="s">
        <v>238</v>
      </c>
      <c r="F375" s="247"/>
      <c r="G375" s="247"/>
      <c r="H375" s="248"/>
    </row>
    <row r="376" spans="2:8">
      <c r="B376" s="3" t="s">
        <v>607</v>
      </c>
      <c r="C376" s="3" t="s">
        <v>608</v>
      </c>
      <c r="D376" s="3"/>
      <c r="E376" s="246" t="s">
        <v>238</v>
      </c>
      <c r="F376" s="247"/>
      <c r="G376" s="247"/>
      <c r="H376" s="248"/>
    </row>
    <row r="377" spans="2:8">
      <c r="B377" s="3" t="s">
        <v>609</v>
      </c>
      <c r="C377" s="3" t="s">
        <v>610</v>
      </c>
      <c r="D377" s="3"/>
      <c r="E377" s="246" t="s">
        <v>238</v>
      </c>
      <c r="F377" s="247"/>
      <c r="G377" s="247"/>
      <c r="H377" s="248"/>
    </row>
    <row r="378" spans="2:8">
      <c r="B378" s="3" t="s">
        <v>611</v>
      </c>
      <c r="C378" s="3" t="s">
        <v>612</v>
      </c>
      <c r="D378" s="3"/>
      <c r="E378" s="246" t="s">
        <v>238</v>
      </c>
      <c r="F378" s="247"/>
      <c r="G378" s="247"/>
      <c r="H378" s="248"/>
    </row>
    <row r="379" spans="2:8">
      <c r="B379" s="3" t="s">
        <v>613</v>
      </c>
      <c r="C379" s="3" t="s">
        <v>614</v>
      </c>
      <c r="D379" s="3"/>
      <c r="E379" s="246" t="s">
        <v>238</v>
      </c>
      <c r="F379" s="247"/>
      <c r="G379" s="247"/>
      <c r="H379" s="248"/>
    </row>
    <row r="380" spans="2:8">
      <c r="B380" s="3" t="s">
        <v>615</v>
      </c>
      <c r="C380" s="3" t="s">
        <v>616</v>
      </c>
      <c r="D380" s="3"/>
      <c r="E380" s="246" t="s">
        <v>238</v>
      </c>
      <c r="F380" s="247"/>
      <c r="G380" s="247"/>
      <c r="H380" s="248"/>
    </row>
    <row r="381" spans="2:8">
      <c r="B381" s="3" t="s">
        <v>617</v>
      </c>
      <c r="C381" s="3" t="s">
        <v>618</v>
      </c>
      <c r="D381" s="3"/>
      <c r="E381" s="246" t="s">
        <v>238</v>
      </c>
      <c r="F381" s="247"/>
      <c r="G381" s="247"/>
      <c r="H381" s="248"/>
    </row>
    <row r="382" spans="2:8">
      <c r="B382" s="3" t="s">
        <v>619</v>
      </c>
      <c r="C382" s="3" t="s">
        <v>620</v>
      </c>
      <c r="D382" s="3"/>
      <c r="E382" s="246" t="s">
        <v>238</v>
      </c>
      <c r="F382" s="247"/>
      <c r="G382" s="247"/>
      <c r="H382" s="248"/>
    </row>
    <row r="383" spans="2:8">
      <c r="B383" s="3" t="s">
        <v>621</v>
      </c>
      <c r="C383" s="3" t="s">
        <v>622</v>
      </c>
      <c r="D383" s="3"/>
      <c r="E383" s="246" t="s">
        <v>238</v>
      </c>
      <c r="F383" s="247"/>
      <c r="G383" s="247"/>
      <c r="H383" s="248"/>
    </row>
    <row r="384" spans="2:8">
      <c r="B384" s="3" t="s">
        <v>623</v>
      </c>
      <c r="C384" s="3" t="s">
        <v>624</v>
      </c>
      <c r="D384" s="3"/>
      <c r="E384" s="246" t="s">
        <v>238</v>
      </c>
      <c r="F384" s="247"/>
      <c r="G384" s="247"/>
      <c r="H384" s="248"/>
    </row>
    <row r="385" spans="2:8">
      <c r="B385" s="3" t="s">
        <v>625</v>
      </c>
      <c r="C385" s="3" t="s">
        <v>626</v>
      </c>
      <c r="D385" s="3"/>
      <c r="E385" s="246" t="s">
        <v>238</v>
      </c>
      <c r="F385" s="247"/>
      <c r="G385" s="247"/>
      <c r="H385" s="248"/>
    </row>
    <row r="386" spans="2:8">
      <c r="B386" s="3" t="s">
        <v>627</v>
      </c>
      <c r="C386" s="3" t="s">
        <v>628</v>
      </c>
      <c r="D386" s="3"/>
      <c r="E386" s="246" t="s">
        <v>238</v>
      </c>
      <c r="F386" s="247"/>
      <c r="G386" s="247"/>
      <c r="H386" s="248"/>
    </row>
    <row r="387" spans="2:8">
      <c r="B387" s="3" t="s">
        <v>629</v>
      </c>
      <c r="C387" s="3" t="s">
        <v>630</v>
      </c>
      <c r="D387" s="3"/>
      <c r="E387" s="246" t="s">
        <v>238</v>
      </c>
      <c r="F387" s="247"/>
      <c r="G387" s="247"/>
      <c r="H387" s="248"/>
    </row>
    <row r="388" spans="2:8">
      <c r="B388" s="3" t="s">
        <v>631</v>
      </c>
      <c r="C388" s="3" t="s">
        <v>632</v>
      </c>
      <c r="D388" s="3"/>
      <c r="E388" s="246" t="s">
        <v>238</v>
      </c>
      <c r="F388" s="247"/>
      <c r="G388" s="247"/>
      <c r="H388" s="248"/>
    </row>
    <row r="389" spans="2:8">
      <c r="B389" s="3" t="s">
        <v>633</v>
      </c>
      <c r="C389" s="3" t="s">
        <v>634</v>
      </c>
      <c r="D389" s="3"/>
      <c r="E389" s="246" t="s">
        <v>238</v>
      </c>
      <c r="F389" s="247"/>
      <c r="G389" s="247"/>
      <c r="H389" s="248"/>
    </row>
    <row r="390" spans="2:8">
      <c r="B390" s="3" t="s">
        <v>635</v>
      </c>
      <c r="C390" s="3" t="s">
        <v>636</v>
      </c>
      <c r="D390" s="3"/>
      <c r="E390" s="246" t="s">
        <v>238</v>
      </c>
      <c r="F390" s="247"/>
      <c r="G390" s="247"/>
      <c r="H390" s="248"/>
    </row>
    <row r="391" spans="2:8">
      <c r="B391" s="3" t="s">
        <v>637</v>
      </c>
      <c r="C391" s="3" t="s">
        <v>638</v>
      </c>
      <c r="D391" s="3"/>
      <c r="E391" s="246" t="s">
        <v>238</v>
      </c>
      <c r="F391" s="247"/>
      <c r="G391" s="247"/>
      <c r="H391" s="248"/>
    </row>
    <row r="392" spans="2:8">
      <c r="B392" s="3" t="s">
        <v>639</v>
      </c>
      <c r="C392" s="3" t="s">
        <v>640</v>
      </c>
      <c r="D392" s="3"/>
      <c r="E392" s="246" t="s">
        <v>238</v>
      </c>
      <c r="F392" s="247"/>
      <c r="G392" s="247"/>
      <c r="H392" s="248"/>
    </row>
    <row r="393" spans="2:8">
      <c r="B393" s="3" t="s">
        <v>641</v>
      </c>
      <c r="C393" s="3" t="s">
        <v>642</v>
      </c>
      <c r="D393" s="3"/>
      <c r="E393" s="246" t="s">
        <v>238</v>
      </c>
      <c r="F393" s="247"/>
      <c r="G393" s="247"/>
      <c r="H393" s="248"/>
    </row>
    <row r="394" spans="2:8">
      <c r="B394" s="3" t="s">
        <v>643</v>
      </c>
      <c r="C394" s="3" t="s">
        <v>644</v>
      </c>
      <c r="D394" s="3"/>
      <c r="E394" s="246" t="s">
        <v>238</v>
      </c>
      <c r="F394" s="247"/>
      <c r="G394" s="247"/>
      <c r="H394" s="248"/>
    </row>
    <row r="395" spans="2:8">
      <c r="B395" s="3" t="s">
        <v>645</v>
      </c>
      <c r="C395" s="3" t="s">
        <v>646</v>
      </c>
      <c r="D395" s="3"/>
      <c r="E395" s="246" t="s">
        <v>238</v>
      </c>
      <c r="F395" s="247"/>
      <c r="G395" s="247"/>
      <c r="H395" s="248"/>
    </row>
    <row r="396" spans="2:8">
      <c r="B396" s="3" t="s">
        <v>647</v>
      </c>
      <c r="C396" s="3" t="s">
        <v>648</v>
      </c>
      <c r="D396" s="3"/>
      <c r="E396" s="246" t="s">
        <v>238</v>
      </c>
      <c r="F396" s="247"/>
      <c r="G396" s="247"/>
      <c r="H396" s="248"/>
    </row>
    <row r="397" spans="2:8">
      <c r="B397" s="3" t="s">
        <v>649</v>
      </c>
      <c r="C397" s="3" t="s">
        <v>650</v>
      </c>
      <c r="D397" s="3"/>
      <c r="E397" s="246" t="s">
        <v>238</v>
      </c>
      <c r="F397" s="247"/>
      <c r="G397" s="247"/>
      <c r="H397" s="248"/>
    </row>
    <row r="398" spans="2:8">
      <c r="B398" s="3" t="s">
        <v>651</v>
      </c>
      <c r="C398" s="3" t="s">
        <v>652</v>
      </c>
      <c r="D398" s="3"/>
      <c r="E398" s="246" t="s">
        <v>238</v>
      </c>
      <c r="F398" s="247"/>
      <c r="G398" s="247"/>
      <c r="H398" s="248"/>
    </row>
    <row r="399" spans="2:8">
      <c r="B399" s="3" t="s">
        <v>653</v>
      </c>
      <c r="C399" s="3" t="s">
        <v>654</v>
      </c>
      <c r="D399" s="3"/>
      <c r="E399" s="246" t="s">
        <v>238</v>
      </c>
      <c r="F399" s="247"/>
      <c r="G399" s="247"/>
      <c r="H399" s="248"/>
    </row>
    <row r="400" spans="2:8">
      <c r="B400" s="3" t="s">
        <v>655</v>
      </c>
      <c r="C400" s="3" t="s">
        <v>656</v>
      </c>
      <c r="D400" s="3"/>
      <c r="E400" s="246" t="s">
        <v>238</v>
      </c>
      <c r="F400" s="247"/>
      <c r="G400" s="247"/>
      <c r="H400" s="248"/>
    </row>
    <row r="401" spans="2:8">
      <c r="B401" s="3" t="s">
        <v>657</v>
      </c>
      <c r="C401" s="3" t="s">
        <v>658</v>
      </c>
      <c r="D401" s="3"/>
      <c r="E401" s="246" t="s">
        <v>659</v>
      </c>
      <c r="F401" s="247"/>
      <c r="G401" s="247"/>
      <c r="H401" s="248"/>
    </row>
    <row r="402" spans="2:8">
      <c r="B402" s="3" t="s">
        <v>660</v>
      </c>
      <c r="C402" s="3" t="s">
        <v>661</v>
      </c>
      <c r="D402" s="3" t="s">
        <v>662</v>
      </c>
      <c r="E402" s="246" t="s">
        <v>663</v>
      </c>
      <c r="F402" s="247"/>
      <c r="G402" s="247"/>
      <c r="H402" s="248"/>
    </row>
    <row r="403" spans="2:8">
      <c r="B403" s="3" t="s">
        <v>664</v>
      </c>
      <c r="C403" s="3" t="s">
        <v>665</v>
      </c>
      <c r="D403" s="3" t="s">
        <v>666</v>
      </c>
      <c r="E403" s="246" t="s">
        <v>667</v>
      </c>
      <c r="F403" s="247"/>
      <c r="G403" s="247"/>
      <c r="H403" s="248"/>
    </row>
    <row r="404" spans="2:8">
      <c r="B404" s="3" t="s">
        <v>668</v>
      </c>
      <c r="C404" s="3" t="s">
        <v>669</v>
      </c>
      <c r="D404" s="3" t="s">
        <v>670</v>
      </c>
      <c r="E404" s="246" t="s">
        <v>671</v>
      </c>
      <c r="F404" s="247"/>
      <c r="G404" s="247"/>
      <c r="H404" s="248"/>
    </row>
    <row r="405" spans="2:8">
      <c r="B405" s="3" t="s">
        <v>672</v>
      </c>
      <c r="C405" s="3" t="s">
        <v>673</v>
      </c>
      <c r="D405" s="3" t="s">
        <v>674</v>
      </c>
      <c r="E405" s="246" t="s">
        <v>675</v>
      </c>
      <c r="F405" s="247"/>
      <c r="G405" s="247"/>
      <c r="H405" s="248"/>
    </row>
    <row r="406" spans="2:8">
      <c r="B406" s="3" t="s">
        <v>676</v>
      </c>
      <c r="C406" s="3" t="s">
        <v>677</v>
      </c>
      <c r="D406" s="3" t="s">
        <v>678</v>
      </c>
      <c r="E406" s="246" t="s">
        <v>679</v>
      </c>
      <c r="F406" s="247"/>
      <c r="G406" s="247"/>
      <c r="H406" s="248"/>
    </row>
    <row r="407" spans="2:8">
      <c r="B407" s="3" t="s">
        <v>680</v>
      </c>
      <c r="C407" s="3" t="s">
        <v>681</v>
      </c>
      <c r="D407" s="3" t="s">
        <v>682</v>
      </c>
      <c r="E407" s="246" t="s">
        <v>683</v>
      </c>
      <c r="F407" s="247"/>
      <c r="G407" s="247"/>
      <c r="H407" s="248"/>
    </row>
    <row r="408" spans="2:8">
      <c r="B408" s="3" t="s">
        <v>684</v>
      </c>
      <c r="C408" s="3" t="s">
        <v>685</v>
      </c>
      <c r="D408" s="3" t="s">
        <v>686</v>
      </c>
      <c r="E408" s="246" t="s">
        <v>687</v>
      </c>
      <c r="F408" s="247"/>
      <c r="G408" s="247"/>
      <c r="H408" s="248"/>
    </row>
    <row r="409" spans="2:8">
      <c r="B409" s="3" t="s">
        <v>688</v>
      </c>
      <c r="C409" s="3" t="s">
        <v>689</v>
      </c>
      <c r="D409" s="3" t="s">
        <v>690</v>
      </c>
      <c r="E409" s="246" t="s">
        <v>691</v>
      </c>
      <c r="F409" s="247"/>
      <c r="G409" s="247"/>
      <c r="H409" s="248"/>
    </row>
    <row r="410" spans="2:8">
      <c r="B410" s="3" t="s">
        <v>692</v>
      </c>
      <c r="C410" s="3" t="s">
        <v>693</v>
      </c>
      <c r="D410" s="3" t="s">
        <v>694</v>
      </c>
      <c r="E410" s="246" t="s">
        <v>695</v>
      </c>
      <c r="F410" s="247"/>
      <c r="G410" s="247"/>
      <c r="H410" s="248"/>
    </row>
    <row r="411" spans="2:8">
      <c r="B411" s="3" t="s">
        <v>696</v>
      </c>
      <c r="C411" s="3" t="s">
        <v>697</v>
      </c>
      <c r="D411" s="3" t="s">
        <v>698</v>
      </c>
      <c r="E411" s="246" t="s">
        <v>699</v>
      </c>
      <c r="F411" s="247"/>
      <c r="G411" s="247"/>
      <c r="H411" s="248"/>
    </row>
    <row r="412" spans="2:8">
      <c r="B412" s="3" t="s">
        <v>700</v>
      </c>
      <c r="C412" s="3" t="s">
        <v>701</v>
      </c>
      <c r="D412" s="3" t="s">
        <v>702</v>
      </c>
      <c r="E412" s="246" t="s">
        <v>703</v>
      </c>
      <c r="F412" s="247"/>
      <c r="G412" s="247"/>
      <c r="H412" s="248"/>
    </row>
    <row r="413" spans="2:8">
      <c r="B413" s="3" t="s">
        <v>704</v>
      </c>
      <c r="C413" s="3" t="s">
        <v>705</v>
      </c>
      <c r="D413" s="3" t="s">
        <v>706</v>
      </c>
      <c r="E413" s="246" t="s">
        <v>707</v>
      </c>
      <c r="F413" s="247"/>
      <c r="G413" s="247"/>
      <c r="H413" s="248"/>
    </row>
    <row r="414" spans="2:8">
      <c r="B414" s="3" t="s">
        <v>708</v>
      </c>
      <c r="C414" s="3" t="s">
        <v>709</v>
      </c>
      <c r="D414" s="3"/>
      <c r="E414" s="246" t="s">
        <v>710</v>
      </c>
      <c r="F414" s="247"/>
      <c r="G414" s="247"/>
      <c r="H414" s="248"/>
    </row>
    <row r="415" spans="2:8">
      <c r="B415" s="3" t="s">
        <v>711</v>
      </c>
      <c r="C415" s="3" t="s">
        <v>712</v>
      </c>
      <c r="D415" s="3" t="s">
        <v>713</v>
      </c>
      <c r="E415" s="246" t="s">
        <v>714</v>
      </c>
      <c r="F415" s="247"/>
      <c r="G415" s="247"/>
      <c r="H415" s="248"/>
    </row>
    <row r="416" spans="2:8">
      <c r="B416" s="3" t="s">
        <v>715</v>
      </c>
      <c r="C416" s="3" t="s">
        <v>716</v>
      </c>
      <c r="D416" s="3" t="s">
        <v>717</v>
      </c>
      <c r="E416" s="246" t="s">
        <v>718</v>
      </c>
      <c r="F416" s="247"/>
      <c r="G416" s="247"/>
      <c r="H416" s="248"/>
    </row>
    <row r="417" spans="2:8">
      <c r="B417" s="3" t="s">
        <v>719</v>
      </c>
      <c r="C417" s="3" t="s">
        <v>720</v>
      </c>
      <c r="D417" s="3" t="s">
        <v>721</v>
      </c>
      <c r="E417" s="246" t="s">
        <v>722</v>
      </c>
      <c r="F417" s="247"/>
      <c r="G417" s="247"/>
      <c r="H417" s="248"/>
    </row>
    <row r="418" spans="2:8">
      <c r="B418" s="3" t="s">
        <v>723</v>
      </c>
      <c r="C418" s="3" t="s">
        <v>724</v>
      </c>
      <c r="D418" s="3" t="s">
        <v>725</v>
      </c>
      <c r="E418" s="246" t="s">
        <v>726</v>
      </c>
      <c r="F418" s="247"/>
      <c r="G418" s="247"/>
      <c r="H418" s="248"/>
    </row>
    <row r="419" spans="2:8">
      <c r="B419" s="3" t="s">
        <v>727</v>
      </c>
      <c r="C419" s="3" t="s">
        <v>728</v>
      </c>
      <c r="D419" s="3" t="s">
        <v>729</v>
      </c>
      <c r="E419" s="246" t="s">
        <v>730</v>
      </c>
      <c r="F419" s="247"/>
      <c r="G419" s="247"/>
      <c r="H419" s="248"/>
    </row>
    <row r="420" spans="2:8">
      <c r="B420" s="3" t="s">
        <v>731</v>
      </c>
      <c r="C420" s="3" t="s">
        <v>732</v>
      </c>
      <c r="D420" s="3" t="s">
        <v>733</v>
      </c>
      <c r="E420" s="246" t="s">
        <v>734</v>
      </c>
      <c r="F420" s="247"/>
      <c r="G420" s="247"/>
      <c r="H420" s="248"/>
    </row>
    <row r="421" spans="2:8">
      <c r="B421" s="3" t="s">
        <v>735</v>
      </c>
      <c r="C421" s="3" t="s">
        <v>736</v>
      </c>
      <c r="D421" s="3" t="s">
        <v>737</v>
      </c>
      <c r="E421" s="246" t="s">
        <v>738</v>
      </c>
      <c r="F421" s="247"/>
      <c r="G421" s="247"/>
      <c r="H421" s="248"/>
    </row>
    <row r="422" spans="2:8">
      <c r="B422" s="3" t="s">
        <v>739</v>
      </c>
      <c r="C422" s="3" t="s">
        <v>740</v>
      </c>
      <c r="D422" s="3" t="s">
        <v>741</v>
      </c>
      <c r="E422" s="246" t="s">
        <v>742</v>
      </c>
      <c r="F422" s="247"/>
      <c r="G422" s="247"/>
      <c r="H422" s="248"/>
    </row>
    <row r="423" spans="2:8">
      <c r="B423" s="3" t="s">
        <v>743</v>
      </c>
      <c r="C423" s="3" t="s">
        <v>744</v>
      </c>
      <c r="D423" s="3" t="s">
        <v>745</v>
      </c>
      <c r="E423" s="246" t="s">
        <v>746</v>
      </c>
      <c r="F423" s="247"/>
      <c r="G423" s="247"/>
      <c r="H423" s="248"/>
    </row>
    <row r="424" spans="2:8">
      <c r="B424" s="3" t="s">
        <v>747</v>
      </c>
      <c r="C424" s="3" t="s">
        <v>748</v>
      </c>
      <c r="D424" s="3" t="s">
        <v>749</v>
      </c>
      <c r="E424" s="246" t="s">
        <v>750</v>
      </c>
      <c r="F424" s="247"/>
      <c r="G424" s="247"/>
      <c r="H424" s="248"/>
    </row>
    <row r="425" spans="2:8">
      <c r="B425" s="3" t="s">
        <v>751</v>
      </c>
      <c r="C425" s="3" t="s">
        <v>752</v>
      </c>
      <c r="D425" s="3" t="s">
        <v>753</v>
      </c>
      <c r="E425" s="246" t="s">
        <v>754</v>
      </c>
      <c r="F425" s="247"/>
      <c r="G425" s="247"/>
      <c r="H425" s="248"/>
    </row>
    <row r="426" spans="2:8">
      <c r="B426" s="3" t="s">
        <v>755</v>
      </c>
      <c r="C426" s="3" t="s">
        <v>756</v>
      </c>
      <c r="D426" s="3" t="s">
        <v>757</v>
      </c>
      <c r="E426" s="246" t="s">
        <v>758</v>
      </c>
      <c r="F426" s="247"/>
      <c r="G426" s="247"/>
      <c r="H426" s="248"/>
    </row>
    <row r="427" spans="2:8">
      <c r="B427" s="3" t="s">
        <v>759</v>
      </c>
      <c r="C427" s="3" t="s">
        <v>760</v>
      </c>
      <c r="D427" s="3" t="s">
        <v>761</v>
      </c>
      <c r="E427" s="246" t="s">
        <v>762</v>
      </c>
      <c r="F427" s="247"/>
      <c r="G427" s="247"/>
      <c r="H427" s="248"/>
    </row>
    <row r="428" spans="2:8">
      <c r="B428" s="3" t="s">
        <v>763</v>
      </c>
      <c r="C428" s="3" t="s">
        <v>764</v>
      </c>
      <c r="D428" s="3" t="s">
        <v>765</v>
      </c>
      <c r="E428" s="246" t="s">
        <v>766</v>
      </c>
      <c r="F428" s="247"/>
      <c r="G428" s="247"/>
      <c r="H428" s="248"/>
    </row>
    <row r="429" spans="2:8">
      <c r="B429" s="3" t="s">
        <v>767</v>
      </c>
      <c r="C429" s="3" t="s">
        <v>768</v>
      </c>
      <c r="D429" s="3" t="s">
        <v>769</v>
      </c>
      <c r="E429" s="246" t="s">
        <v>770</v>
      </c>
      <c r="F429" s="247"/>
      <c r="G429" s="247"/>
      <c r="H429" s="248"/>
    </row>
    <row r="430" spans="2:8">
      <c r="B430" s="3" t="s">
        <v>771</v>
      </c>
      <c r="C430" s="3" t="s">
        <v>772</v>
      </c>
      <c r="D430" s="3" t="s">
        <v>773</v>
      </c>
      <c r="E430" s="246" t="s">
        <v>774</v>
      </c>
      <c r="F430" s="247"/>
      <c r="G430" s="247"/>
      <c r="H430" s="248"/>
    </row>
    <row r="431" spans="2:8">
      <c r="B431" s="3" t="s">
        <v>775</v>
      </c>
      <c r="C431" s="3" t="s">
        <v>776</v>
      </c>
      <c r="D431" s="3" t="s">
        <v>777</v>
      </c>
      <c r="E431" s="246" t="s">
        <v>778</v>
      </c>
      <c r="F431" s="247"/>
      <c r="G431" s="247"/>
      <c r="H431" s="248"/>
    </row>
    <row r="432" spans="2:8">
      <c r="B432" s="3" t="s">
        <v>779</v>
      </c>
      <c r="C432" s="3" t="s">
        <v>780</v>
      </c>
      <c r="D432" s="3" t="s">
        <v>781</v>
      </c>
      <c r="E432" s="246" t="s">
        <v>782</v>
      </c>
      <c r="F432" s="247"/>
      <c r="G432" s="247"/>
      <c r="H432" s="248"/>
    </row>
    <row r="433" spans="2:8">
      <c r="B433" s="3" t="s">
        <v>783</v>
      </c>
      <c r="C433" s="3" t="s">
        <v>784</v>
      </c>
      <c r="D433" s="3" t="s">
        <v>785</v>
      </c>
      <c r="E433" s="246" t="s">
        <v>786</v>
      </c>
      <c r="F433" s="247"/>
      <c r="G433" s="247"/>
      <c r="H433" s="248"/>
    </row>
    <row r="434" spans="2:8">
      <c r="B434" s="3" t="s">
        <v>787</v>
      </c>
      <c r="C434" s="3" t="s">
        <v>788</v>
      </c>
      <c r="D434" s="3" t="s">
        <v>789</v>
      </c>
      <c r="E434" s="246" t="s">
        <v>790</v>
      </c>
      <c r="F434" s="247"/>
      <c r="G434" s="247"/>
      <c r="H434" s="248"/>
    </row>
    <row r="435" spans="2:8">
      <c r="B435" s="3" t="s">
        <v>791</v>
      </c>
      <c r="C435" s="3" t="s">
        <v>792</v>
      </c>
      <c r="D435" s="3" t="s">
        <v>793</v>
      </c>
      <c r="E435" s="246" t="s">
        <v>794</v>
      </c>
      <c r="F435" s="247"/>
      <c r="G435" s="247"/>
      <c r="H435" s="248"/>
    </row>
    <row r="436" spans="2:8">
      <c r="B436" s="3" t="s">
        <v>795</v>
      </c>
      <c r="C436" s="3" t="s">
        <v>796</v>
      </c>
      <c r="D436" s="3" t="s">
        <v>797</v>
      </c>
      <c r="E436" s="246" t="s">
        <v>798</v>
      </c>
      <c r="F436" s="247"/>
      <c r="G436" s="247"/>
      <c r="H436" s="248"/>
    </row>
    <row r="437" spans="2:8">
      <c r="B437" s="3" t="s">
        <v>799</v>
      </c>
      <c r="C437" s="3" t="s">
        <v>800</v>
      </c>
      <c r="D437" s="3" t="s">
        <v>801</v>
      </c>
      <c r="E437" s="246" t="s">
        <v>802</v>
      </c>
      <c r="F437" s="247"/>
      <c r="G437" s="247"/>
      <c r="H437" s="248"/>
    </row>
    <row r="438" spans="2:8">
      <c r="B438" s="3" t="s">
        <v>803</v>
      </c>
      <c r="C438" s="3" t="s">
        <v>804</v>
      </c>
      <c r="D438" s="3" t="s">
        <v>805</v>
      </c>
      <c r="E438" s="246" t="s">
        <v>806</v>
      </c>
      <c r="F438" s="247"/>
      <c r="G438" s="247"/>
      <c r="H438" s="248"/>
    </row>
    <row r="439" spans="2:8">
      <c r="B439" s="3" t="s">
        <v>807</v>
      </c>
      <c r="C439" s="3" t="s">
        <v>808</v>
      </c>
      <c r="D439" s="3" t="s">
        <v>809</v>
      </c>
      <c r="E439" s="246" t="s">
        <v>810</v>
      </c>
      <c r="F439" s="247"/>
      <c r="G439" s="247"/>
      <c r="H439" s="248"/>
    </row>
    <row r="440" spans="2:8">
      <c r="B440" s="3" t="s">
        <v>811</v>
      </c>
      <c r="C440" s="3" t="s">
        <v>812</v>
      </c>
      <c r="D440" s="3" t="s">
        <v>813</v>
      </c>
      <c r="E440" s="246" t="s">
        <v>814</v>
      </c>
      <c r="F440" s="247"/>
      <c r="G440" s="247"/>
      <c r="H440" s="248"/>
    </row>
    <row r="441" spans="2:8">
      <c r="B441" s="3" t="s">
        <v>815</v>
      </c>
      <c r="C441" s="3" t="s">
        <v>816</v>
      </c>
      <c r="D441" s="3" t="s">
        <v>817</v>
      </c>
      <c r="E441" s="246" t="s">
        <v>818</v>
      </c>
      <c r="F441" s="247"/>
      <c r="G441" s="247"/>
      <c r="H441" s="248"/>
    </row>
    <row r="442" spans="2:8">
      <c r="B442" s="3" t="s">
        <v>819</v>
      </c>
      <c r="C442" s="3" t="s">
        <v>820</v>
      </c>
      <c r="D442" s="3" t="s">
        <v>821</v>
      </c>
      <c r="E442" s="246" t="s">
        <v>822</v>
      </c>
      <c r="F442" s="247"/>
      <c r="G442" s="247"/>
      <c r="H442" s="248"/>
    </row>
    <row r="443" spans="2:8">
      <c r="B443" s="3" t="s">
        <v>823</v>
      </c>
      <c r="C443" s="3" t="s">
        <v>824</v>
      </c>
      <c r="D443" s="3" t="s">
        <v>825</v>
      </c>
      <c r="E443" s="246" t="s">
        <v>826</v>
      </c>
      <c r="F443" s="247"/>
      <c r="G443" s="247"/>
      <c r="H443" s="248"/>
    </row>
    <row r="444" spans="2:8">
      <c r="B444" s="3" t="s">
        <v>827</v>
      </c>
      <c r="C444" s="3" t="s">
        <v>828</v>
      </c>
      <c r="D444" s="3" t="s">
        <v>829</v>
      </c>
      <c r="E444" s="246" t="s">
        <v>830</v>
      </c>
      <c r="F444" s="247"/>
      <c r="G444" s="247"/>
      <c r="H444" s="248"/>
    </row>
    <row r="445" spans="2:8">
      <c r="B445" s="3" t="s">
        <v>831</v>
      </c>
      <c r="C445" s="3" t="s">
        <v>832</v>
      </c>
      <c r="D445" s="3" t="s">
        <v>833</v>
      </c>
      <c r="E445" s="246" t="s">
        <v>834</v>
      </c>
      <c r="F445" s="247"/>
      <c r="G445" s="247"/>
      <c r="H445" s="248"/>
    </row>
    <row r="446" spans="2:8">
      <c r="B446" s="3" t="s">
        <v>835</v>
      </c>
      <c r="C446" s="3" t="s">
        <v>836</v>
      </c>
      <c r="D446" s="3" t="s">
        <v>837</v>
      </c>
      <c r="E446" s="246" t="s">
        <v>838</v>
      </c>
      <c r="F446" s="247"/>
      <c r="G446" s="247"/>
      <c r="H446" s="248"/>
    </row>
    <row r="447" spans="2:8">
      <c r="B447" s="3" t="s">
        <v>839</v>
      </c>
      <c r="C447" s="3" t="s">
        <v>840</v>
      </c>
      <c r="D447" s="3" t="s">
        <v>841</v>
      </c>
      <c r="E447" s="246" t="s">
        <v>842</v>
      </c>
      <c r="F447" s="247"/>
      <c r="G447" s="247"/>
      <c r="H447" s="248"/>
    </row>
    <row r="448" spans="2:8">
      <c r="B448" s="3" t="s">
        <v>843</v>
      </c>
      <c r="C448" s="3" t="s">
        <v>844</v>
      </c>
      <c r="D448" s="3" t="s">
        <v>845</v>
      </c>
      <c r="E448" s="246" t="s">
        <v>846</v>
      </c>
      <c r="F448" s="247"/>
      <c r="G448" s="247"/>
      <c r="H448" s="248"/>
    </row>
    <row r="449" spans="2:8">
      <c r="B449" s="3" t="s">
        <v>847</v>
      </c>
      <c r="C449" s="3" t="s">
        <v>848</v>
      </c>
      <c r="D449" s="3" t="s">
        <v>849</v>
      </c>
      <c r="E449" s="246" t="s">
        <v>850</v>
      </c>
      <c r="F449" s="247"/>
      <c r="G449" s="247"/>
      <c r="H449" s="248"/>
    </row>
    <row r="450" spans="2:8">
      <c r="B450" s="3" t="s">
        <v>851</v>
      </c>
      <c r="C450" s="3" t="s">
        <v>852</v>
      </c>
      <c r="D450" s="3" t="s">
        <v>853</v>
      </c>
      <c r="E450" s="246" t="s">
        <v>854</v>
      </c>
      <c r="F450" s="247"/>
      <c r="G450" s="247"/>
      <c r="H450" s="248"/>
    </row>
    <row r="451" spans="2:8">
      <c r="B451" s="3" t="s">
        <v>855</v>
      </c>
      <c r="C451" s="3" t="s">
        <v>856</v>
      </c>
      <c r="D451" s="3" t="s">
        <v>857</v>
      </c>
      <c r="E451" s="246" t="s">
        <v>858</v>
      </c>
      <c r="F451" s="247"/>
      <c r="G451" s="247"/>
      <c r="H451" s="248"/>
    </row>
    <row r="452" spans="2:8">
      <c r="B452" s="3" t="s">
        <v>859</v>
      </c>
      <c r="C452" s="3" t="s">
        <v>860</v>
      </c>
      <c r="D452" s="3" t="s">
        <v>861</v>
      </c>
      <c r="E452" s="246" t="s">
        <v>862</v>
      </c>
      <c r="F452" s="247"/>
      <c r="G452" s="247"/>
      <c r="H452" s="248"/>
    </row>
    <row r="453" spans="2:8">
      <c r="B453" s="3" t="s">
        <v>863</v>
      </c>
      <c r="C453" s="3" t="s">
        <v>864</v>
      </c>
      <c r="D453" s="3" t="s">
        <v>865</v>
      </c>
      <c r="E453" s="246" t="s">
        <v>866</v>
      </c>
      <c r="F453" s="247"/>
      <c r="G453" s="247"/>
      <c r="H453" s="248"/>
    </row>
    <row r="454" spans="2:8">
      <c r="B454" s="3" t="s">
        <v>867</v>
      </c>
      <c r="C454" s="3" t="s">
        <v>868</v>
      </c>
      <c r="D454" s="3" t="s">
        <v>869</v>
      </c>
      <c r="E454" s="246" t="s">
        <v>870</v>
      </c>
      <c r="F454" s="247"/>
      <c r="G454" s="247"/>
      <c r="H454" s="248"/>
    </row>
    <row r="455" spans="2:8">
      <c r="B455" s="3" t="s">
        <v>871</v>
      </c>
      <c r="C455" s="3" t="s">
        <v>872</v>
      </c>
      <c r="D455" s="3" t="s">
        <v>873</v>
      </c>
      <c r="E455" s="246" t="s">
        <v>874</v>
      </c>
      <c r="F455" s="247"/>
      <c r="G455" s="247"/>
      <c r="H455" s="248"/>
    </row>
    <row r="456" spans="2:8">
      <c r="B456" s="3" t="s">
        <v>875</v>
      </c>
      <c r="C456" s="3" t="s">
        <v>876</v>
      </c>
      <c r="D456" s="3" t="s">
        <v>877</v>
      </c>
      <c r="E456" s="246" t="s">
        <v>878</v>
      </c>
      <c r="F456" s="247"/>
      <c r="G456" s="247"/>
      <c r="H456" s="248"/>
    </row>
    <row r="457" spans="2:8">
      <c r="B457" s="3" t="s">
        <v>879</v>
      </c>
      <c r="C457" s="3" t="s">
        <v>880</v>
      </c>
      <c r="D457" s="3" t="s">
        <v>881</v>
      </c>
      <c r="E457" s="246" t="s">
        <v>882</v>
      </c>
      <c r="F457" s="247"/>
      <c r="G457" s="247"/>
      <c r="H457" s="248"/>
    </row>
    <row r="458" spans="2:8">
      <c r="B458" s="3" t="s">
        <v>883</v>
      </c>
      <c r="C458" s="3" t="s">
        <v>884</v>
      </c>
      <c r="D458" s="3" t="s">
        <v>885</v>
      </c>
      <c r="E458" s="246" t="s">
        <v>886</v>
      </c>
      <c r="F458" s="247"/>
      <c r="G458" s="247"/>
      <c r="H458" s="248"/>
    </row>
    <row r="459" spans="2:8">
      <c r="B459" s="3" t="s">
        <v>887</v>
      </c>
      <c r="C459" s="3" t="s">
        <v>888</v>
      </c>
      <c r="D459" s="3" t="s">
        <v>889</v>
      </c>
      <c r="E459" s="246" t="s">
        <v>890</v>
      </c>
      <c r="F459" s="247"/>
      <c r="G459" s="247"/>
      <c r="H459" s="248"/>
    </row>
    <row r="460" spans="2:8">
      <c r="B460" s="3" t="s">
        <v>891</v>
      </c>
      <c r="C460" s="3" t="s">
        <v>892</v>
      </c>
      <c r="D460" s="3" t="s">
        <v>893</v>
      </c>
      <c r="E460" s="246" t="s">
        <v>894</v>
      </c>
      <c r="F460" s="247"/>
      <c r="G460" s="247"/>
      <c r="H460" s="248"/>
    </row>
    <row r="461" spans="2:8">
      <c r="B461" s="3" t="s">
        <v>895</v>
      </c>
      <c r="C461" s="3" t="s">
        <v>896</v>
      </c>
      <c r="D461" s="3" t="s">
        <v>897</v>
      </c>
      <c r="E461" s="246" t="s">
        <v>898</v>
      </c>
      <c r="F461" s="247"/>
      <c r="G461" s="247"/>
      <c r="H461" s="248"/>
    </row>
    <row r="462" spans="2:8">
      <c r="B462" s="3" t="s">
        <v>899</v>
      </c>
      <c r="C462" s="3" t="s">
        <v>900</v>
      </c>
      <c r="D462" s="3" t="s">
        <v>901</v>
      </c>
      <c r="E462" s="246" t="s">
        <v>902</v>
      </c>
      <c r="F462" s="247"/>
      <c r="G462" s="247"/>
      <c r="H462" s="248"/>
    </row>
    <row r="463" spans="2:8">
      <c r="B463" s="3" t="s">
        <v>903</v>
      </c>
      <c r="C463" s="3" t="s">
        <v>904</v>
      </c>
      <c r="D463" s="3" t="s">
        <v>905</v>
      </c>
      <c r="E463" s="246" t="s">
        <v>906</v>
      </c>
      <c r="F463" s="247"/>
      <c r="G463" s="247"/>
      <c r="H463" s="248"/>
    </row>
    <row r="464" spans="2:8">
      <c r="B464" s="3" t="s">
        <v>907</v>
      </c>
      <c r="C464" s="3" t="s">
        <v>908</v>
      </c>
      <c r="D464" s="3" t="s">
        <v>909</v>
      </c>
      <c r="E464" s="246" t="s">
        <v>910</v>
      </c>
      <c r="F464" s="247"/>
      <c r="G464" s="247"/>
      <c r="H464" s="248"/>
    </row>
    <row r="465" spans="2:8">
      <c r="B465" s="3" t="s">
        <v>911</v>
      </c>
      <c r="C465" s="3" t="s">
        <v>912</v>
      </c>
      <c r="D465" s="3" t="s">
        <v>913</v>
      </c>
      <c r="E465" s="246" t="s">
        <v>914</v>
      </c>
      <c r="F465" s="247"/>
      <c r="G465" s="247"/>
      <c r="H465" s="248"/>
    </row>
    <row r="466" spans="2:8">
      <c r="B466" s="3" t="s">
        <v>915</v>
      </c>
      <c r="C466" s="3" t="s">
        <v>916</v>
      </c>
      <c r="D466" s="3" t="s">
        <v>917</v>
      </c>
      <c r="E466" s="246" t="s">
        <v>918</v>
      </c>
      <c r="F466" s="247"/>
      <c r="G466" s="247"/>
      <c r="H466" s="248"/>
    </row>
    <row r="467" spans="2:8">
      <c r="B467" s="3" t="s">
        <v>919</v>
      </c>
      <c r="C467" s="3" t="s">
        <v>920</v>
      </c>
      <c r="D467" s="3" t="s">
        <v>921</v>
      </c>
      <c r="E467" s="246" t="s">
        <v>922</v>
      </c>
      <c r="F467" s="247"/>
      <c r="G467" s="247"/>
      <c r="H467" s="248"/>
    </row>
    <row r="468" spans="2:8">
      <c r="B468" s="3" t="s">
        <v>923</v>
      </c>
      <c r="C468" s="3" t="s">
        <v>924</v>
      </c>
      <c r="D468" s="3" t="s">
        <v>925</v>
      </c>
      <c r="E468" s="246" t="s">
        <v>926</v>
      </c>
      <c r="F468" s="247"/>
      <c r="G468" s="247"/>
      <c r="H468" s="248"/>
    </row>
    <row r="469" spans="2:8">
      <c r="B469" s="3" t="s">
        <v>927</v>
      </c>
      <c r="C469" s="3" t="s">
        <v>928</v>
      </c>
      <c r="D469" s="3" t="s">
        <v>929</v>
      </c>
      <c r="E469" s="246" t="s">
        <v>930</v>
      </c>
      <c r="F469" s="247"/>
      <c r="G469" s="247"/>
      <c r="H469" s="248"/>
    </row>
    <row r="470" spans="2:8">
      <c r="B470" s="3" t="s">
        <v>931</v>
      </c>
      <c r="C470" s="3" t="s">
        <v>932</v>
      </c>
      <c r="D470" s="3" t="s">
        <v>933</v>
      </c>
      <c r="E470" s="246" t="s">
        <v>934</v>
      </c>
      <c r="F470" s="247"/>
      <c r="G470" s="247"/>
      <c r="H470" s="248"/>
    </row>
    <row r="471" spans="2:8">
      <c r="B471" s="3" t="s">
        <v>935</v>
      </c>
      <c r="C471" s="3" t="s">
        <v>936</v>
      </c>
      <c r="D471" s="3" t="s">
        <v>937</v>
      </c>
      <c r="E471" s="246" t="s">
        <v>938</v>
      </c>
      <c r="F471" s="247"/>
      <c r="G471" s="247"/>
      <c r="H471" s="248"/>
    </row>
    <row r="472" spans="2:8">
      <c r="B472" s="3" t="s">
        <v>939</v>
      </c>
      <c r="C472" s="3" t="s">
        <v>940</v>
      </c>
      <c r="D472" s="3" t="s">
        <v>941</v>
      </c>
      <c r="E472" s="246" t="s">
        <v>942</v>
      </c>
      <c r="F472" s="247"/>
      <c r="G472" s="247"/>
      <c r="H472" s="248"/>
    </row>
    <row r="473" spans="2:8">
      <c r="B473" s="3" t="s">
        <v>943</v>
      </c>
      <c r="C473" s="3" t="s">
        <v>944</v>
      </c>
      <c r="D473" s="3" t="s">
        <v>945</v>
      </c>
      <c r="E473" s="246" t="s">
        <v>946</v>
      </c>
      <c r="F473" s="247"/>
      <c r="G473" s="247"/>
      <c r="H473" s="248"/>
    </row>
    <row r="474" spans="2:8">
      <c r="B474" s="3" t="s">
        <v>947</v>
      </c>
      <c r="C474" s="3" t="s">
        <v>948</v>
      </c>
      <c r="D474" s="3" t="s">
        <v>949</v>
      </c>
      <c r="E474" s="246" t="s">
        <v>950</v>
      </c>
      <c r="F474" s="247"/>
      <c r="G474" s="247"/>
      <c r="H474" s="248"/>
    </row>
    <row r="475" spans="2:8">
      <c r="B475" s="3" t="s">
        <v>951</v>
      </c>
      <c r="C475" s="3" t="s">
        <v>952</v>
      </c>
      <c r="D475" s="3" t="s">
        <v>953</v>
      </c>
      <c r="E475" s="246" t="s">
        <v>954</v>
      </c>
      <c r="F475" s="247"/>
      <c r="G475" s="247"/>
      <c r="H475" s="248"/>
    </row>
    <row r="476" spans="2:8">
      <c r="B476" s="3" t="s">
        <v>955</v>
      </c>
      <c r="C476" s="3" t="s">
        <v>956</v>
      </c>
      <c r="D476" s="3" t="s">
        <v>957</v>
      </c>
      <c r="E476" s="246" t="s">
        <v>958</v>
      </c>
      <c r="F476" s="247"/>
      <c r="G476" s="247"/>
      <c r="H476" s="248"/>
    </row>
    <row r="477" spans="2:8">
      <c r="B477" s="3" t="s">
        <v>959</v>
      </c>
      <c r="C477" s="3" t="s">
        <v>960</v>
      </c>
      <c r="D477" s="3" t="s">
        <v>961</v>
      </c>
      <c r="E477" s="246" t="s">
        <v>962</v>
      </c>
      <c r="F477" s="247"/>
      <c r="G477" s="247"/>
      <c r="H477" s="248"/>
    </row>
    <row r="478" spans="2:8">
      <c r="B478" s="3" t="s">
        <v>963</v>
      </c>
      <c r="C478" s="3" t="s">
        <v>964</v>
      </c>
      <c r="D478" s="3" t="s">
        <v>965</v>
      </c>
      <c r="E478" s="246" t="s">
        <v>966</v>
      </c>
      <c r="F478" s="247"/>
      <c r="G478" s="247"/>
      <c r="H478" s="248"/>
    </row>
    <row r="479" spans="2:8">
      <c r="B479" s="3" t="s">
        <v>967</v>
      </c>
      <c r="C479" s="3" t="s">
        <v>968</v>
      </c>
      <c r="D479" s="3" t="s">
        <v>969</v>
      </c>
      <c r="E479" s="246" t="s">
        <v>970</v>
      </c>
      <c r="F479" s="247"/>
      <c r="G479" s="247"/>
      <c r="H479" s="248"/>
    </row>
    <row r="480" spans="2:8">
      <c r="B480" s="3" t="s">
        <v>971</v>
      </c>
      <c r="C480" s="3" t="s">
        <v>972</v>
      </c>
      <c r="D480" s="3" t="s">
        <v>973</v>
      </c>
      <c r="E480" s="246" t="s">
        <v>974</v>
      </c>
      <c r="F480" s="247"/>
      <c r="G480" s="247"/>
      <c r="H480" s="248"/>
    </row>
    <row r="481" spans="2:8">
      <c r="B481" s="3" t="s">
        <v>975</v>
      </c>
      <c r="C481" s="3" t="s">
        <v>976</v>
      </c>
      <c r="D481" s="3" t="s">
        <v>977</v>
      </c>
      <c r="E481" s="246" t="s">
        <v>978</v>
      </c>
      <c r="F481" s="247"/>
      <c r="G481" s="247"/>
      <c r="H481" s="248"/>
    </row>
    <row r="482" spans="2:8">
      <c r="B482" s="3" t="s">
        <v>979</v>
      </c>
      <c r="C482" s="3" t="s">
        <v>980</v>
      </c>
      <c r="D482" s="3" t="s">
        <v>981</v>
      </c>
      <c r="E482" s="246" t="s">
        <v>982</v>
      </c>
      <c r="F482" s="247"/>
      <c r="G482" s="247"/>
      <c r="H482" s="248"/>
    </row>
    <row r="483" spans="2:8">
      <c r="B483" s="3" t="s">
        <v>983</v>
      </c>
      <c r="C483" s="3" t="s">
        <v>984</v>
      </c>
      <c r="D483" s="3" t="s">
        <v>985</v>
      </c>
      <c r="E483" s="246" t="s">
        <v>986</v>
      </c>
      <c r="F483" s="247"/>
      <c r="G483" s="247"/>
      <c r="H483" s="248"/>
    </row>
    <row r="484" spans="2:8">
      <c r="B484" s="3" t="s">
        <v>987</v>
      </c>
      <c r="C484" s="3" t="s">
        <v>988</v>
      </c>
      <c r="D484" s="3" t="s">
        <v>989</v>
      </c>
      <c r="E484" s="246" t="s">
        <v>990</v>
      </c>
      <c r="F484" s="247"/>
      <c r="G484" s="247"/>
      <c r="H484" s="248"/>
    </row>
    <row r="485" spans="2:8">
      <c r="B485" s="3" t="s">
        <v>991</v>
      </c>
      <c r="C485" s="3" t="s">
        <v>992</v>
      </c>
      <c r="D485" s="3" t="s">
        <v>993</v>
      </c>
      <c r="E485" s="246" t="s">
        <v>994</v>
      </c>
      <c r="F485" s="247"/>
      <c r="G485" s="247"/>
      <c r="H485" s="248"/>
    </row>
    <row r="486" spans="2:8">
      <c r="B486" s="3" t="s">
        <v>995</v>
      </c>
      <c r="C486" s="3" t="s">
        <v>996</v>
      </c>
      <c r="D486" s="3" t="s">
        <v>997</v>
      </c>
      <c r="E486" s="246" t="s">
        <v>998</v>
      </c>
      <c r="F486" s="247"/>
      <c r="G486" s="247"/>
      <c r="H486" s="248"/>
    </row>
    <row r="487" spans="2:8">
      <c r="B487" s="3" t="s">
        <v>999</v>
      </c>
      <c r="C487" s="3" t="s">
        <v>1000</v>
      </c>
      <c r="D487" s="3" t="s">
        <v>1001</v>
      </c>
      <c r="E487" s="246" t="s">
        <v>1002</v>
      </c>
      <c r="F487" s="247"/>
      <c r="G487" s="247"/>
      <c r="H487" s="248"/>
    </row>
    <row r="488" spans="2:8">
      <c r="B488" s="3" t="s">
        <v>1003</v>
      </c>
      <c r="C488" s="3" t="s">
        <v>1004</v>
      </c>
      <c r="D488" s="3" t="s">
        <v>1005</v>
      </c>
      <c r="E488" s="246" t="s">
        <v>1006</v>
      </c>
      <c r="F488" s="247"/>
      <c r="G488" s="247"/>
      <c r="H488" s="248"/>
    </row>
    <row r="489" spans="2:8">
      <c r="B489" s="3" t="s">
        <v>1007</v>
      </c>
      <c r="C489" s="3" t="s">
        <v>1008</v>
      </c>
      <c r="D489" s="3" t="s">
        <v>1009</v>
      </c>
      <c r="E489" s="246" t="s">
        <v>1010</v>
      </c>
      <c r="F489" s="247"/>
      <c r="G489" s="247"/>
      <c r="H489" s="248"/>
    </row>
    <row r="490" spans="2:8">
      <c r="B490" s="3" t="s">
        <v>1011</v>
      </c>
      <c r="C490" s="3" t="s">
        <v>1012</v>
      </c>
      <c r="D490" s="3" t="s">
        <v>1013</v>
      </c>
      <c r="E490" s="246" t="s">
        <v>1014</v>
      </c>
      <c r="F490" s="247"/>
      <c r="G490" s="247"/>
      <c r="H490" s="248"/>
    </row>
    <row r="491" spans="2:8">
      <c r="B491" s="3" t="s">
        <v>1015</v>
      </c>
      <c r="C491" s="3" t="s">
        <v>1016</v>
      </c>
      <c r="D491" s="3" t="s">
        <v>1017</v>
      </c>
      <c r="E491" s="246" t="s">
        <v>1018</v>
      </c>
      <c r="F491" s="247"/>
      <c r="G491" s="247"/>
      <c r="H491" s="248"/>
    </row>
    <row r="492" spans="2:8">
      <c r="B492" s="3" t="s">
        <v>1019</v>
      </c>
      <c r="C492" s="3" t="s">
        <v>1020</v>
      </c>
      <c r="D492" s="3" t="s">
        <v>1021</v>
      </c>
      <c r="E492" s="246" t="s">
        <v>1022</v>
      </c>
      <c r="F492" s="247"/>
      <c r="G492" s="247"/>
      <c r="H492" s="248"/>
    </row>
    <row r="493" spans="2:8">
      <c r="B493" s="3" t="s">
        <v>1023</v>
      </c>
      <c r="C493" s="3" t="s">
        <v>1024</v>
      </c>
      <c r="D493" s="3" t="s">
        <v>1025</v>
      </c>
      <c r="E493" s="246" t="s">
        <v>1026</v>
      </c>
      <c r="F493" s="247"/>
      <c r="G493" s="247"/>
      <c r="H493" s="248"/>
    </row>
    <row r="494" spans="2:8">
      <c r="B494" s="3" t="s">
        <v>1027</v>
      </c>
      <c r="C494" s="3" t="s">
        <v>1028</v>
      </c>
      <c r="D494" s="3" t="s">
        <v>1029</v>
      </c>
      <c r="E494" s="246" t="s">
        <v>1030</v>
      </c>
      <c r="F494" s="247"/>
      <c r="G494" s="247"/>
      <c r="H494" s="248"/>
    </row>
    <row r="495" spans="2:8">
      <c r="B495" s="3" t="s">
        <v>1031</v>
      </c>
      <c r="C495" s="3" t="s">
        <v>1032</v>
      </c>
      <c r="D495" s="3" t="s">
        <v>1033</v>
      </c>
      <c r="E495" s="246" t="s">
        <v>1034</v>
      </c>
      <c r="F495" s="247"/>
      <c r="G495" s="247"/>
      <c r="H495" s="248"/>
    </row>
    <row r="496" spans="2:8">
      <c r="B496" s="3" t="s">
        <v>1035</v>
      </c>
      <c r="C496" s="3" t="s">
        <v>1036</v>
      </c>
      <c r="D496" s="3" t="s">
        <v>1037</v>
      </c>
      <c r="E496" s="246" t="s">
        <v>1038</v>
      </c>
      <c r="F496" s="247"/>
      <c r="G496" s="247"/>
      <c r="H496" s="248"/>
    </row>
    <row r="499" spans="2:5">
      <c r="B499" t="s">
        <v>1039</v>
      </c>
    </row>
    <row r="500" spans="2:5">
      <c r="B500" s="180" t="s">
        <v>1</v>
      </c>
      <c r="C500" s="214" t="s">
        <v>2</v>
      </c>
      <c r="D500" s="215"/>
    </row>
    <row r="501" spans="2:5">
      <c r="B501" s="9" t="s">
        <v>1040</v>
      </c>
      <c r="C501" s="255" t="s">
        <v>1041</v>
      </c>
      <c r="D501" s="255"/>
    </row>
    <row r="502" spans="2:5">
      <c r="B502" s="9" t="s">
        <v>1042</v>
      </c>
      <c r="C502" s="256" t="s">
        <v>1043</v>
      </c>
      <c r="D502" s="256"/>
    </row>
    <row r="503" spans="2:5">
      <c r="B503" s="181" t="s">
        <v>1044</v>
      </c>
      <c r="C503" s="258" t="s">
        <v>1045</v>
      </c>
      <c r="D503" s="258"/>
    </row>
    <row r="504" spans="2:5">
      <c r="B504" s="202" t="s">
        <v>1046</v>
      </c>
      <c r="C504" s="257" t="s">
        <v>1047</v>
      </c>
      <c r="D504" s="257"/>
    </row>
    <row r="507" spans="2:5">
      <c r="B507" t="s">
        <v>1048</v>
      </c>
    </row>
    <row r="508" spans="2:5">
      <c r="B508" s="180" t="s">
        <v>1</v>
      </c>
      <c r="C508" s="214" t="s">
        <v>40</v>
      </c>
      <c r="D508" s="254"/>
      <c r="E508" s="215"/>
    </row>
    <row r="509" spans="2:5">
      <c r="B509" s="194" t="s">
        <v>65</v>
      </c>
      <c r="C509" s="231" t="s">
        <v>1049</v>
      </c>
      <c r="D509" s="231"/>
      <c r="E509" s="231"/>
    </row>
    <row r="510" spans="2:5">
      <c r="B510" s="194" t="s">
        <v>67</v>
      </c>
      <c r="C510" s="231" t="s">
        <v>1050</v>
      </c>
      <c r="D510" s="231"/>
      <c r="E510" s="231"/>
    </row>
  </sheetData>
  <mergeCells count="576">
    <mergeCell ref="C509:E509"/>
    <mergeCell ref="C510:E510"/>
    <mergeCell ref="C508:E508"/>
    <mergeCell ref="E491:H491"/>
    <mergeCell ref="E492:H492"/>
    <mergeCell ref="E493:H493"/>
    <mergeCell ref="E494:H494"/>
    <mergeCell ref="E495:H495"/>
    <mergeCell ref="E496:H496"/>
    <mergeCell ref="C501:D501"/>
    <mergeCell ref="C502:D502"/>
    <mergeCell ref="C504:D504"/>
    <mergeCell ref="C500:D500"/>
    <mergeCell ref="C503:D503"/>
    <mergeCell ref="E240:H240"/>
    <mergeCell ref="E482:H482"/>
    <mergeCell ref="E483:H483"/>
    <mergeCell ref="E484:H484"/>
    <mergeCell ref="E485:H485"/>
    <mergeCell ref="E486:H486"/>
    <mergeCell ref="E487:H487"/>
    <mergeCell ref="E488:H488"/>
    <mergeCell ref="E489:H489"/>
    <mergeCell ref="E464:H464"/>
    <mergeCell ref="E465:H465"/>
    <mergeCell ref="E466:H466"/>
    <mergeCell ref="E467:H467"/>
    <mergeCell ref="E468:H468"/>
    <mergeCell ref="E469:H469"/>
    <mergeCell ref="E470:H470"/>
    <mergeCell ref="E471:H471"/>
    <mergeCell ref="E472:H472"/>
    <mergeCell ref="E455:H455"/>
    <mergeCell ref="E456:H456"/>
    <mergeCell ref="E457:H457"/>
    <mergeCell ref="E458:H458"/>
    <mergeCell ref="E459:H459"/>
    <mergeCell ref="E460:H460"/>
    <mergeCell ref="E490:H490"/>
    <mergeCell ref="E473:H473"/>
    <mergeCell ref="E474:H474"/>
    <mergeCell ref="E475:H475"/>
    <mergeCell ref="E476:H476"/>
    <mergeCell ref="E477:H477"/>
    <mergeCell ref="E478:H478"/>
    <mergeCell ref="E479:H479"/>
    <mergeCell ref="E480:H480"/>
    <mergeCell ref="E481:H481"/>
    <mergeCell ref="E461:H461"/>
    <mergeCell ref="E462:H462"/>
    <mergeCell ref="E463:H463"/>
    <mergeCell ref="E446:H446"/>
    <mergeCell ref="E447:H447"/>
    <mergeCell ref="E448:H448"/>
    <mergeCell ref="E449:H449"/>
    <mergeCell ref="E450:H450"/>
    <mergeCell ref="E451:H451"/>
    <mergeCell ref="E452:H452"/>
    <mergeCell ref="E453:H453"/>
    <mergeCell ref="E454:H454"/>
    <mergeCell ref="E437:H437"/>
    <mergeCell ref="E438:H438"/>
    <mergeCell ref="E439:H439"/>
    <mergeCell ref="E440:H440"/>
    <mergeCell ref="E441:H441"/>
    <mergeCell ref="E442:H442"/>
    <mergeCell ref="E443:H443"/>
    <mergeCell ref="E444:H444"/>
    <mergeCell ref="E445:H445"/>
    <mergeCell ref="E428:H428"/>
    <mergeCell ref="E429:H429"/>
    <mergeCell ref="E430:H430"/>
    <mergeCell ref="E431:H431"/>
    <mergeCell ref="E432:H432"/>
    <mergeCell ref="E433:H433"/>
    <mergeCell ref="E434:H434"/>
    <mergeCell ref="E435:H435"/>
    <mergeCell ref="E436:H436"/>
    <mergeCell ref="E419:H419"/>
    <mergeCell ref="E420:H420"/>
    <mergeCell ref="E421:H421"/>
    <mergeCell ref="E422:H422"/>
    <mergeCell ref="E423:H423"/>
    <mergeCell ref="E424:H424"/>
    <mergeCell ref="E425:H425"/>
    <mergeCell ref="E426:H426"/>
    <mergeCell ref="E427:H427"/>
    <mergeCell ref="E410:H410"/>
    <mergeCell ref="E411:H411"/>
    <mergeCell ref="E412:H412"/>
    <mergeCell ref="E413:H413"/>
    <mergeCell ref="E414:H414"/>
    <mergeCell ref="E415:H415"/>
    <mergeCell ref="E416:H416"/>
    <mergeCell ref="E417:H417"/>
    <mergeCell ref="E418:H418"/>
    <mergeCell ref="E401:H401"/>
    <mergeCell ref="E402:H402"/>
    <mergeCell ref="E403:H403"/>
    <mergeCell ref="E404:H404"/>
    <mergeCell ref="E405:H405"/>
    <mergeCell ref="E406:H406"/>
    <mergeCell ref="E407:H407"/>
    <mergeCell ref="E408:H408"/>
    <mergeCell ref="E409:H409"/>
    <mergeCell ref="E392:H392"/>
    <mergeCell ref="E393:H393"/>
    <mergeCell ref="E394:H394"/>
    <mergeCell ref="E395:H395"/>
    <mergeCell ref="E396:H396"/>
    <mergeCell ref="E397:H397"/>
    <mergeCell ref="E398:H398"/>
    <mergeCell ref="E399:H399"/>
    <mergeCell ref="E400:H400"/>
    <mergeCell ref="E383:H383"/>
    <mergeCell ref="E384:H384"/>
    <mergeCell ref="E385:H385"/>
    <mergeCell ref="E386:H386"/>
    <mergeCell ref="E387:H387"/>
    <mergeCell ref="E388:H388"/>
    <mergeCell ref="E389:H389"/>
    <mergeCell ref="E390:H390"/>
    <mergeCell ref="E391:H391"/>
    <mergeCell ref="E374:H374"/>
    <mergeCell ref="E375:H375"/>
    <mergeCell ref="E376:H376"/>
    <mergeCell ref="E377:H377"/>
    <mergeCell ref="E378:H378"/>
    <mergeCell ref="E379:H379"/>
    <mergeCell ref="E380:H380"/>
    <mergeCell ref="E381:H381"/>
    <mergeCell ref="E382:H382"/>
    <mergeCell ref="E365:H365"/>
    <mergeCell ref="E366:H366"/>
    <mergeCell ref="E367:H367"/>
    <mergeCell ref="E368:H368"/>
    <mergeCell ref="E369:H369"/>
    <mergeCell ref="E370:H370"/>
    <mergeCell ref="E371:H371"/>
    <mergeCell ref="E372:H372"/>
    <mergeCell ref="E373:H373"/>
    <mergeCell ref="E356:H356"/>
    <mergeCell ref="E357:H357"/>
    <mergeCell ref="E358:H358"/>
    <mergeCell ref="E359:H359"/>
    <mergeCell ref="E360:H360"/>
    <mergeCell ref="E361:H361"/>
    <mergeCell ref="E362:H362"/>
    <mergeCell ref="E363:H363"/>
    <mergeCell ref="E364:H364"/>
    <mergeCell ref="E347:H347"/>
    <mergeCell ref="E348:H348"/>
    <mergeCell ref="E349:H349"/>
    <mergeCell ref="E350:H350"/>
    <mergeCell ref="E351:H351"/>
    <mergeCell ref="E352:H352"/>
    <mergeCell ref="E353:H353"/>
    <mergeCell ref="E354:H354"/>
    <mergeCell ref="E355:H355"/>
    <mergeCell ref="E338:H338"/>
    <mergeCell ref="E339:H339"/>
    <mergeCell ref="E340:H340"/>
    <mergeCell ref="E341:H341"/>
    <mergeCell ref="E342:H342"/>
    <mergeCell ref="E343:H343"/>
    <mergeCell ref="E344:H344"/>
    <mergeCell ref="E345:H345"/>
    <mergeCell ref="E346:H346"/>
    <mergeCell ref="E329:H329"/>
    <mergeCell ref="E330:H330"/>
    <mergeCell ref="E331:H331"/>
    <mergeCell ref="E332:H332"/>
    <mergeCell ref="E333:H333"/>
    <mergeCell ref="E334:H334"/>
    <mergeCell ref="E335:H335"/>
    <mergeCell ref="E336:H336"/>
    <mergeCell ref="E337:H337"/>
    <mergeCell ref="E320:H320"/>
    <mergeCell ref="E321:H321"/>
    <mergeCell ref="E322:H322"/>
    <mergeCell ref="E323:H323"/>
    <mergeCell ref="E324:H324"/>
    <mergeCell ref="E325:H325"/>
    <mergeCell ref="E326:H326"/>
    <mergeCell ref="E327:H327"/>
    <mergeCell ref="E328:H328"/>
    <mergeCell ref="E311:H311"/>
    <mergeCell ref="E312:H312"/>
    <mergeCell ref="E313:H313"/>
    <mergeCell ref="E314:H314"/>
    <mergeCell ref="E315:H315"/>
    <mergeCell ref="E316:H316"/>
    <mergeCell ref="E317:H317"/>
    <mergeCell ref="E318:H318"/>
    <mergeCell ref="E319:H319"/>
    <mergeCell ref="E302:H302"/>
    <mergeCell ref="E303:H303"/>
    <mergeCell ref="E304:H304"/>
    <mergeCell ref="E305:H305"/>
    <mergeCell ref="E306:H306"/>
    <mergeCell ref="E307:H307"/>
    <mergeCell ref="E308:H308"/>
    <mergeCell ref="E309:H309"/>
    <mergeCell ref="E310:H310"/>
    <mergeCell ref="E293:H293"/>
    <mergeCell ref="E294:H294"/>
    <mergeCell ref="E295:H295"/>
    <mergeCell ref="E296:H296"/>
    <mergeCell ref="E297:H297"/>
    <mergeCell ref="E298:H298"/>
    <mergeCell ref="E299:H299"/>
    <mergeCell ref="E300:H300"/>
    <mergeCell ref="E301:H301"/>
    <mergeCell ref="E284:H284"/>
    <mergeCell ref="E285:H285"/>
    <mergeCell ref="E286:H286"/>
    <mergeCell ref="E287:H287"/>
    <mergeCell ref="E288:H288"/>
    <mergeCell ref="E289:H289"/>
    <mergeCell ref="E290:H290"/>
    <mergeCell ref="E291:H291"/>
    <mergeCell ref="E292:H292"/>
    <mergeCell ref="E275:H275"/>
    <mergeCell ref="E276:H276"/>
    <mergeCell ref="E277:H277"/>
    <mergeCell ref="E278:H278"/>
    <mergeCell ref="E279:H279"/>
    <mergeCell ref="E280:H280"/>
    <mergeCell ref="E281:H281"/>
    <mergeCell ref="E282:H282"/>
    <mergeCell ref="E283:H283"/>
    <mergeCell ref="E266:H266"/>
    <mergeCell ref="E267:H267"/>
    <mergeCell ref="E268:H268"/>
    <mergeCell ref="E269:H269"/>
    <mergeCell ref="E270:H270"/>
    <mergeCell ref="E271:H271"/>
    <mergeCell ref="E272:H272"/>
    <mergeCell ref="E273:H273"/>
    <mergeCell ref="E274:H274"/>
    <mergeCell ref="E257:H257"/>
    <mergeCell ref="E258:H258"/>
    <mergeCell ref="E259:H259"/>
    <mergeCell ref="E260:H260"/>
    <mergeCell ref="E261:H261"/>
    <mergeCell ref="E262:H262"/>
    <mergeCell ref="E263:H263"/>
    <mergeCell ref="E264:H264"/>
    <mergeCell ref="E265:H265"/>
    <mergeCell ref="E248:H248"/>
    <mergeCell ref="E249:H249"/>
    <mergeCell ref="E250:H250"/>
    <mergeCell ref="E251:H251"/>
    <mergeCell ref="E252:H252"/>
    <mergeCell ref="E253:H253"/>
    <mergeCell ref="E254:H254"/>
    <mergeCell ref="E255:H255"/>
    <mergeCell ref="E256:H256"/>
    <mergeCell ref="E241:H241"/>
    <mergeCell ref="E242:H242"/>
    <mergeCell ref="E243:H243"/>
    <mergeCell ref="E244:H244"/>
    <mergeCell ref="E245:H245"/>
    <mergeCell ref="E246:H246"/>
    <mergeCell ref="E247:H247"/>
    <mergeCell ref="E236:F236"/>
    <mergeCell ref="C209:D209"/>
    <mergeCell ref="E209:F209"/>
    <mergeCell ref="E226:F226"/>
    <mergeCell ref="E227:F227"/>
    <mergeCell ref="E228:F228"/>
    <mergeCell ref="E229:F229"/>
    <mergeCell ref="E230:F230"/>
    <mergeCell ref="E231:F231"/>
    <mergeCell ref="E232:F232"/>
    <mergeCell ref="E233:F233"/>
    <mergeCell ref="E234:F234"/>
    <mergeCell ref="C228:D228"/>
    <mergeCell ref="C229:D229"/>
    <mergeCell ref="C230:D230"/>
    <mergeCell ref="C231:D231"/>
    <mergeCell ref="C232:D232"/>
    <mergeCell ref="C233:D233"/>
    <mergeCell ref="C234:D234"/>
    <mergeCell ref="C236:D236"/>
    <mergeCell ref="E210:F210"/>
    <mergeCell ref="E211:F211"/>
    <mergeCell ref="E212:F212"/>
    <mergeCell ref="E213:F213"/>
    <mergeCell ref="E214:F214"/>
    <mergeCell ref="E215:F215"/>
    <mergeCell ref="E216:F216"/>
    <mergeCell ref="E217:F217"/>
    <mergeCell ref="E218:F218"/>
    <mergeCell ref="E219:F219"/>
    <mergeCell ref="E220:F220"/>
    <mergeCell ref="E221:F221"/>
    <mergeCell ref="E222:F222"/>
    <mergeCell ref="E223:F223"/>
    <mergeCell ref="E224:F224"/>
    <mergeCell ref="E225:F225"/>
    <mergeCell ref="C219:D219"/>
    <mergeCell ref="C220:D220"/>
    <mergeCell ref="C221:D221"/>
    <mergeCell ref="C222:D222"/>
    <mergeCell ref="C223:D223"/>
    <mergeCell ref="E88:F88"/>
    <mergeCell ref="E120:F120"/>
    <mergeCell ref="C99:D99"/>
    <mergeCell ref="C89:D89"/>
    <mergeCell ref="C227:D227"/>
    <mergeCell ref="C210:D210"/>
    <mergeCell ref="C211:D211"/>
    <mergeCell ref="C212:D212"/>
    <mergeCell ref="C213:D213"/>
    <mergeCell ref="C214:D214"/>
    <mergeCell ref="C215:D215"/>
    <mergeCell ref="C216:D216"/>
    <mergeCell ref="C217:D217"/>
    <mergeCell ref="C218:D218"/>
    <mergeCell ref="C114:D114"/>
    <mergeCell ref="C93:D93"/>
    <mergeCell ref="C109:D109"/>
    <mergeCell ref="C95:D95"/>
    <mergeCell ref="E95:F95"/>
    <mergeCell ref="E93:F93"/>
    <mergeCell ref="C94:D94"/>
    <mergeCell ref="E94:F94"/>
    <mergeCell ref="E184:F184"/>
    <mergeCell ref="C175:D175"/>
    <mergeCell ref="C67:D67"/>
    <mergeCell ref="C66:D66"/>
    <mergeCell ref="E66:F66"/>
    <mergeCell ref="E67:F67"/>
    <mergeCell ref="C81:D81"/>
    <mergeCell ref="E81:F81"/>
    <mergeCell ref="C224:D224"/>
    <mergeCell ref="C225:D225"/>
    <mergeCell ref="C226:D226"/>
    <mergeCell ref="C82:D82"/>
    <mergeCell ref="E82:F82"/>
    <mergeCell ref="C126:D126"/>
    <mergeCell ref="C74:D74"/>
    <mergeCell ref="E74:F74"/>
    <mergeCell ref="C75:D75"/>
    <mergeCell ref="E75:F75"/>
    <mergeCell ref="C76:D76"/>
    <mergeCell ref="E76:F76"/>
    <mergeCell ref="C83:D83"/>
    <mergeCell ref="E83:F83"/>
    <mergeCell ref="E87:F87"/>
    <mergeCell ref="E89:F89"/>
    <mergeCell ref="E119:F119"/>
    <mergeCell ref="C88:D88"/>
    <mergeCell ref="C65:D65"/>
    <mergeCell ref="E65:F65"/>
    <mergeCell ref="C64:D64"/>
    <mergeCell ref="E64:F64"/>
    <mergeCell ref="C32:D32"/>
    <mergeCell ref="C33:D33"/>
    <mergeCell ref="C34:D34"/>
    <mergeCell ref="E61:F61"/>
    <mergeCell ref="C62:D62"/>
    <mergeCell ref="E62:F62"/>
    <mergeCell ref="C63:D63"/>
    <mergeCell ref="C40:D40"/>
    <mergeCell ref="C39:D39"/>
    <mergeCell ref="C38:D38"/>
    <mergeCell ref="E53:F53"/>
    <mergeCell ref="C54:D54"/>
    <mergeCell ref="E54:F54"/>
    <mergeCell ref="C46:D46"/>
    <mergeCell ref="E46:F46"/>
    <mergeCell ref="C50:D50"/>
    <mergeCell ref="E50:F50"/>
    <mergeCell ref="C51:D51"/>
    <mergeCell ref="H17:I17"/>
    <mergeCell ref="J17:L17"/>
    <mergeCell ref="J24:M24"/>
    <mergeCell ref="J21:M21"/>
    <mergeCell ref="C31:D31"/>
    <mergeCell ref="C23:D23"/>
    <mergeCell ref="C24:D24"/>
    <mergeCell ref="C25:D25"/>
    <mergeCell ref="C26:D26"/>
    <mergeCell ref="C27:D27"/>
    <mergeCell ref="C21:D21"/>
    <mergeCell ref="J28:M28"/>
    <mergeCell ref="E51:F51"/>
    <mergeCell ref="C202:D202"/>
    <mergeCell ref="E202:F202"/>
    <mergeCell ref="C203:D203"/>
    <mergeCell ref="C204:D204"/>
    <mergeCell ref="C205:D205"/>
    <mergeCell ref="E203:F203"/>
    <mergeCell ref="E204:F204"/>
    <mergeCell ref="E205:F205"/>
    <mergeCell ref="C197:D197"/>
    <mergeCell ref="E197:F197"/>
    <mergeCell ref="C198:D198"/>
    <mergeCell ref="E198:F198"/>
    <mergeCell ref="C191:D191"/>
    <mergeCell ref="C192:D192"/>
    <mergeCell ref="C193:D193"/>
    <mergeCell ref="E190:F190"/>
    <mergeCell ref="E191:F191"/>
    <mergeCell ref="E192:F192"/>
    <mergeCell ref="E193:F193"/>
    <mergeCell ref="C184:D184"/>
    <mergeCell ref="C185:D185"/>
    <mergeCell ref="C189:D189"/>
    <mergeCell ref="E189:F189"/>
    <mergeCell ref="C176:D176"/>
    <mergeCell ref="C190:D190"/>
    <mergeCell ref="C183:D183"/>
    <mergeCell ref="E183:F183"/>
    <mergeCell ref="C182:D182"/>
    <mergeCell ref="E182:F182"/>
    <mergeCell ref="C167:D167"/>
    <mergeCell ref="E149:F149"/>
    <mergeCell ref="E150:F150"/>
    <mergeCell ref="E151:F151"/>
    <mergeCell ref="E152:F152"/>
    <mergeCell ref="E153:F153"/>
    <mergeCell ref="E185:F185"/>
    <mergeCell ref="C154:D154"/>
    <mergeCell ref="C155:D155"/>
    <mergeCell ref="C156:D156"/>
    <mergeCell ref="C157:D157"/>
    <mergeCell ref="E154:F154"/>
    <mergeCell ref="E157:F157"/>
    <mergeCell ref="E158:F158"/>
    <mergeCell ref="C177:D177"/>
    <mergeCell ref="C178:D178"/>
    <mergeCell ref="C165:D165"/>
    <mergeCell ref="C169:D169"/>
    <mergeCell ref="C170:D170"/>
    <mergeCell ref="C171:D171"/>
    <mergeCell ref="C172:D172"/>
    <mergeCell ref="C173:D173"/>
    <mergeCell ref="C174:D174"/>
    <mergeCell ref="E121:F121"/>
    <mergeCell ref="E122:F122"/>
    <mergeCell ref="E134:F134"/>
    <mergeCell ref="E135:F135"/>
    <mergeCell ref="E136:F136"/>
    <mergeCell ref="E137:F137"/>
    <mergeCell ref="C143:D143"/>
    <mergeCell ref="C144:D144"/>
    <mergeCell ref="C163:D163"/>
    <mergeCell ref="C145:D145"/>
    <mergeCell ref="C146:D146"/>
    <mergeCell ref="C151:D151"/>
    <mergeCell ref="C152:D152"/>
    <mergeCell ref="C153:D153"/>
    <mergeCell ref="E155:F155"/>
    <mergeCell ref="C134:D134"/>
    <mergeCell ref="C149:D149"/>
    <mergeCell ref="E145:F145"/>
    <mergeCell ref="E133:F133"/>
    <mergeCell ref="E142:F142"/>
    <mergeCell ref="E138:F138"/>
    <mergeCell ref="E156:F156"/>
    <mergeCell ref="E143:F143"/>
    <mergeCell ref="E144:F144"/>
    <mergeCell ref="C168:D168"/>
    <mergeCell ref="E146:F146"/>
    <mergeCell ref="C162:D162"/>
    <mergeCell ref="C164:D164"/>
    <mergeCell ref="C138:D138"/>
    <mergeCell ref="C166:D166"/>
    <mergeCell ref="C129:D129"/>
    <mergeCell ref="C133:D133"/>
    <mergeCell ref="C119:D119"/>
    <mergeCell ref="C115:D115"/>
    <mergeCell ref="C120:D120"/>
    <mergeCell ref="C122:D122"/>
    <mergeCell ref="C121:D121"/>
    <mergeCell ref="C158:D158"/>
    <mergeCell ref="C127:D127"/>
    <mergeCell ref="C128:D128"/>
    <mergeCell ref="C135:D135"/>
    <mergeCell ref="C136:D136"/>
    <mergeCell ref="C137:D137"/>
    <mergeCell ref="C150:D150"/>
    <mergeCell ref="C142:D142"/>
    <mergeCell ref="E100:F100"/>
    <mergeCell ref="C96:D96"/>
    <mergeCell ref="E96:F96"/>
    <mergeCell ref="E69:F69"/>
    <mergeCell ref="C77:D77"/>
    <mergeCell ref="E77:F77"/>
    <mergeCell ref="C52:D52"/>
    <mergeCell ref="E52:F52"/>
    <mergeCell ref="C35:D35"/>
    <mergeCell ref="C36:D36"/>
    <mergeCell ref="C37:D37"/>
    <mergeCell ref="C53:D53"/>
    <mergeCell ref="C44:D44"/>
    <mergeCell ref="E44:F44"/>
    <mergeCell ref="C45:D45"/>
    <mergeCell ref="E45:F45"/>
    <mergeCell ref="C61:D61"/>
    <mergeCell ref="E63:F63"/>
    <mergeCell ref="C55:D55"/>
    <mergeCell ref="E55:F55"/>
    <mergeCell ref="C56:D56"/>
    <mergeCell ref="E56:F56"/>
    <mergeCell ref="C60:D60"/>
    <mergeCell ref="E60:F60"/>
    <mergeCell ref="C110:D110"/>
    <mergeCell ref="D4:D7"/>
    <mergeCell ref="D8:D10"/>
    <mergeCell ref="D11:D12"/>
    <mergeCell ref="E10:F10"/>
    <mergeCell ref="E11:F11"/>
    <mergeCell ref="E12:F12"/>
    <mergeCell ref="E4:F4"/>
    <mergeCell ref="E5:F5"/>
    <mergeCell ref="E6:F6"/>
    <mergeCell ref="E7:F7"/>
    <mergeCell ref="E8:F8"/>
    <mergeCell ref="E9:F9"/>
    <mergeCell ref="C68:D68"/>
    <mergeCell ref="E68:F68"/>
    <mergeCell ref="C69:D69"/>
    <mergeCell ref="C107:D107"/>
    <mergeCell ref="C108:D108"/>
    <mergeCell ref="C101:D101"/>
    <mergeCell ref="E101:F101"/>
    <mergeCell ref="C102:D102"/>
    <mergeCell ref="E102:F102"/>
    <mergeCell ref="E99:F99"/>
    <mergeCell ref="C100:D100"/>
    <mergeCell ref="J15:L15"/>
    <mergeCell ref="E16:F16"/>
    <mergeCell ref="J12:L12"/>
    <mergeCell ref="H4:I4"/>
    <mergeCell ref="J4:L4"/>
    <mergeCell ref="H5:I5"/>
    <mergeCell ref="J5:L5"/>
    <mergeCell ref="H6:I6"/>
    <mergeCell ref="J6:L6"/>
    <mergeCell ref="H11:I11"/>
    <mergeCell ref="H13:I13"/>
    <mergeCell ref="J13:L13"/>
    <mergeCell ref="H14:I14"/>
    <mergeCell ref="J14:L14"/>
    <mergeCell ref="H16:I16"/>
    <mergeCell ref="J16:L16"/>
    <mergeCell ref="E13:F13"/>
    <mergeCell ref="E14:F14"/>
    <mergeCell ref="C235:D235"/>
    <mergeCell ref="E235:F235"/>
    <mergeCell ref="J11:L11"/>
    <mergeCell ref="E3:F3"/>
    <mergeCell ref="E17:F17"/>
    <mergeCell ref="C22:D22"/>
    <mergeCell ref="C97:D97"/>
    <mergeCell ref="E97:F97"/>
    <mergeCell ref="C98:D98"/>
    <mergeCell ref="E98:F98"/>
    <mergeCell ref="C87:D87"/>
    <mergeCell ref="H3:I3"/>
    <mergeCell ref="J3:L3"/>
    <mergeCell ref="H7:I7"/>
    <mergeCell ref="J7:L7"/>
    <mergeCell ref="H8:I8"/>
    <mergeCell ref="J8:L8"/>
    <mergeCell ref="H9:I9"/>
    <mergeCell ref="J9:L9"/>
    <mergeCell ref="H10:I10"/>
    <mergeCell ref="J10:L10"/>
    <mergeCell ref="H12:I12"/>
    <mergeCell ref="E15:F15"/>
    <mergeCell ref="H15:I15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1">
    <tabColor rgb="FFFFFF00"/>
  </sheetPr>
  <dimension ref="B1:AI63"/>
  <sheetViews>
    <sheetView workbookViewId="0">
      <selection activeCell="E18" sqref="E18:F18"/>
    </sheetView>
  </sheetViews>
  <sheetFormatPr defaultRowHeight="15" outlineLevelCol="1"/>
  <cols>
    <col min="1" max="1" width="4.140625" customWidth="1"/>
    <col min="2" max="2" width="9.7109375" style="123" customWidth="1"/>
    <col min="3" max="3" width="2.7109375" style="123" hidden="1" customWidth="1" outlineLevel="1"/>
    <col min="4" max="4" width="9.140625" style="123" collapsed="1"/>
    <col min="5" max="11" width="9.140625" style="123"/>
    <col min="12" max="12" width="9.7109375" style="123" customWidth="1"/>
    <col min="13" max="16" width="9.140625" hidden="1" customWidth="1" outlineLevel="1"/>
    <col min="17" max="20" width="10.7109375" hidden="1" customWidth="1" outlineLevel="1"/>
    <col min="21" max="31" width="9.140625" hidden="1" customWidth="1" outlineLevel="1"/>
    <col min="32" max="32" width="9.140625" style="29" hidden="1" customWidth="1" outlineLevel="1"/>
    <col min="33" max="34" width="9.140625" hidden="1" customWidth="1" outlineLevel="1"/>
    <col min="35" max="35" width="9.140625" collapsed="1"/>
  </cols>
  <sheetData>
    <row r="1" spans="2:34">
      <c r="B1" s="132"/>
      <c r="L1" s="131"/>
      <c r="Q1" s="29"/>
      <c r="T1" s="113"/>
      <c r="V1" s="29"/>
      <c r="Y1" s="113"/>
      <c r="AA1" s="29"/>
      <c r="AD1" s="113"/>
    </row>
    <row r="2" spans="2:34" s="123" customFormat="1">
      <c r="B2" s="132"/>
      <c r="D2" s="282" t="s">
        <v>34</v>
      </c>
      <c r="E2" s="282"/>
      <c r="F2" s="282"/>
      <c r="G2" s="282"/>
      <c r="H2" s="282"/>
      <c r="I2" s="282"/>
      <c r="J2" s="282"/>
      <c r="K2" s="282"/>
      <c r="L2" s="131"/>
      <c r="M2"/>
      <c r="N2"/>
      <c r="O2"/>
      <c r="P2"/>
      <c r="Q2" s="270" t="s">
        <v>1051</v>
      </c>
      <c r="R2" s="271"/>
      <c r="S2" s="271"/>
      <c r="T2" s="119" t="s">
        <v>1052</v>
      </c>
      <c r="U2"/>
      <c r="V2" s="270" t="s">
        <v>1053</v>
      </c>
      <c r="W2" s="271"/>
      <c r="X2" s="271"/>
      <c r="Y2" s="119" t="s">
        <v>1052</v>
      </c>
      <c r="Z2"/>
      <c r="AA2" s="270" t="s">
        <v>1054</v>
      </c>
      <c r="AB2" s="271"/>
      <c r="AC2" s="271"/>
      <c r="AD2" s="119" t="s">
        <v>1052</v>
      </c>
      <c r="AE2"/>
      <c r="AF2" s="147" t="s">
        <v>1055</v>
      </c>
      <c r="AG2" s="148"/>
      <c r="AH2"/>
    </row>
    <row r="3" spans="2:34" s="123" customFormat="1">
      <c r="B3" s="132"/>
      <c r="D3" s="282"/>
      <c r="E3" s="282"/>
      <c r="F3" s="282"/>
      <c r="G3" s="282"/>
      <c r="H3" s="282"/>
      <c r="I3" s="282"/>
      <c r="J3" s="282"/>
      <c r="K3" s="282"/>
      <c r="L3" s="131"/>
      <c r="M3"/>
      <c r="N3"/>
      <c r="O3"/>
      <c r="P3"/>
      <c r="Q3" s="26"/>
      <c r="R3" s="116" t="s">
        <v>1056</v>
      </c>
      <c r="S3" s="27"/>
      <c r="T3" s="121">
        <v>1</v>
      </c>
      <c r="U3"/>
      <c r="V3" s="29"/>
      <c r="W3"/>
      <c r="X3"/>
      <c r="Y3" s="121">
        <v>1</v>
      </c>
      <c r="Z3"/>
      <c r="AA3" s="122">
        <v>1</v>
      </c>
      <c r="AB3" s="17">
        <v>100</v>
      </c>
      <c r="AC3"/>
      <c r="AD3" s="121">
        <v>1</v>
      </c>
      <c r="AE3"/>
      <c r="AF3" s="117">
        <v>107</v>
      </c>
      <c r="AG3"/>
      <c r="AH3"/>
    </row>
    <row r="4" spans="2:34" s="123" customFormat="1">
      <c r="B4" s="132"/>
      <c r="D4" s="282"/>
      <c r="E4" s="282"/>
      <c r="F4" s="282"/>
      <c r="G4" s="282"/>
      <c r="H4" s="282"/>
      <c r="I4" s="282"/>
      <c r="J4" s="282"/>
      <c r="K4" s="282"/>
      <c r="L4" s="131"/>
      <c r="M4" s="288" t="s">
        <v>1057</v>
      </c>
      <c r="N4" s="289"/>
      <c r="O4" s="114" t="s">
        <v>1058</v>
      </c>
      <c r="P4" s="114" t="s">
        <v>1059</v>
      </c>
      <c r="Q4" s="29"/>
      <c r="R4" s="17" t="s">
        <v>1060</v>
      </c>
      <c r="S4"/>
      <c r="T4" s="121">
        <v>2</v>
      </c>
      <c r="U4"/>
      <c r="V4" s="29"/>
      <c r="W4" s="17" t="s">
        <v>458</v>
      </c>
      <c r="X4"/>
      <c r="Y4" s="121">
        <v>2</v>
      </c>
      <c r="Z4"/>
      <c r="AA4" s="122">
        <v>2</v>
      </c>
      <c r="AB4" s="17">
        <v>200</v>
      </c>
      <c r="AC4"/>
      <c r="AD4" s="121">
        <v>2</v>
      </c>
      <c r="AE4"/>
      <c r="AF4" s="117">
        <v>108</v>
      </c>
      <c r="AG4"/>
      <c r="AH4"/>
    </row>
    <row r="5" spans="2:34" s="123" customFormat="1">
      <c r="B5" s="132"/>
      <c r="D5" s="282"/>
      <c r="E5" s="282"/>
      <c r="F5" s="282"/>
      <c r="G5" s="282"/>
      <c r="H5" s="282"/>
      <c r="I5" s="282"/>
      <c r="J5" s="282"/>
      <c r="K5" s="282"/>
      <c r="L5" s="131"/>
      <c r="M5" s="17">
        <v>1</v>
      </c>
      <c r="N5"/>
      <c r="O5"/>
      <c r="P5"/>
      <c r="Q5" s="29"/>
      <c r="R5" s="17" t="s">
        <v>1061</v>
      </c>
      <c r="S5"/>
      <c r="T5" s="121">
        <v>3</v>
      </c>
      <c r="U5"/>
      <c r="V5" s="29"/>
      <c r="W5"/>
      <c r="X5"/>
      <c r="Y5" s="113"/>
      <c r="Z5"/>
      <c r="AA5" s="122">
        <v>5</v>
      </c>
      <c r="AB5" s="17">
        <v>500</v>
      </c>
      <c r="AC5"/>
      <c r="AD5" s="121">
        <v>3</v>
      </c>
      <c r="AE5"/>
      <c r="AF5" s="117">
        <v>109</v>
      </c>
      <c r="AG5"/>
      <c r="AH5"/>
    </row>
    <row r="6" spans="2:34" s="123" customFormat="1">
      <c r="B6" s="132"/>
      <c r="D6" s="282"/>
      <c r="E6" s="282"/>
      <c r="F6" s="282"/>
      <c r="G6" s="282"/>
      <c r="H6" s="282"/>
      <c r="I6" s="282"/>
      <c r="J6" s="282"/>
      <c r="K6" s="282"/>
      <c r="L6" s="131"/>
      <c r="M6"/>
      <c r="N6"/>
      <c r="O6"/>
      <c r="P6"/>
      <c r="Q6" s="29"/>
      <c r="R6" s="17" t="s">
        <v>1062</v>
      </c>
      <c r="S6"/>
      <c r="T6" s="121">
        <v>4</v>
      </c>
      <c r="U6"/>
      <c r="V6" s="272" t="s">
        <v>1063</v>
      </c>
      <c r="W6" s="272"/>
      <c r="X6" s="272"/>
      <c r="Y6" s="120" t="s">
        <v>1052</v>
      </c>
      <c r="Z6"/>
      <c r="AA6" s="122">
        <v>10</v>
      </c>
      <c r="AB6" s="17">
        <v>1000</v>
      </c>
      <c r="AC6"/>
      <c r="AD6" s="121">
        <v>4</v>
      </c>
      <c r="AE6"/>
      <c r="AF6" s="117">
        <v>110</v>
      </c>
      <c r="AG6"/>
      <c r="AH6"/>
    </row>
    <row r="7" spans="2:34" s="123" customFormat="1">
      <c r="B7" s="132"/>
      <c r="D7" s="282"/>
      <c r="E7" s="282"/>
      <c r="F7" s="282"/>
      <c r="G7" s="282"/>
      <c r="H7" s="282"/>
      <c r="I7" s="282"/>
      <c r="J7" s="282"/>
      <c r="K7" s="282"/>
      <c r="L7" s="131"/>
      <c r="M7" s="288" t="s">
        <v>1064</v>
      </c>
      <c r="N7" s="289"/>
      <c r="O7" s="114" t="s">
        <v>1058</v>
      </c>
      <c r="P7" s="114" t="s">
        <v>1059</v>
      </c>
      <c r="Q7" s="29"/>
      <c r="R7"/>
      <c r="S7"/>
      <c r="T7" s="113"/>
      <c r="U7"/>
      <c r="V7" s="29"/>
      <c r="W7" s="17"/>
      <c r="X7"/>
      <c r="Y7" s="121">
        <v>0</v>
      </c>
      <c r="Z7"/>
      <c r="AA7" s="122">
        <v>20</v>
      </c>
      <c r="AB7" s="17">
        <v>2000</v>
      </c>
      <c r="AC7"/>
      <c r="AD7" s="121">
        <v>5</v>
      </c>
      <c r="AE7"/>
      <c r="AF7" s="117">
        <v>111</v>
      </c>
      <c r="AG7"/>
      <c r="AH7"/>
    </row>
    <row r="8" spans="2:34" s="123" customFormat="1">
      <c r="B8" s="132"/>
      <c r="D8" s="282"/>
      <c r="E8" s="282"/>
      <c r="F8" s="282"/>
      <c r="G8" s="282"/>
      <c r="H8" s="282"/>
      <c r="I8" s="282"/>
      <c r="J8" s="282"/>
      <c r="K8" s="282"/>
      <c r="L8" s="131"/>
      <c r="M8" s="17">
        <v>1</v>
      </c>
      <c r="N8"/>
      <c r="O8"/>
      <c r="P8"/>
      <c r="Q8" s="270" t="s">
        <v>1065</v>
      </c>
      <c r="R8" s="271"/>
      <c r="S8" s="271"/>
      <c r="T8" s="119" t="s">
        <v>1052</v>
      </c>
      <c r="U8"/>
      <c r="V8" s="29"/>
      <c r="W8" s="17">
        <v>2</v>
      </c>
      <c r="X8"/>
      <c r="Y8" s="121">
        <v>1</v>
      </c>
      <c r="Z8"/>
      <c r="AA8" s="122">
        <v>50</v>
      </c>
      <c r="AB8" s="17">
        <v>5000</v>
      </c>
      <c r="AC8"/>
      <c r="AD8" s="121">
        <v>6</v>
      </c>
      <c r="AE8"/>
      <c r="AF8" s="117"/>
      <c r="AG8"/>
      <c r="AH8"/>
    </row>
    <row r="9" spans="2:34" s="123" customFormat="1">
      <c r="B9" s="132"/>
      <c r="E9" s="124"/>
      <c r="L9" s="131"/>
      <c r="M9"/>
      <c r="N9"/>
      <c r="O9"/>
      <c r="P9"/>
      <c r="Q9" s="276" t="s">
        <v>1066</v>
      </c>
      <c r="R9" s="277"/>
      <c r="S9" s="277"/>
      <c r="T9" s="278"/>
      <c r="U9"/>
      <c r="V9" s="29"/>
      <c r="W9" s="17">
        <v>3</v>
      </c>
      <c r="X9"/>
      <c r="Y9" s="121">
        <v>2</v>
      </c>
      <c r="Z9"/>
      <c r="AA9" s="122">
        <v>75</v>
      </c>
      <c r="AB9" s="17">
        <v>7500</v>
      </c>
      <c r="AC9"/>
      <c r="AD9" s="121">
        <v>7</v>
      </c>
      <c r="AE9"/>
      <c r="AF9" s="117"/>
      <c r="AG9"/>
      <c r="AH9"/>
    </row>
    <row r="10" spans="2:34" s="123" customFormat="1">
      <c r="B10" s="132"/>
      <c r="E10" s="265" t="s">
        <v>1067</v>
      </c>
      <c r="F10" s="265"/>
      <c r="G10" s="265" t="s">
        <v>1063</v>
      </c>
      <c r="H10" s="265"/>
      <c r="I10" s="265" t="s">
        <v>1068</v>
      </c>
      <c r="J10" s="265"/>
      <c r="L10" s="131"/>
      <c r="M10" s="292" t="s">
        <v>1069</v>
      </c>
      <c r="N10" s="292"/>
      <c r="O10" s="114" t="s">
        <v>1058</v>
      </c>
      <c r="P10" s="114" t="s">
        <v>1059</v>
      </c>
      <c r="Q10" s="29"/>
      <c r="R10" s="17"/>
      <c r="S10"/>
      <c r="T10" s="121">
        <v>0</v>
      </c>
      <c r="U10"/>
      <c r="V10" s="29"/>
      <c r="W10" s="17">
        <v>4</v>
      </c>
      <c r="X10"/>
      <c r="Y10" s="121">
        <v>3</v>
      </c>
      <c r="Z10"/>
      <c r="AA10" s="122">
        <v>100</v>
      </c>
      <c r="AB10" s="17">
        <v>10000</v>
      </c>
      <c r="AC10"/>
      <c r="AD10" s="121">
        <v>8</v>
      </c>
      <c r="AE10"/>
      <c r="AF10" s="117"/>
      <c r="AG10"/>
      <c r="AH10"/>
    </row>
    <row r="11" spans="2:34" s="123" customFormat="1">
      <c r="B11" s="132"/>
      <c r="E11" s="259"/>
      <c r="F11" s="260"/>
      <c r="G11" s="259"/>
      <c r="H11" s="260"/>
      <c r="I11" s="259"/>
      <c r="J11" s="260"/>
      <c r="K11" s="124"/>
      <c r="L11" s="131"/>
      <c r="M11" s="17">
        <f>IF(AND(E11&lt;&gt;"",G11="",I11=""),1,IF(AND(E11="",G11&lt;&gt;"",I11=""),G11,IF(AND(E11="",G11="",I11&lt;&gt;""),VLOOKUP(I11,W18:Y23,3,FALSE),IF(AND(E11="",G11="",I11=""),0,0))))</f>
        <v>0</v>
      </c>
      <c r="N11"/>
      <c r="O11">
        <f>IF(G11&lt;&gt;"",IF(G11=C40,1,0),IF(E11&lt;&gt;"",1,0))</f>
        <v>0</v>
      </c>
      <c r="P11">
        <f>IF(I11&lt;&gt;"",IF(VLOOKUP(I11,$W$18:$X$23,2,FALSE)=C40,1,0),0)</f>
        <v>0</v>
      </c>
      <c r="Q11" s="29"/>
      <c r="R11" s="17" t="s">
        <v>1070</v>
      </c>
      <c r="S11"/>
      <c r="T11" s="121">
        <v>1</v>
      </c>
      <c r="U11"/>
      <c r="V11" s="29"/>
      <c r="W11" s="17">
        <v>5</v>
      </c>
      <c r="X11"/>
      <c r="Y11" s="121">
        <v>4</v>
      </c>
      <c r="Z11"/>
      <c r="AA11" s="29"/>
      <c r="AB11"/>
      <c r="AC11"/>
      <c r="AD11" s="113"/>
      <c r="AE11"/>
      <c r="AF11" s="117"/>
      <c r="AG11"/>
      <c r="AH11"/>
    </row>
    <row r="12" spans="2:34" s="123" customFormat="1">
      <c r="B12" s="132"/>
      <c r="L12" s="131"/>
      <c r="M12"/>
      <c r="N12"/>
      <c r="O12"/>
      <c r="P12"/>
      <c r="Q12" s="29"/>
      <c r="R12" s="17" t="s">
        <v>1071</v>
      </c>
      <c r="S12"/>
      <c r="T12" s="121">
        <v>2</v>
      </c>
      <c r="U12"/>
      <c r="V12" s="29"/>
      <c r="W12" s="17">
        <v>6</v>
      </c>
      <c r="X12"/>
      <c r="Y12" s="121">
        <v>5</v>
      </c>
      <c r="Z12"/>
      <c r="AA12" s="29"/>
      <c r="AB12"/>
      <c r="AC12"/>
      <c r="AD12" s="113"/>
      <c r="AE12"/>
      <c r="AF12" s="117"/>
      <c r="AG12"/>
      <c r="AH12"/>
    </row>
    <row r="13" spans="2:34" s="123" customFormat="1">
      <c r="B13" s="132"/>
      <c r="E13" s="279" t="s">
        <v>1072</v>
      </c>
      <c r="F13" s="280"/>
      <c r="G13" s="280"/>
      <c r="H13" s="280"/>
      <c r="I13" s="280"/>
      <c r="J13" s="281"/>
      <c r="L13" s="131"/>
      <c r="M13" s="292" t="s">
        <v>1073</v>
      </c>
      <c r="N13" s="292"/>
      <c r="O13" s="114" t="s">
        <v>1058</v>
      </c>
      <c r="P13" s="114" t="s">
        <v>1059</v>
      </c>
      <c r="Q13" s="31"/>
      <c r="R13" s="118" t="s">
        <v>1074</v>
      </c>
      <c r="S13"/>
      <c r="T13" s="121">
        <v>3</v>
      </c>
      <c r="U13"/>
      <c r="V13" s="29"/>
      <c r="W13" s="17">
        <v>7</v>
      </c>
      <c r="X13"/>
      <c r="Y13" s="121">
        <v>6</v>
      </c>
      <c r="Z13"/>
      <c r="AA13" s="29"/>
      <c r="AB13"/>
      <c r="AC13"/>
      <c r="AD13" s="113"/>
      <c r="AE13"/>
      <c r="AF13" s="146"/>
      <c r="AG13"/>
      <c r="AH13"/>
    </row>
    <row r="14" spans="2:34" s="123" customFormat="1">
      <c r="B14" s="132"/>
      <c r="E14" s="273"/>
      <c r="F14" s="274"/>
      <c r="G14" s="274"/>
      <c r="H14" s="274"/>
      <c r="I14" s="274"/>
      <c r="J14" s="275"/>
      <c r="L14" s="131"/>
      <c r="M14" s="17">
        <f>IF(E14="",0,VLOOKUP(E14,$AA$3:$AD$10,2,FALSE))</f>
        <v>0</v>
      </c>
      <c r="N14"/>
      <c r="O14">
        <f>IF(M14=0,0,1)</f>
        <v>0</v>
      </c>
      <c r="P14"/>
      <c r="Q14" s="276" t="s">
        <v>1062</v>
      </c>
      <c r="R14" s="277"/>
      <c r="S14" s="277"/>
      <c r="T14" s="278"/>
      <c r="U14"/>
      <c r="V14" s="29"/>
      <c r="W14" s="17">
        <v>8</v>
      </c>
      <c r="X14"/>
      <c r="Y14" s="121">
        <v>7</v>
      </c>
      <c r="Z14"/>
      <c r="AA14" s="29"/>
      <c r="AB14"/>
      <c r="AC14"/>
      <c r="AD14" s="113"/>
      <c r="AE14"/>
      <c r="AF14" s="146"/>
      <c r="AG14"/>
      <c r="AH14"/>
    </row>
    <row r="15" spans="2:34" s="123" customFormat="1" ht="15" customHeight="1">
      <c r="B15" s="132"/>
      <c r="L15" s="131"/>
      <c r="M15"/>
      <c r="N15"/>
      <c r="O15"/>
      <c r="P15"/>
      <c r="Q15" s="29"/>
      <c r="R15" s="17"/>
      <c r="S15"/>
      <c r="T15" s="121">
        <v>0</v>
      </c>
      <c r="U15"/>
      <c r="V15" s="29"/>
      <c r="W15"/>
      <c r="X15"/>
      <c r="Y15" s="121"/>
      <c r="Z15"/>
      <c r="AA15" s="29"/>
      <c r="AB15"/>
      <c r="AC15"/>
      <c r="AD15" s="113"/>
      <c r="AE15"/>
      <c r="AF15" s="146"/>
      <c r="AG15"/>
      <c r="AH15"/>
    </row>
    <row r="16" spans="2:34" s="123" customFormat="1" ht="15" customHeight="1">
      <c r="B16" s="132"/>
      <c r="H16" s="267" t="s">
        <v>1075</v>
      </c>
      <c r="I16" s="268"/>
      <c r="J16" s="268"/>
      <c r="K16" s="269"/>
      <c r="L16" s="131"/>
      <c r="M16"/>
      <c r="N16"/>
      <c r="O16"/>
      <c r="P16"/>
      <c r="Q16" s="29"/>
      <c r="R16" s="17" t="s">
        <v>1076</v>
      </c>
      <c r="S16"/>
      <c r="T16" s="121">
        <v>1</v>
      </c>
      <c r="U16"/>
      <c r="V16" s="272" t="s">
        <v>1068</v>
      </c>
      <c r="W16" s="272"/>
      <c r="X16" s="272"/>
      <c r="Y16" s="120" t="s">
        <v>1077</v>
      </c>
      <c r="Z16"/>
      <c r="AA16" s="29"/>
      <c r="AB16"/>
      <c r="AC16"/>
      <c r="AD16" s="113"/>
      <c r="AE16"/>
      <c r="AF16" s="146"/>
      <c r="AG16"/>
      <c r="AH16"/>
    </row>
    <row r="17" spans="2:34" s="123" customFormat="1" ht="15" customHeight="1">
      <c r="B17" s="132"/>
      <c r="C17" s="125"/>
      <c r="D17" s="263">
        <v>1</v>
      </c>
      <c r="E17" s="265" t="s">
        <v>1078</v>
      </c>
      <c r="F17" s="265"/>
      <c r="G17" s="144"/>
      <c r="H17" s="145" t="s">
        <v>1079</v>
      </c>
      <c r="I17" s="145" t="s">
        <v>1080</v>
      </c>
      <c r="J17" s="145" t="s">
        <v>1081</v>
      </c>
      <c r="K17" s="145" t="s">
        <v>1082</v>
      </c>
      <c r="L17" s="131"/>
      <c r="M17" s="115" t="s">
        <v>1083</v>
      </c>
      <c r="N17" s="114" t="s">
        <v>1065</v>
      </c>
      <c r="O17" s="114" t="s">
        <v>1058</v>
      </c>
      <c r="P17" s="114" t="s">
        <v>1059</v>
      </c>
      <c r="Q17" s="29"/>
      <c r="R17" s="17" t="s">
        <v>1084</v>
      </c>
      <c r="S17"/>
      <c r="T17" s="121">
        <v>3</v>
      </c>
      <c r="U17"/>
      <c r="V17" s="29"/>
      <c r="W17" s="17"/>
      <c r="X17" s="17" t="s">
        <v>1085</v>
      </c>
      <c r="Y17" s="121"/>
      <c r="Z17"/>
      <c r="AA17" s="29"/>
      <c r="AB17"/>
      <c r="AC17"/>
      <c r="AD17" s="113"/>
      <c r="AE17"/>
      <c r="AF17" s="146"/>
      <c r="AG17"/>
      <c r="AH17"/>
    </row>
    <row r="18" spans="2:34" s="123" customFormat="1">
      <c r="B18" s="132"/>
      <c r="C18" s="125">
        <f>IF(E18&lt;&gt;"",1,0)</f>
        <v>0</v>
      </c>
      <c r="D18" s="264"/>
      <c r="E18" s="266"/>
      <c r="F18" s="266"/>
      <c r="G18" s="137"/>
      <c r="H18" s="129"/>
      <c r="I18" s="129"/>
      <c r="J18" s="129"/>
      <c r="K18" s="129"/>
      <c r="L18" s="131"/>
      <c r="M18" t="str">
        <f>IF(AND(H18&lt;&gt;"",I18="",J18="",K18=""),1,IF(AND(H18="",I18&lt;&gt;"",J18="",K18=""),2,IF(AND(H18="",I18="",J18&lt;&gt;"",K18=""),3,IF(AND(H18="",I18="",J18="",K18&lt;&gt;""),4,"ERRO"))))</f>
        <v>ERRO</v>
      </c>
      <c r="N18" t="str">
        <f>IF(H18&lt;&gt;"",VLOOKUP(H18,$R$11:$T$13,3,FALSE),IF(I18&lt;&gt;"",VLOOKUP(I18,$R$11:$T$13,3,FALSE),IF(J18&lt;&gt;"",VLOOKUP(J18,$R$11:$T$13,3,FALSE),IF(K18&lt;&gt;"",VLOOKUP(K18,$R$16:$T$17,3,FALSE),"ERRO"))))</f>
        <v>ERRO</v>
      </c>
      <c r="O18">
        <f>IF(OR(M18="ERRO",N18="ERRO"),0,1)</f>
        <v>0</v>
      </c>
      <c r="P18">
        <f>IF(E18&lt;&gt;"",1,0)</f>
        <v>0</v>
      </c>
      <c r="Q18" s="29"/>
      <c r="R18"/>
      <c r="S18"/>
      <c r="T18" s="113"/>
      <c r="U18"/>
      <c r="V18" s="29"/>
      <c r="W18" s="36" t="s">
        <v>1086</v>
      </c>
      <c r="X18" s="17">
        <v>3</v>
      </c>
      <c r="Y18" s="121">
        <v>2</v>
      </c>
      <c r="Z18"/>
      <c r="AA18" s="29"/>
      <c r="AB18"/>
      <c r="AC18"/>
      <c r="AD18" s="113"/>
      <c r="AE18"/>
      <c r="AF18" s="146"/>
      <c r="AG18"/>
      <c r="AH18"/>
    </row>
    <row r="19" spans="2:34" s="123" customFormat="1" ht="12" customHeight="1">
      <c r="B19" s="132"/>
      <c r="C19" s="125"/>
      <c r="D19" s="126"/>
      <c r="E19" s="127"/>
      <c r="F19" s="127"/>
      <c r="H19" s="127"/>
      <c r="I19" s="127"/>
      <c r="J19" s="127"/>
      <c r="K19" s="127"/>
      <c r="L19" s="131"/>
      <c r="M19"/>
      <c r="N19"/>
      <c r="O19"/>
      <c r="P19"/>
      <c r="Q19" s="29"/>
      <c r="R19"/>
      <c r="S19"/>
      <c r="T19" s="113"/>
      <c r="U19"/>
      <c r="V19" s="29"/>
      <c r="W19" s="36" t="s">
        <v>1087</v>
      </c>
      <c r="X19" s="17">
        <v>4</v>
      </c>
      <c r="Y19" s="121">
        <v>2</v>
      </c>
      <c r="Z19"/>
      <c r="AA19" s="29"/>
      <c r="AB19"/>
      <c r="AC19"/>
      <c r="AD19" s="113"/>
      <c r="AE19"/>
      <c r="AF19" s="146"/>
      <c r="AG19"/>
      <c r="AH19"/>
    </row>
    <row r="20" spans="2:34" s="123" customFormat="1">
      <c r="B20" s="132"/>
      <c r="C20" s="125"/>
      <c r="D20" s="263">
        <v>2</v>
      </c>
      <c r="E20" s="265" t="s">
        <v>1078</v>
      </c>
      <c r="F20" s="265"/>
      <c r="G20" s="144"/>
      <c r="H20" s="145" t="s">
        <v>1079</v>
      </c>
      <c r="I20" s="145" t="s">
        <v>1080</v>
      </c>
      <c r="J20" s="145" t="s">
        <v>1081</v>
      </c>
      <c r="K20" s="145" t="s">
        <v>1082</v>
      </c>
      <c r="L20" s="131"/>
      <c r="M20" s="115" t="s">
        <v>1083</v>
      </c>
      <c r="N20" s="114" t="s">
        <v>1065</v>
      </c>
      <c r="O20" s="114" t="s">
        <v>1058</v>
      </c>
      <c r="P20" s="114" t="s">
        <v>1059</v>
      </c>
      <c r="Q20" s="29"/>
      <c r="R20"/>
      <c r="S20"/>
      <c r="T20" s="113"/>
      <c r="U20"/>
      <c r="V20" s="29"/>
      <c r="W20" s="36" t="s">
        <v>1088</v>
      </c>
      <c r="X20" s="17">
        <v>5</v>
      </c>
      <c r="Y20" s="121">
        <v>2</v>
      </c>
      <c r="Z20"/>
      <c r="AA20" s="29"/>
      <c r="AB20"/>
      <c r="AC20"/>
      <c r="AD20" s="113"/>
      <c r="AE20"/>
      <c r="AF20" s="146"/>
      <c r="AG20"/>
      <c r="AH20"/>
    </row>
    <row r="21" spans="2:34" s="123" customFormat="1">
      <c r="B21" s="132"/>
      <c r="C21" s="125">
        <f>IF(AND(E18&lt;&gt;"",E21&lt;&gt;""),1,0)</f>
        <v>0</v>
      </c>
      <c r="D21" s="264"/>
      <c r="E21" s="266"/>
      <c r="F21" s="266"/>
      <c r="G21" s="143"/>
      <c r="H21" s="129"/>
      <c r="I21" s="129"/>
      <c r="J21" s="129"/>
      <c r="K21" s="129"/>
      <c r="L21" s="131"/>
      <c r="M21" t="str">
        <f>IF(AND(H21&lt;&gt;"",I21="",J21="",K21=""),1,IF(AND(H21="",I21&lt;&gt;"",J21="",K21=""),2,IF(AND(H21="",I21="",J21&lt;&gt;"",K21=""),3,IF(AND(H21="",I21="",J21="",K21&lt;&gt;""),4,"ERRO"))))</f>
        <v>ERRO</v>
      </c>
      <c r="N21" t="str">
        <f>IF(H21&lt;&gt;"",VLOOKUP(H21,$R$11:$T$13,3,FALSE),IF(I21&lt;&gt;"",VLOOKUP(I21,$R$11:$T$13,3,FALSE),IF(J21&lt;&gt;"",VLOOKUP(J21,$R$11:$T$13,3,FALSE),IF(K21&lt;&gt;"",VLOOKUP(K21,$R$16:$T$17,3,FALSE),"ERRO"))))</f>
        <v>ERRO</v>
      </c>
      <c r="O21">
        <f>IF(OR(M21="ERRO",N21="ERRO"),0,1)</f>
        <v>0</v>
      </c>
      <c r="P21">
        <f>IF(E21&lt;&gt;"",1,0)</f>
        <v>0</v>
      </c>
      <c r="Q21" s="29"/>
      <c r="R21"/>
      <c r="S21"/>
      <c r="T21" s="113"/>
      <c r="U21"/>
      <c r="V21" s="29"/>
      <c r="W21" s="36" t="s">
        <v>1089</v>
      </c>
      <c r="X21" s="17">
        <v>4</v>
      </c>
      <c r="Y21" s="121">
        <v>3</v>
      </c>
      <c r="Z21"/>
      <c r="AA21" s="29"/>
      <c r="AB21"/>
      <c r="AC21"/>
      <c r="AD21" s="113"/>
      <c r="AE21"/>
      <c r="AF21" s="146"/>
      <c r="AG21"/>
      <c r="AH21"/>
    </row>
    <row r="22" spans="2:34" s="123" customFormat="1" ht="12" customHeight="1">
      <c r="B22" s="132"/>
      <c r="C22" s="125"/>
      <c r="D22" s="126"/>
      <c r="E22" s="127"/>
      <c r="F22" s="127"/>
      <c r="H22" s="127"/>
      <c r="I22" s="127"/>
      <c r="J22" s="127"/>
      <c r="K22" s="127"/>
      <c r="L22" s="131"/>
      <c r="M22"/>
      <c r="N22"/>
      <c r="O22"/>
      <c r="P22"/>
      <c r="Q22" s="29"/>
      <c r="R22"/>
      <c r="S22"/>
      <c r="T22" s="113"/>
      <c r="U22"/>
      <c r="V22" s="29"/>
      <c r="W22" s="36" t="s">
        <v>1090</v>
      </c>
      <c r="X22" s="17">
        <v>5</v>
      </c>
      <c r="Y22" s="121">
        <v>3</v>
      </c>
      <c r="Z22"/>
      <c r="AA22" s="29"/>
      <c r="AB22"/>
      <c r="AC22"/>
      <c r="AD22" s="113"/>
      <c r="AE22"/>
      <c r="AF22" s="146"/>
      <c r="AG22"/>
      <c r="AH22"/>
    </row>
    <row r="23" spans="2:34" s="123" customFormat="1">
      <c r="B23" s="132"/>
      <c r="C23" s="125"/>
      <c r="D23" s="263">
        <v>3</v>
      </c>
      <c r="E23" s="265" t="s">
        <v>1078</v>
      </c>
      <c r="F23" s="265"/>
      <c r="G23" s="144"/>
      <c r="H23" s="145" t="s">
        <v>1079</v>
      </c>
      <c r="I23" s="145" t="s">
        <v>1080</v>
      </c>
      <c r="J23" s="145" t="s">
        <v>1081</v>
      </c>
      <c r="K23" s="145" t="s">
        <v>1082</v>
      </c>
      <c r="L23" s="131"/>
      <c r="M23" s="115" t="s">
        <v>1083</v>
      </c>
      <c r="N23" s="114" t="s">
        <v>1065</v>
      </c>
      <c r="O23" s="114" t="s">
        <v>1058</v>
      </c>
      <c r="P23" s="114" t="s">
        <v>1059</v>
      </c>
      <c r="Q23" s="29"/>
      <c r="R23"/>
      <c r="S23"/>
      <c r="T23" s="113"/>
      <c r="U23"/>
      <c r="V23" s="29"/>
      <c r="W23" s="36" t="s">
        <v>1091</v>
      </c>
      <c r="X23" s="17">
        <v>5</v>
      </c>
      <c r="Y23" s="121">
        <v>4</v>
      </c>
      <c r="Z23"/>
      <c r="AA23" s="29"/>
      <c r="AB23"/>
      <c r="AC23"/>
      <c r="AD23" s="113"/>
      <c r="AE23"/>
      <c r="AF23" s="146"/>
      <c r="AG23"/>
      <c r="AH23"/>
    </row>
    <row r="24" spans="2:34" s="123" customFormat="1">
      <c r="B24" s="132"/>
      <c r="C24" s="125">
        <f>IF(AND(E21&lt;&gt;"",E24&lt;&gt;""),1,0)</f>
        <v>0</v>
      </c>
      <c r="D24" s="264"/>
      <c r="E24" s="266"/>
      <c r="F24" s="266"/>
      <c r="G24" s="146"/>
      <c r="H24" s="129"/>
      <c r="I24" s="129"/>
      <c r="J24" s="129"/>
      <c r="K24" s="129"/>
      <c r="L24" s="131"/>
      <c r="M24" t="str">
        <f>IF(AND(H24&lt;&gt;"",I24="",J24="",K24=""),1,IF(AND(H24="",I24&lt;&gt;"",J24="",K24=""),2,IF(AND(H24="",I24="",J24&lt;&gt;"",K24=""),3,IF(AND(H24="",I24="",J24="",K24&lt;&gt;""),4,"ERRO"))))</f>
        <v>ERRO</v>
      </c>
      <c r="N24" t="str">
        <f>IF(H24&lt;&gt;"",VLOOKUP(H24,$R$11:$T$13,3,FALSE),IF(I24&lt;&gt;"",VLOOKUP(I24,$R$11:$T$13,3,FALSE),IF(J24&lt;&gt;"",VLOOKUP(J24,$R$11:$T$13,3,FALSE),IF(K24&lt;&gt;"",VLOOKUP(K24,$R$16:$T$17,3,FALSE),"ERRO"))))</f>
        <v>ERRO</v>
      </c>
      <c r="O24">
        <f>IF(OR(M24="ERRO",N24="ERRO"),0,1)</f>
        <v>0</v>
      </c>
      <c r="P24">
        <f>IF(E24&lt;&gt;"",1,0)</f>
        <v>0</v>
      </c>
      <c r="Q24" s="29"/>
      <c r="R24"/>
      <c r="S24"/>
      <c r="T24" s="113"/>
      <c r="U24"/>
      <c r="V24" s="29"/>
      <c r="W24"/>
      <c r="X24"/>
      <c r="Y24" s="113"/>
      <c r="Z24"/>
      <c r="AA24" s="29"/>
      <c r="AB24"/>
      <c r="AC24"/>
      <c r="AD24" s="113"/>
      <c r="AE24"/>
      <c r="AF24" s="146"/>
      <c r="AG24"/>
      <c r="AH24"/>
    </row>
    <row r="25" spans="2:34" s="123" customFormat="1" ht="12" customHeight="1">
      <c r="B25" s="132"/>
      <c r="C25" s="125"/>
      <c r="D25" s="126"/>
      <c r="E25" s="127"/>
      <c r="F25" s="127"/>
      <c r="H25" s="127"/>
      <c r="I25" s="127"/>
      <c r="J25" s="127"/>
      <c r="K25" s="127"/>
      <c r="L25" s="131"/>
      <c r="M25"/>
      <c r="N25"/>
      <c r="O25"/>
      <c r="P25"/>
      <c r="Q25" s="29"/>
      <c r="R25"/>
      <c r="S25"/>
      <c r="T25" s="113"/>
      <c r="U25"/>
      <c r="V25" s="29"/>
      <c r="W25"/>
      <c r="X25"/>
      <c r="Y25" s="113"/>
      <c r="Z25"/>
      <c r="AA25" s="29"/>
      <c r="AB25"/>
      <c r="AC25"/>
      <c r="AD25" s="113"/>
      <c r="AE25"/>
      <c r="AF25" s="146"/>
      <c r="AG25"/>
      <c r="AH25"/>
    </row>
    <row r="26" spans="2:34" s="123" customFormat="1">
      <c r="B26" s="132"/>
      <c r="C26" s="125"/>
      <c r="D26" s="263">
        <v>4</v>
      </c>
      <c r="E26" s="265" t="s">
        <v>1078</v>
      </c>
      <c r="F26" s="265"/>
      <c r="G26" s="144"/>
      <c r="H26" s="145" t="s">
        <v>1079</v>
      </c>
      <c r="I26" s="145" t="s">
        <v>1080</v>
      </c>
      <c r="J26" s="145" t="s">
        <v>1081</v>
      </c>
      <c r="K26" s="145" t="s">
        <v>1082</v>
      </c>
      <c r="L26" s="131"/>
      <c r="M26" s="115" t="s">
        <v>1083</v>
      </c>
      <c r="N26" s="114" t="s">
        <v>1065</v>
      </c>
      <c r="O26" s="114" t="s">
        <v>1058</v>
      </c>
      <c r="P26" s="114" t="s">
        <v>1059</v>
      </c>
      <c r="Q26" s="29"/>
      <c r="R26"/>
      <c r="S26"/>
      <c r="T26" s="113"/>
      <c r="U26"/>
      <c r="V26" s="29"/>
      <c r="W26"/>
      <c r="X26"/>
      <c r="Y26" s="113"/>
      <c r="Z26"/>
      <c r="AA26" s="29"/>
      <c r="AB26"/>
      <c r="AC26"/>
      <c r="AD26" s="113"/>
      <c r="AE26"/>
      <c r="AF26" s="146"/>
      <c r="AG26"/>
      <c r="AH26"/>
    </row>
    <row r="27" spans="2:34" s="123" customFormat="1">
      <c r="B27" s="132"/>
      <c r="C27" s="125">
        <f>IF(AND(E24&lt;&gt;"",E27&lt;&gt;""),1,0)</f>
        <v>0</v>
      </c>
      <c r="D27" s="264"/>
      <c r="E27" s="266"/>
      <c r="F27" s="266"/>
      <c r="G27" s="137"/>
      <c r="H27" s="129"/>
      <c r="I27" s="129"/>
      <c r="J27" s="129"/>
      <c r="K27" s="129"/>
      <c r="L27" s="131"/>
      <c r="M27" t="str">
        <f>IF(AND(H27&lt;&gt;"",I27="",J27="",K27=""),1,IF(AND(H27="",I27&lt;&gt;"",J27="",K27=""),2,IF(AND(H27="",I27="",J27&lt;&gt;"",K27=""),3,IF(AND(H27="",I27="",J27="",K27&lt;&gt;""),4,"ERRO"))))</f>
        <v>ERRO</v>
      </c>
      <c r="N27" t="str">
        <f>IF(H27&lt;&gt;"",VLOOKUP(H27,$R$11:$T$13,3,FALSE),IF(I27&lt;&gt;"",VLOOKUP(I27,$R$11:$T$13,3,FALSE),IF(J27&lt;&gt;"",VLOOKUP(J27,$R$11:$T$13,3,FALSE),IF(K27&lt;&gt;"",VLOOKUP(K27,$R$16:$T$17,3,FALSE),"ERRO"))))</f>
        <v>ERRO</v>
      </c>
      <c r="O27">
        <f>IF(OR(M27="ERRO",N27="ERRO"),0,1)</f>
        <v>0</v>
      </c>
      <c r="P27">
        <f>IF(E27&lt;&gt;"",1,0)</f>
        <v>0</v>
      </c>
      <c r="Q27" s="29"/>
      <c r="R27"/>
      <c r="S27"/>
      <c r="T27" s="113"/>
      <c r="U27"/>
      <c r="V27" s="29"/>
      <c r="W27"/>
      <c r="X27"/>
      <c r="Y27" s="113"/>
      <c r="Z27"/>
      <c r="AA27" s="29"/>
      <c r="AB27"/>
      <c r="AC27"/>
      <c r="AD27" s="113"/>
      <c r="AE27"/>
      <c r="AF27" s="146"/>
      <c r="AG27"/>
      <c r="AH27"/>
    </row>
    <row r="28" spans="2:34" s="123" customFormat="1" ht="12" customHeight="1">
      <c r="B28" s="132"/>
      <c r="C28" s="125"/>
      <c r="D28" s="126"/>
      <c r="E28" s="127"/>
      <c r="F28" s="127"/>
      <c r="H28" s="127"/>
      <c r="I28" s="127"/>
      <c r="J28" s="127"/>
      <c r="K28" s="127"/>
      <c r="L28" s="131"/>
      <c r="M28"/>
      <c r="N28"/>
      <c r="O28"/>
      <c r="P28"/>
      <c r="Q28" s="29"/>
      <c r="R28"/>
      <c r="S28"/>
      <c r="T28" s="113"/>
      <c r="U28"/>
      <c r="V28" s="29"/>
      <c r="W28"/>
      <c r="X28"/>
      <c r="Y28" s="113"/>
      <c r="Z28"/>
      <c r="AA28" s="29"/>
      <c r="AB28"/>
      <c r="AC28"/>
      <c r="AD28" s="113"/>
      <c r="AE28"/>
      <c r="AF28" s="146"/>
      <c r="AG28"/>
      <c r="AH28"/>
    </row>
    <row r="29" spans="2:34" s="123" customFormat="1">
      <c r="B29" s="132"/>
      <c r="C29" s="125"/>
      <c r="D29" s="263">
        <v>5</v>
      </c>
      <c r="E29" s="265" t="s">
        <v>1078</v>
      </c>
      <c r="F29" s="265"/>
      <c r="G29" s="144"/>
      <c r="H29" s="145" t="s">
        <v>1079</v>
      </c>
      <c r="I29" s="145" t="s">
        <v>1080</v>
      </c>
      <c r="J29" s="145" t="s">
        <v>1081</v>
      </c>
      <c r="K29" s="145" t="s">
        <v>1082</v>
      </c>
      <c r="L29" s="131"/>
      <c r="M29" s="115" t="s">
        <v>1083</v>
      </c>
      <c r="N29" s="114" t="s">
        <v>1065</v>
      </c>
      <c r="O29" s="114" t="s">
        <v>1058</v>
      </c>
      <c r="P29" s="114" t="s">
        <v>1059</v>
      </c>
      <c r="Q29" s="29"/>
      <c r="R29"/>
      <c r="S29"/>
      <c r="T29" s="113"/>
      <c r="U29"/>
      <c r="V29" s="29"/>
      <c r="W29"/>
      <c r="X29"/>
      <c r="Y29" s="113"/>
      <c r="Z29"/>
      <c r="AA29" s="29"/>
      <c r="AB29"/>
      <c r="AC29"/>
      <c r="AD29" s="113"/>
      <c r="AE29"/>
      <c r="AF29" s="146"/>
      <c r="AG29"/>
      <c r="AH29"/>
    </row>
    <row r="30" spans="2:34" s="123" customFormat="1">
      <c r="B30" s="132"/>
      <c r="C30" s="125">
        <f>IF(AND(E27&lt;&gt;"",E30&lt;&gt;""),1,0)</f>
        <v>0</v>
      </c>
      <c r="D30" s="264"/>
      <c r="E30" s="266"/>
      <c r="F30" s="266"/>
      <c r="G30" s="137"/>
      <c r="H30" s="129"/>
      <c r="I30" s="129"/>
      <c r="J30" s="129"/>
      <c r="K30" s="129"/>
      <c r="L30" s="131"/>
      <c r="M30" t="str">
        <f>IF(AND(H30&lt;&gt;"",I30="",J30="",K30=""),1,IF(AND(H30="",I30&lt;&gt;"",J30="",K30=""),2,IF(AND(H30="",I30="",J30&lt;&gt;"",K30=""),3,IF(AND(H30="",I30="",J30="",K30&lt;&gt;""),4,"ERRO"))))</f>
        <v>ERRO</v>
      </c>
      <c r="N30" t="str">
        <f>IF(H30&lt;&gt;"",VLOOKUP(H30,$R$11:$T$13,3,FALSE),IF(I30&lt;&gt;"",VLOOKUP(I30,$R$11:$T$13,3,FALSE),IF(J30&lt;&gt;"",VLOOKUP(J30,$R$11:$T$13,3,FALSE),IF(K30&lt;&gt;"",VLOOKUP(K30,$R$16:$T$17,3,FALSE),"ERRO"))))</f>
        <v>ERRO</v>
      </c>
      <c r="O30">
        <f>IF(OR(M30="ERRO",N30="ERRO"),0,1)</f>
        <v>0</v>
      </c>
      <c r="P30">
        <f>IF(E30&lt;&gt;"",1,0)</f>
        <v>0</v>
      </c>
      <c r="Q30" s="29"/>
      <c r="R30"/>
      <c r="S30"/>
      <c r="T30" s="113"/>
      <c r="U30"/>
      <c r="V30" s="29"/>
      <c r="W30"/>
      <c r="X30"/>
      <c r="Y30" s="113"/>
      <c r="Z30"/>
      <c r="AA30" s="29"/>
      <c r="AB30"/>
      <c r="AC30"/>
      <c r="AD30" s="113"/>
      <c r="AE30"/>
      <c r="AF30" s="146"/>
      <c r="AG30"/>
      <c r="AH30"/>
    </row>
    <row r="31" spans="2:34" s="123" customFormat="1" ht="12" customHeight="1">
      <c r="B31" s="132"/>
      <c r="C31" s="125"/>
      <c r="D31" s="126"/>
      <c r="E31" s="127"/>
      <c r="F31" s="127"/>
      <c r="H31" s="127"/>
      <c r="I31" s="127"/>
      <c r="J31" s="127"/>
      <c r="K31" s="127"/>
      <c r="L31" s="131"/>
      <c r="M31"/>
      <c r="N31"/>
      <c r="O31"/>
      <c r="P31"/>
      <c r="Q31" s="29"/>
      <c r="R31"/>
      <c r="S31"/>
      <c r="T31" s="113"/>
      <c r="U31"/>
      <c r="V31" s="29"/>
      <c r="W31"/>
      <c r="X31"/>
      <c r="Y31" s="113"/>
      <c r="Z31"/>
      <c r="AA31" s="29"/>
      <c r="AB31"/>
      <c r="AC31"/>
      <c r="AD31" s="113"/>
      <c r="AE31"/>
      <c r="AF31" s="146"/>
      <c r="AG31"/>
      <c r="AH31"/>
    </row>
    <row r="32" spans="2:34" s="123" customFormat="1">
      <c r="B32" s="132"/>
      <c r="C32" s="125"/>
      <c r="D32" s="263">
        <v>6</v>
      </c>
      <c r="E32" s="265" t="s">
        <v>1078</v>
      </c>
      <c r="F32" s="265"/>
      <c r="G32" s="144"/>
      <c r="H32" s="145" t="s">
        <v>1079</v>
      </c>
      <c r="I32" s="145" t="s">
        <v>1080</v>
      </c>
      <c r="J32" s="145" t="s">
        <v>1081</v>
      </c>
      <c r="K32" s="145" t="s">
        <v>1082</v>
      </c>
      <c r="L32" s="131"/>
      <c r="M32" s="115" t="s">
        <v>1083</v>
      </c>
      <c r="N32" s="114" t="s">
        <v>1065</v>
      </c>
      <c r="O32" s="114" t="s">
        <v>1058</v>
      </c>
      <c r="P32" s="114" t="s">
        <v>1059</v>
      </c>
      <c r="Q32" s="29"/>
      <c r="R32"/>
      <c r="S32"/>
      <c r="T32" s="113"/>
      <c r="U32"/>
      <c r="V32" s="29"/>
      <c r="W32"/>
      <c r="X32"/>
      <c r="Y32" s="113"/>
      <c r="Z32"/>
      <c r="AA32" s="29"/>
      <c r="AB32"/>
      <c r="AC32"/>
      <c r="AD32" s="113"/>
      <c r="AE32"/>
      <c r="AF32" s="146"/>
      <c r="AG32"/>
      <c r="AH32"/>
    </row>
    <row r="33" spans="2:34" s="123" customFormat="1">
      <c r="B33" s="132"/>
      <c r="C33" s="125">
        <f>IF(AND(E30&lt;&gt;"",E33&lt;&gt;""),1,0)</f>
        <v>0</v>
      </c>
      <c r="D33" s="264"/>
      <c r="E33" s="266"/>
      <c r="F33" s="266"/>
      <c r="G33" s="137"/>
      <c r="H33" s="129"/>
      <c r="I33" s="129"/>
      <c r="J33" s="129"/>
      <c r="K33" s="129"/>
      <c r="L33" s="131"/>
      <c r="M33" t="str">
        <f>IF(AND(H33&lt;&gt;"",I33="",J33="",K33=""),1,IF(AND(H33="",I33&lt;&gt;"",J33="",K33=""),2,IF(AND(H33="",I33="",J33&lt;&gt;"",K33=""),3,IF(AND(H33="",I33="",J33="",K33&lt;&gt;""),4,"ERRO"))))</f>
        <v>ERRO</v>
      </c>
      <c r="N33" t="str">
        <f>IF(H33&lt;&gt;"",VLOOKUP(H33,$R$11:$T$13,3,FALSE),IF(I33&lt;&gt;"",VLOOKUP(I33,$R$11:$T$13,3,FALSE),IF(J33&lt;&gt;"",VLOOKUP(J33,$R$11:$T$13,3,FALSE),IF(K33&lt;&gt;"",VLOOKUP(K33,$R$16:$T$17,3,FALSE),"ERRO"))))</f>
        <v>ERRO</v>
      </c>
      <c r="O33">
        <f>IF(OR(M33="ERRO",N33="ERRO"),0,1)</f>
        <v>0</v>
      </c>
      <c r="P33">
        <f>IF(E33&lt;&gt;"",1,0)</f>
        <v>0</v>
      </c>
      <c r="Q33" s="29"/>
      <c r="R33"/>
      <c r="S33"/>
      <c r="T33" s="113"/>
      <c r="U33"/>
      <c r="V33" s="29"/>
      <c r="W33"/>
      <c r="X33"/>
      <c r="Y33" s="113"/>
      <c r="Z33"/>
      <c r="AA33" s="29"/>
      <c r="AB33"/>
      <c r="AC33"/>
      <c r="AD33" s="113"/>
      <c r="AE33"/>
      <c r="AF33" s="146"/>
      <c r="AG33"/>
      <c r="AH33"/>
    </row>
    <row r="34" spans="2:34" s="123" customFormat="1" ht="12" customHeight="1">
      <c r="B34" s="132"/>
      <c r="C34" s="125"/>
      <c r="D34" s="126"/>
      <c r="E34" s="127"/>
      <c r="F34" s="127"/>
      <c r="H34" s="127"/>
      <c r="I34" s="127"/>
      <c r="J34" s="127"/>
      <c r="K34" s="127"/>
      <c r="L34" s="131"/>
      <c r="M34"/>
      <c r="N34"/>
      <c r="O34"/>
      <c r="P34"/>
      <c r="Q34" s="29"/>
      <c r="R34"/>
      <c r="S34"/>
      <c r="T34" s="113"/>
      <c r="U34"/>
      <c r="V34" s="29"/>
      <c r="W34"/>
      <c r="X34"/>
      <c r="Y34" s="113"/>
      <c r="Z34"/>
      <c r="AA34" s="29"/>
      <c r="AB34"/>
      <c r="AC34"/>
      <c r="AD34" s="113"/>
      <c r="AE34"/>
      <c r="AF34" s="146"/>
      <c r="AG34"/>
      <c r="AH34"/>
    </row>
    <row r="35" spans="2:34" s="123" customFormat="1">
      <c r="B35" s="132"/>
      <c r="C35" s="125"/>
      <c r="D35" s="263">
        <v>7</v>
      </c>
      <c r="E35" s="265" t="s">
        <v>1078</v>
      </c>
      <c r="F35" s="265"/>
      <c r="G35" s="144"/>
      <c r="H35" s="145" t="s">
        <v>1079</v>
      </c>
      <c r="I35" s="145" t="s">
        <v>1080</v>
      </c>
      <c r="J35" s="145" t="s">
        <v>1081</v>
      </c>
      <c r="K35" s="145" t="s">
        <v>1082</v>
      </c>
      <c r="L35" s="131"/>
      <c r="M35" s="115" t="s">
        <v>1083</v>
      </c>
      <c r="N35" s="114" t="s">
        <v>1065</v>
      </c>
      <c r="O35" s="114" t="s">
        <v>1058</v>
      </c>
      <c r="P35" s="114" t="s">
        <v>1059</v>
      </c>
      <c r="Q35" s="29"/>
      <c r="R35"/>
      <c r="S35"/>
      <c r="T35" s="113"/>
      <c r="U35"/>
      <c r="V35" s="29"/>
      <c r="W35"/>
      <c r="X35"/>
      <c r="Y35" s="113"/>
      <c r="Z35"/>
      <c r="AA35" s="29"/>
      <c r="AB35"/>
      <c r="AC35"/>
      <c r="AD35" s="113"/>
      <c r="AE35"/>
      <c r="AF35" s="146"/>
      <c r="AG35"/>
      <c r="AH35"/>
    </row>
    <row r="36" spans="2:34" s="123" customFormat="1">
      <c r="B36" s="132"/>
      <c r="C36" s="125">
        <f>IF(AND(E33&lt;&gt;"",E36&lt;&gt;""),1,0)</f>
        <v>0</v>
      </c>
      <c r="D36" s="264"/>
      <c r="E36" s="266"/>
      <c r="F36" s="266"/>
      <c r="G36" s="137"/>
      <c r="H36" s="129"/>
      <c r="I36" s="129"/>
      <c r="J36" s="129"/>
      <c r="K36" s="129"/>
      <c r="L36" s="131"/>
      <c r="M36" t="str">
        <f>IF(AND(H36&lt;&gt;"",I36="",J36="",K36=""),1,IF(AND(H36="",I36&lt;&gt;"",J36="",K36=""),2,IF(AND(H36="",I36="",J36&lt;&gt;"",K36=""),3,IF(AND(H36="",I36="",J36="",K36&lt;&gt;""),4,"ERRO"))))</f>
        <v>ERRO</v>
      </c>
      <c r="N36" t="str">
        <f>IF(H36&lt;&gt;"",VLOOKUP(H36,$R$11:$T$13,3,FALSE),IF(I36&lt;&gt;"",VLOOKUP(I36,$R$11:$T$13,3,FALSE),IF(J36&lt;&gt;"",VLOOKUP(J36,$R$11:$T$13,3,FALSE),IF(K36&lt;&gt;"",VLOOKUP(K36,$R$16:$T$17,3,FALSE),"ERRO"))))</f>
        <v>ERRO</v>
      </c>
      <c r="O36">
        <f>IF(OR(M36="ERRO",N36="ERRO"),0,1)</f>
        <v>0</v>
      </c>
      <c r="P36">
        <f>IF(E36&lt;&gt;"",1,0)</f>
        <v>0</v>
      </c>
      <c r="Q36" s="29"/>
      <c r="R36"/>
      <c r="S36"/>
      <c r="T36" s="113"/>
      <c r="U36"/>
      <c r="V36" s="29"/>
      <c r="W36"/>
      <c r="X36"/>
      <c r="Y36" s="113"/>
      <c r="Z36"/>
      <c r="AA36" s="29"/>
      <c r="AB36"/>
      <c r="AC36"/>
      <c r="AD36" s="113"/>
      <c r="AE36"/>
      <c r="AF36" s="146"/>
      <c r="AG36"/>
      <c r="AH36"/>
    </row>
    <row r="37" spans="2:34" s="123" customFormat="1" ht="12" customHeight="1">
      <c r="B37" s="132"/>
      <c r="C37" s="125"/>
      <c r="D37" s="126"/>
      <c r="E37" s="127"/>
      <c r="F37" s="127"/>
      <c r="H37" s="127"/>
      <c r="I37" s="127"/>
      <c r="J37" s="127"/>
      <c r="K37" s="127"/>
      <c r="L37" s="131"/>
      <c r="M37"/>
      <c r="N37"/>
      <c r="O37"/>
      <c r="P37"/>
      <c r="Q37" s="29"/>
      <c r="R37"/>
      <c r="S37"/>
      <c r="T37" s="113"/>
      <c r="U37"/>
      <c r="V37" s="29"/>
      <c r="W37"/>
      <c r="X37"/>
      <c r="Y37" s="113"/>
      <c r="Z37"/>
      <c r="AA37" s="29"/>
      <c r="AB37"/>
      <c r="AC37"/>
      <c r="AD37" s="113"/>
      <c r="AE37"/>
      <c r="AF37" s="146"/>
      <c r="AG37"/>
      <c r="AH37"/>
    </row>
    <row r="38" spans="2:34" s="123" customFormat="1">
      <c r="B38" s="132"/>
      <c r="C38" s="125"/>
      <c r="D38" s="263">
        <v>8</v>
      </c>
      <c r="E38" s="265" t="s">
        <v>1078</v>
      </c>
      <c r="F38" s="265"/>
      <c r="G38" s="144"/>
      <c r="H38" s="145" t="s">
        <v>1079</v>
      </c>
      <c r="I38" s="145" t="s">
        <v>1080</v>
      </c>
      <c r="J38" s="145" t="s">
        <v>1081</v>
      </c>
      <c r="K38" s="145" t="s">
        <v>1082</v>
      </c>
      <c r="L38" s="131"/>
      <c r="M38" s="115" t="s">
        <v>1083</v>
      </c>
      <c r="N38" s="114" t="s">
        <v>1065</v>
      </c>
      <c r="O38" s="114" t="s">
        <v>1058</v>
      </c>
      <c r="P38" s="114" t="s">
        <v>1059</v>
      </c>
      <c r="Q38" s="29"/>
      <c r="R38"/>
      <c r="S38"/>
      <c r="T38" s="113"/>
      <c r="U38"/>
      <c r="V38" s="29"/>
      <c r="W38"/>
      <c r="X38"/>
      <c r="Y38" s="113"/>
      <c r="Z38"/>
      <c r="AA38" s="29"/>
      <c r="AB38"/>
      <c r="AC38"/>
      <c r="AD38" s="113"/>
      <c r="AE38"/>
      <c r="AF38" s="146"/>
      <c r="AG38"/>
      <c r="AH38"/>
    </row>
    <row r="39" spans="2:34" s="123" customFormat="1">
      <c r="B39" s="132"/>
      <c r="C39" s="125">
        <f>IF(AND(E36&lt;&gt;"",E39&lt;&gt;""),1,0)</f>
        <v>0</v>
      </c>
      <c r="D39" s="264"/>
      <c r="E39" s="266"/>
      <c r="F39" s="266"/>
      <c r="G39" s="137"/>
      <c r="H39" s="129"/>
      <c r="I39" s="129"/>
      <c r="J39" s="129"/>
      <c r="K39" s="129"/>
      <c r="L39" s="131"/>
      <c r="M39" t="str">
        <f>IF(AND(H39&lt;&gt;"",I39="",J39="",K39=""),1,IF(AND(H39="",I39&lt;&gt;"",J39="",K39=""),2,IF(AND(H39="",I39="",J39&lt;&gt;"",K39=""),3,IF(AND(H39="",I39="",J39="",K39&lt;&gt;""),4,"ERRO"))))</f>
        <v>ERRO</v>
      </c>
      <c r="N39" t="str">
        <f>IF(H39&lt;&gt;"",VLOOKUP(H39,$R$11:$T$13,3,FALSE),IF(I39&lt;&gt;"",VLOOKUP(I39,$R$11:$T$13,3,FALSE),IF(J39&lt;&gt;"",VLOOKUP(J39,$R$11:$T$13,3,FALSE),IF(K39&lt;&gt;"",VLOOKUP(K39,$R$16:$T$17,3,FALSE),"ERRO"))))</f>
        <v>ERRO</v>
      </c>
      <c r="O39">
        <f>IF(OR(M39="ERRO",N39="ERRO"),0,1)</f>
        <v>0</v>
      </c>
      <c r="P39">
        <f>IF(E39&lt;&gt;"",1,0)</f>
        <v>0</v>
      </c>
      <c r="Q39" s="29"/>
      <c r="R39"/>
      <c r="S39"/>
      <c r="T39" s="113"/>
      <c r="U39"/>
      <c r="V39" s="29"/>
      <c r="W39"/>
      <c r="X39"/>
      <c r="Y39" s="113"/>
      <c r="Z39"/>
      <c r="AA39" s="29"/>
      <c r="AB39"/>
      <c r="AC39"/>
      <c r="AD39" s="113"/>
      <c r="AE39"/>
      <c r="AF39" s="146"/>
      <c r="AG39"/>
      <c r="AH39"/>
    </row>
    <row r="40" spans="2:34" s="123" customFormat="1">
      <c r="B40" s="132"/>
      <c r="C40" s="125">
        <f>SUM(C17:C39)</f>
        <v>0</v>
      </c>
      <c r="K40" s="178" t="s">
        <v>1092</v>
      </c>
      <c r="L40" s="131"/>
      <c r="M40"/>
      <c r="N40"/>
      <c r="O40"/>
      <c r="P40"/>
      <c r="Q40" s="29"/>
      <c r="R40"/>
      <c r="S40"/>
      <c r="T40" s="113"/>
      <c r="U40"/>
      <c r="V40" s="29"/>
      <c r="W40"/>
      <c r="X40"/>
      <c r="Y40" s="113"/>
      <c r="Z40"/>
      <c r="AA40" s="29"/>
      <c r="AB40"/>
      <c r="AC40"/>
      <c r="AD40" s="113"/>
      <c r="AE40"/>
      <c r="AF40" s="146"/>
      <c r="AG40"/>
      <c r="AH40"/>
    </row>
    <row r="41" spans="2:34" s="123" customFormat="1">
      <c r="B41" s="132"/>
      <c r="C41" s="125"/>
      <c r="K41" s="178"/>
      <c r="L41" s="131"/>
      <c r="M41"/>
      <c r="N41"/>
      <c r="O41"/>
      <c r="P41"/>
      <c r="Q41" s="29"/>
      <c r="R41"/>
      <c r="S41"/>
      <c r="T41" s="113"/>
      <c r="U41"/>
      <c r="V41" s="29"/>
      <c r="W41"/>
      <c r="X41"/>
      <c r="Y41" s="113"/>
      <c r="Z41"/>
      <c r="AA41" s="29"/>
      <c r="AB41"/>
      <c r="AC41"/>
      <c r="AD41" s="113"/>
      <c r="AE41"/>
      <c r="AF41" s="146"/>
      <c r="AG41"/>
      <c r="AH41"/>
    </row>
    <row r="42" spans="2:34" s="123" customFormat="1">
      <c r="B42" s="132"/>
      <c r="D42" s="285" t="s">
        <v>1093</v>
      </c>
      <c r="E42" s="286"/>
      <c r="F42" s="286"/>
      <c r="G42" s="286"/>
      <c r="H42" s="286"/>
      <c r="I42" s="286"/>
      <c r="J42" s="285" t="str">
        <f>IF(SUM(M46:M48)=3,"BESLIP OK","BETSLIP NOT OK")</f>
        <v>BETSLIP NOT OK</v>
      </c>
      <c r="K42" s="287"/>
      <c r="L42" s="131"/>
      <c r="M42" s="288" t="s">
        <v>1094</v>
      </c>
      <c r="N42" s="289"/>
      <c r="O42" s="114" t="s">
        <v>1058</v>
      </c>
      <c r="P42" s="114" t="s">
        <v>1059</v>
      </c>
      <c r="Q42" s="29"/>
      <c r="R42"/>
      <c r="S42"/>
      <c r="T42" s="113"/>
      <c r="U42"/>
      <c r="V42" s="29"/>
      <c r="W42"/>
      <c r="X42"/>
      <c r="Y42" s="113"/>
      <c r="Z42"/>
      <c r="AA42" s="29"/>
      <c r="AB42"/>
      <c r="AC42"/>
      <c r="AD42" s="113"/>
      <c r="AE42"/>
      <c r="AF42" s="146"/>
      <c r="AG42"/>
      <c r="AH42"/>
    </row>
    <row r="43" spans="2:34" s="123" customFormat="1">
      <c r="B43" s="132"/>
      <c r="D43" s="290" t="s">
        <v>1095</v>
      </c>
      <c r="E43" s="291"/>
      <c r="F43" s="133" t="str">
        <f>IF(AND(E11&lt;&gt;"",G11="",I11=""),"SIMPLES",IF(AND(E11="",G11&lt;&gt;"",I11=""),"COMBINADA - "&amp;G11,IF(AND(E11="",G11="",I11&lt;&gt;""),"MÚLTIPLA - "&amp;I11,IF(AND(E11="",G11="",I11=""),"TEM DE SELECIONAR UM TIPO DE APOSTA","APENAS PODE SELECIONAR UM TIPO DE APOSTA"))))</f>
        <v>TEM DE SELECIONAR UM TIPO DE APOSTA</v>
      </c>
      <c r="G43" s="134"/>
      <c r="H43" s="134"/>
      <c r="I43" s="134"/>
      <c r="J43" s="134"/>
      <c r="K43" s="135"/>
      <c r="L43" s="131"/>
      <c r="M43" s="17">
        <f>C40</f>
        <v>0</v>
      </c>
      <c r="N43"/>
      <c r="O43">
        <f>O18+O21+O24+O27+O30+O33+O36+O39</f>
        <v>0</v>
      </c>
      <c r="P43">
        <f>P18+P21+P24+P27+P30+P33+P36+P39</f>
        <v>0</v>
      </c>
      <c r="Q43" s="29"/>
      <c r="R43"/>
      <c r="S43"/>
      <c r="T43" s="113"/>
      <c r="U43"/>
      <c r="V43" s="29"/>
      <c r="W43"/>
      <c r="X43"/>
      <c r="Y43" s="113"/>
      <c r="Z43"/>
      <c r="AA43" s="29"/>
      <c r="AB43"/>
      <c r="AC43"/>
      <c r="AD43" s="113"/>
      <c r="AE43"/>
      <c r="AF43" s="146"/>
      <c r="AG43"/>
      <c r="AH43"/>
    </row>
    <row r="44" spans="2:34" s="123" customFormat="1">
      <c r="B44" s="132"/>
      <c r="D44" s="283" t="s">
        <v>1096</v>
      </c>
      <c r="E44" s="284"/>
      <c r="F44" s="128" t="str">
        <f>IF(AND(M43=O43,M43=P43,OR(O11=1,P11=1)),M43,"SELECÇÕES MAL CONFIGURADAS "&amp;IF(AND(O11=0,P11=0),"(# de selecções inválido!)","OU INCOMPLETAS"))</f>
        <v>SELECÇÕES MAL CONFIGURADAS (# de selecções inválido!)</v>
      </c>
      <c r="K44" s="136"/>
      <c r="L44" s="131"/>
      <c r="M44"/>
      <c r="N44"/>
      <c r="O44"/>
      <c r="P44"/>
      <c r="Q44" s="29"/>
      <c r="R44"/>
      <c r="S44"/>
      <c r="T44" s="113"/>
      <c r="U44"/>
      <c r="V44" s="29"/>
      <c r="W44"/>
      <c r="X44"/>
      <c r="Y44" s="113"/>
      <c r="Z44"/>
      <c r="AA44" s="29"/>
      <c r="AB44"/>
      <c r="AC44"/>
      <c r="AD44" s="113"/>
      <c r="AE44"/>
      <c r="AF44" s="146"/>
      <c r="AG44"/>
      <c r="AH44"/>
    </row>
    <row r="45" spans="2:34" s="123" customFormat="1">
      <c r="B45" s="132"/>
      <c r="D45" s="283" t="s">
        <v>1097</v>
      </c>
      <c r="E45" s="284"/>
      <c r="F45" s="130" t="str">
        <f>IF(O14=0,"ESCOLHA O MONTANTE BASE",E14)</f>
        <v>ESCOLHA O MONTANTE BASE</v>
      </c>
      <c r="K45" s="136"/>
      <c r="L45" s="131"/>
      <c r="M45" s="261" t="s">
        <v>1098</v>
      </c>
      <c r="N45" s="262"/>
      <c r="O45"/>
      <c r="P45"/>
      <c r="Q45" s="29"/>
      <c r="R45"/>
      <c r="S45"/>
      <c r="T45" s="113"/>
      <c r="U45"/>
      <c r="V45" s="29"/>
      <c r="W45"/>
      <c r="X45"/>
      <c r="Y45" s="113"/>
      <c r="Z45"/>
      <c r="AA45" s="29"/>
      <c r="AB45"/>
      <c r="AC45"/>
      <c r="AD45" s="113"/>
      <c r="AE45"/>
      <c r="AF45" s="146"/>
      <c r="AG45"/>
      <c r="AH45"/>
    </row>
    <row r="46" spans="2:34" s="123" customFormat="1">
      <c r="B46" s="132"/>
      <c r="D46" s="137"/>
      <c r="E46" s="138"/>
      <c r="F46" s="138"/>
      <c r="G46" s="138"/>
      <c r="H46" s="138"/>
      <c r="I46" s="138"/>
      <c r="J46" s="138"/>
      <c r="K46" s="139"/>
      <c r="L46" s="131"/>
      <c r="M46">
        <f>IF(AND(E11&lt;&gt;"",G11="",I11=""),1,IF(AND(E11="",G11&lt;&gt;"",I11=""),1,IF(AND(E11="",G11="",I11&lt;&gt;""),1,IF(AND(E11="",G11="",I11=""),0,0))))</f>
        <v>0</v>
      </c>
      <c r="N46"/>
      <c r="O46"/>
      <c r="P46"/>
      <c r="Q46" s="29"/>
      <c r="R46"/>
      <c r="S46"/>
      <c r="T46" s="113"/>
      <c r="U46"/>
      <c r="V46" s="29"/>
      <c r="W46"/>
      <c r="X46"/>
      <c r="Y46" s="113"/>
      <c r="Z46"/>
      <c r="AA46" s="29"/>
      <c r="AB46"/>
      <c r="AC46"/>
      <c r="AD46" s="113"/>
      <c r="AE46"/>
      <c r="AF46" s="146"/>
      <c r="AG46"/>
      <c r="AH46"/>
    </row>
    <row r="47" spans="2:34" s="123" customFormat="1">
      <c r="B47" s="132"/>
      <c r="D47" s="123" t="s">
        <v>1099</v>
      </c>
      <c r="L47" s="131"/>
      <c r="M47">
        <f>IF(AND(M43=O43,M43=P43,OR(O11=1,P11=1)),1,0)</f>
        <v>0</v>
      </c>
      <c r="N47"/>
      <c r="O47"/>
      <c r="P47"/>
      <c r="Q47" s="29"/>
      <c r="R47"/>
      <c r="S47"/>
      <c r="T47" s="113"/>
      <c r="U47"/>
      <c r="V47" s="29"/>
      <c r="W47"/>
      <c r="X47"/>
      <c r="Y47" s="113"/>
      <c r="Z47"/>
      <c r="AA47" s="29"/>
      <c r="AB47"/>
      <c r="AC47"/>
      <c r="AD47" s="113"/>
      <c r="AE47"/>
      <c r="AF47" s="146"/>
      <c r="AG47"/>
      <c r="AH47"/>
    </row>
    <row r="48" spans="2:34" s="123" customFormat="1">
      <c r="B48" s="132"/>
      <c r="D48" s="123" t="s">
        <v>1100</v>
      </c>
      <c r="L48" s="131"/>
      <c r="M48">
        <f>IF(O14=0,0,1)</f>
        <v>0</v>
      </c>
      <c r="N48"/>
      <c r="O48"/>
      <c r="P48"/>
      <c r="Q48" s="29"/>
      <c r="R48"/>
      <c r="S48"/>
      <c r="T48" s="113"/>
      <c r="U48"/>
      <c r="V48" s="29"/>
      <c r="W48"/>
      <c r="X48"/>
      <c r="Y48" s="113"/>
      <c r="Z48"/>
      <c r="AA48" s="29"/>
      <c r="AB48"/>
      <c r="AC48"/>
      <c r="AD48" s="113"/>
      <c r="AE48"/>
      <c r="AF48" s="146"/>
      <c r="AG48"/>
      <c r="AH48"/>
    </row>
    <row r="49" spans="2:34" s="123" customFormat="1" ht="15.75" thickBot="1">
      <c r="B49" s="140"/>
      <c r="C49" s="141"/>
      <c r="D49" s="141"/>
      <c r="E49" s="141"/>
      <c r="F49" s="141"/>
      <c r="G49" s="141"/>
      <c r="H49" s="141"/>
      <c r="I49" s="141"/>
      <c r="J49" s="141"/>
      <c r="K49" s="141"/>
      <c r="L49" s="142"/>
      <c r="M49"/>
      <c r="N49"/>
      <c r="O49"/>
      <c r="P49"/>
      <c r="Q49" s="29"/>
      <c r="R49"/>
      <c r="S49"/>
      <c r="T49" s="113"/>
      <c r="U49"/>
      <c r="V49" s="29"/>
      <c r="W49"/>
      <c r="X49"/>
      <c r="Y49" s="113"/>
      <c r="Z49"/>
      <c r="AA49" s="29"/>
      <c r="AB49"/>
      <c r="AC49"/>
      <c r="AD49" s="113"/>
      <c r="AE49"/>
      <c r="AF49" s="146"/>
      <c r="AG49"/>
      <c r="AH49"/>
    </row>
    <row r="50" spans="2:34" s="123" customFormat="1"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 s="146"/>
      <c r="AG50"/>
      <c r="AH50"/>
    </row>
    <row r="51" spans="2:34" s="123" customFormat="1">
      <c r="B51" s="155" t="s">
        <v>1101</v>
      </c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 s="146"/>
      <c r="AG51"/>
      <c r="AH51"/>
    </row>
    <row r="52" spans="2:34" s="123" customFormat="1">
      <c r="B52" s="123" t="str">
        <f>'IGS Wager GEN'!D4</f>
        <v>21 E0 00 00 80 12 01 00 01 8A F5 00 00 00 00 00 00 00 00 01 00 00 3B 9A C9 FF 00 00 00 00 00</v>
      </c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 s="146"/>
      <c r="AG52"/>
      <c r="AH52"/>
    </row>
    <row r="53" spans="2:34" s="123" customFormat="1"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 s="146"/>
      <c r="AG53"/>
      <c r="AH53"/>
    </row>
    <row r="54" spans="2:34" s="123" customFormat="1"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 s="146"/>
      <c r="AG54"/>
      <c r="AH54"/>
    </row>
    <row r="55" spans="2:34" s="123" customFormat="1"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 s="146"/>
      <c r="AG55"/>
      <c r="AH55"/>
    </row>
    <row r="56" spans="2:34" s="123" customFormat="1"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 s="146"/>
      <c r="AG56"/>
      <c r="AH56"/>
    </row>
    <row r="57" spans="2:34" s="123" customFormat="1"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 s="146"/>
      <c r="AG57"/>
      <c r="AH57"/>
    </row>
    <row r="58" spans="2:34" s="123" customFormat="1"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 s="146"/>
      <c r="AG58"/>
      <c r="AH58"/>
    </row>
    <row r="59" spans="2:34" s="123" customFormat="1"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 s="146"/>
      <c r="AG59"/>
      <c r="AH59"/>
    </row>
    <row r="60" spans="2:34" s="123" customFormat="1"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 s="146"/>
      <c r="AG60"/>
      <c r="AH60"/>
    </row>
    <row r="61" spans="2:34" s="123" customFormat="1"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 s="146"/>
      <c r="AG61"/>
      <c r="AH61"/>
    </row>
    <row r="62" spans="2:34" s="123" customFormat="1"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 s="146"/>
      <c r="AG62"/>
      <c r="AH62"/>
    </row>
    <row r="63" spans="2:34" s="123" customFormat="1"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 s="146"/>
      <c r="AG63"/>
      <c r="AH63"/>
    </row>
  </sheetData>
  <mergeCells count="53">
    <mergeCell ref="D45:E45"/>
    <mergeCell ref="D42:I42"/>
    <mergeCell ref="J42:K42"/>
    <mergeCell ref="M4:N4"/>
    <mergeCell ref="D43:E43"/>
    <mergeCell ref="D44:E44"/>
    <mergeCell ref="M7:N7"/>
    <mergeCell ref="M13:N13"/>
    <mergeCell ref="M10:N10"/>
    <mergeCell ref="M42:N42"/>
    <mergeCell ref="D35:D36"/>
    <mergeCell ref="E35:F35"/>
    <mergeCell ref="E36:F36"/>
    <mergeCell ref="D38:D39"/>
    <mergeCell ref="E38:F38"/>
    <mergeCell ref="E39:F39"/>
    <mergeCell ref="V2:X2"/>
    <mergeCell ref="V6:X6"/>
    <mergeCell ref="V16:X16"/>
    <mergeCell ref="E14:J14"/>
    <mergeCell ref="AA2:AC2"/>
    <mergeCell ref="Q14:T14"/>
    <mergeCell ref="Q8:S8"/>
    <mergeCell ref="Q9:T9"/>
    <mergeCell ref="E13:J13"/>
    <mergeCell ref="D2:K8"/>
    <mergeCell ref="Q2:S2"/>
    <mergeCell ref="E10:F10"/>
    <mergeCell ref="G10:H10"/>
    <mergeCell ref="I10:J10"/>
    <mergeCell ref="E11:F11"/>
    <mergeCell ref="G11:H11"/>
    <mergeCell ref="E29:F29"/>
    <mergeCell ref="E30:F30"/>
    <mergeCell ref="D32:D33"/>
    <mergeCell ref="E32:F32"/>
    <mergeCell ref="E33:F33"/>
    <mergeCell ref="I11:J11"/>
    <mergeCell ref="M45:N45"/>
    <mergeCell ref="D17:D18"/>
    <mergeCell ref="D20:D21"/>
    <mergeCell ref="E20:F20"/>
    <mergeCell ref="E21:F21"/>
    <mergeCell ref="H16:K16"/>
    <mergeCell ref="E17:F17"/>
    <mergeCell ref="E18:F18"/>
    <mergeCell ref="D23:D24"/>
    <mergeCell ref="E23:F23"/>
    <mergeCell ref="E24:F24"/>
    <mergeCell ref="D26:D27"/>
    <mergeCell ref="E26:F26"/>
    <mergeCell ref="E27:F27"/>
    <mergeCell ref="D29:D30"/>
  </mergeCells>
  <dataValidations count="7">
    <dataValidation type="list" allowBlank="1" showInputMessage="1" showErrorMessage="1" sqref="E18:F18 E21:F21 E24:F24 E27:F27 E30:F30 E33:F33 E36:F36 E39:F39" xr:uid="{00000000-0002-0000-0100-000000000000}">
      <formula1>Event_Index</formula1>
    </dataValidation>
    <dataValidation type="list" allowBlank="1" showInputMessage="1" showErrorMessage="1" sqref="E11:F11" xr:uid="{00000000-0002-0000-0100-000001000000}">
      <formula1>$W$3:$W$4</formula1>
    </dataValidation>
    <dataValidation type="list" allowBlank="1" showInputMessage="1" showErrorMessage="1" sqref="G11:H11" xr:uid="{00000000-0002-0000-0100-000002000000}">
      <formula1>$W$7:$W$14</formula1>
    </dataValidation>
    <dataValidation type="list" allowBlank="1" showInputMessage="1" showErrorMessage="1" sqref="I11:J11" xr:uid="{00000000-0002-0000-0100-000003000000}">
      <formula1>$W$17:$W$23</formula1>
    </dataValidation>
    <dataValidation type="list" allowBlank="1" showInputMessage="1" showErrorMessage="1" sqref="E14:J14" xr:uid="{00000000-0002-0000-0100-000004000000}">
      <formula1>$AA$3:$AA$10</formula1>
    </dataValidation>
    <dataValidation type="list" allowBlank="1" showInputMessage="1" showErrorMessage="1" sqref="H18:J18 H21:J21 H24:J24 H27:J27 H30:J30 H33:J33 H36:J36 H39:J39" xr:uid="{00000000-0002-0000-0100-000005000000}">
      <formula1>$R$10:$R$13</formula1>
    </dataValidation>
    <dataValidation type="list" allowBlank="1" showInputMessage="1" showErrorMessage="1" sqref="K18 K21 K24 K27 K30 K33 K36 K39" xr:uid="{00000000-0002-0000-0100-000006000000}">
      <formula1>$R$15:$R$17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lha3">
    <tabColor rgb="FFFFFF00"/>
  </sheetPr>
  <dimension ref="A1:AU61"/>
  <sheetViews>
    <sheetView workbookViewId="0">
      <selection activeCell="I31" sqref="I31:J31"/>
    </sheetView>
  </sheetViews>
  <sheetFormatPr defaultRowHeight="15" outlineLevelCol="1"/>
  <cols>
    <col min="1" max="1" width="2.140625" customWidth="1"/>
    <col min="2" max="2" width="6.5703125" customWidth="1"/>
    <col min="3" max="3" width="24.42578125" customWidth="1"/>
    <col min="4" max="4" width="5.140625" customWidth="1"/>
    <col min="5" max="5" width="4.28515625" bestFit="1" customWidth="1"/>
    <col min="6" max="6" width="4.5703125" bestFit="1" customWidth="1"/>
    <col min="7" max="8" width="10.5703125" customWidth="1"/>
    <col min="9" max="9" width="13.28515625" customWidth="1"/>
    <col min="10" max="10" width="12.85546875" customWidth="1"/>
    <col min="11" max="36" width="4.7109375" hidden="1" customWidth="1" outlineLevel="1"/>
    <col min="37" max="37" width="9.140625" collapsed="1"/>
  </cols>
  <sheetData>
    <row r="1" spans="1:47" ht="15.75" thickBot="1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AK1" s="153" t="s">
        <v>1102</v>
      </c>
    </row>
    <row r="2" spans="1:47" ht="20.25" thickTop="1" thickBot="1">
      <c r="B2" s="14" t="s">
        <v>1103</v>
      </c>
      <c r="D2" s="296" t="str">
        <f>IF(SUM('Betslip 1x2'!M46:M48)=3,"BESLIP OK","BETSLIP NOT OK")</f>
        <v>BETSLIP NOT OK</v>
      </c>
      <c r="E2" s="297"/>
      <c r="F2" s="297"/>
      <c r="G2" s="297"/>
      <c r="H2" s="297"/>
      <c r="I2" s="297"/>
      <c r="J2" s="298"/>
    </row>
    <row r="3" spans="1:47" ht="15.75" thickTop="1"/>
    <row r="4" spans="1:47">
      <c r="C4" s="108" t="s">
        <v>1104</v>
      </c>
      <c r="D4" s="152" t="str">
        <f>MID(CONCATENATE(G7,H7,G8,H8,G9,G10,G11,G12,G18,G19,H19,G20,G21,G22,G23,G24,G30,G31,G32,G33,G34,G35,G36,G37,G38,G39,G40,G41,G42,G43,G44,G45,G46,G47,G48,G49,G50,G51,G52,G53,G54,G55,G56,G57,G58,G59,G60,G61),1,(E24*3-1)+(I24*24))</f>
        <v>21 E0 00 00 80 12 01 00 01 8A F5 00 00 00 00 00 00 00 00 01 00 00 3B 9A C9 FF 00 00 00 00 00</v>
      </c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</row>
    <row r="5" spans="1:47">
      <c r="D5" s="182" t="str">
        <f>SUBSTITUTE(D4," ",";")</f>
        <v>21;E0;00;00;80;12;01;00;01;8A;F5;00;00;00;00;00;00;00;00;01;00;00;3B;9A;C9;FF;00;00;00;00;00</v>
      </c>
      <c r="E5" s="89"/>
      <c r="F5" s="89"/>
      <c r="G5" s="89"/>
      <c r="H5" s="89"/>
      <c r="I5" s="89"/>
      <c r="J5" s="89"/>
      <c r="K5" s="89"/>
      <c r="L5" s="89"/>
      <c r="M5" s="89"/>
      <c r="N5" s="89"/>
      <c r="O5" s="89"/>
      <c r="P5" s="89"/>
      <c r="Q5" s="89"/>
      <c r="R5" s="89"/>
      <c r="S5" s="89"/>
      <c r="T5" s="89"/>
      <c r="U5" s="89"/>
      <c r="V5" s="89"/>
      <c r="W5" s="89"/>
      <c r="X5" s="89"/>
      <c r="Y5" s="89"/>
      <c r="Z5" s="89"/>
      <c r="AA5" s="89"/>
      <c r="AB5" s="89"/>
      <c r="AC5" s="89"/>
      <c r="AD5" s="89"/>
      <c r="AE5" s="89"/>
      <c r="AF5" s="89"/>
      <c r="AG5" s="89"/>
      <c r="AH5" s="89"/>
      <c r="AI5" s="89"/>
      <c r="AJ5" s="89"/>
      <c r="AK5" s="89"/>
      <c r="AL5" s="89"/>
      <c r="AM5" s="89"/>
      <c r="AN5" s="89"/>
      <c r="AO5" s="89"/>
      <c r="AP5" s="89"/>
      <c r="AQ5" s="89"/>
      <c r="AR5" s="89"/>
      <c r="AS5" s="89"/>
      <c r="AT5" s="89"/>
      <c r="AU5" s="89"/>
    </row>
    <row r="6" spans="1:47">
      <c r="B6" s="15" t="s">
        <v>1105</v>
      </c>
      <c r="C6" s="15" t="s">
        <v>1106</v>
      </c>
      <c r="D6" s="15" t="s">
        <v>1107</v>
      </c>
      <c r="E6" s="15" t="s">
        <v>1108</v>
      </c>
      <c r="F6" s="15" t="s">
        <v>1109</v>
      </c>
      <c r="G6" s="307" t="s">
        <v>1110</v>
      </c>
      <c r="H6" s="307"/>
      <c r="I6" s="307" t="s">
        <v>1111</v>
      </c>
      <c r="J6" s="307"/>
      <c r="AL6" s="293" t="s">
        <v>1112</v>
      </c>
      <c r="AM6" s="294"/>
      <c r="AN6" s="295"/>
    </row>
    <row r="7" spans="1:47">
      <c r="B7" s="18">
        <v>1</v>
      </c>
      <c r="C7" s="19" t="s">
        <v>1113</v>
      </c>
      <c r="D7" s="18">
        <v>1</v>
      </c>
      <c r="E7" s="18">
        <f t="shared" ref="E7:E12" si="0">D7+F7-1</f>
        <v>1</v>
      </c>
      <c r="F7" s="18">
        <v>1</v>
      </c>
      <c r="G7" s="18" t="str">
        <f>DEC2HEX(I7,1)</f>
        <v>2</v>
      </c>
      <c r="H7" s="18" t="str">
        <f>CONCATENATE(DEC2HEX(J7,1)," ")</f>
        <v xml:space="preserve">1 </v>
      </c>
      <c r="I7" s="18">
        <v>2</v>
      </c>
      <c r="J7" s="18">
        <v>1</v>
      </c>
    </row>
    <row r="8" spans="1:47" ht="15.75" thickBot="1">
      <c r="B8" s="18">
        <v>2</v>
      </c>
      <c r="C8" s="19" t="s">
        <v>1114</v>
      </c>
      <c r="D8" s="18">
        <f>E7+1</f>
        <v>2</v>
      </c>
      <c r="E8" s="18">
        <f t="shared" si="0"/>
        <v>2</v>
      </c>
      <c r="F8" s="18">
        <v>1</v>
      </c>
      <c r="G8" s="18" t="str">
        <f>DEC2HEX(I8,1)</f>
        <v>E</v>
      </c>
      <c r="H8" s="18" t="str">
        <f>CONCATENATE(DEC2HEX(J8,1)," ")</f>
        <v xml:space="preserve">0 </v>
      </c>
      <c r="I8" s="154">
        <v>14</v>
      </c>
      <c r="J8" s="154">
        <v>0</v>
      </c>
    </row>
    <row r="9" spans="1:47">
      <c r="B9" s="18">
        <v>3</v>
      </c>
      <c r="C9" s="19" t="s">
        <v>1115</v>
      </c>
      <c r="D9" s="18">
        <f>E8+1</f>
        <v>3</v>
      </c>
      <c r="E9" s="18">
        <f t="shared" si="0"/>
        <v>4</v>
      </c>
      <c r="F9" s="18">
        <v>2</v>
      </c>
      <c r="G9" s="301" t="str">
        <f>CONCATENATE(MID(DEC2HEX(I9,F9*2),1,2)," ",MID(DEC2HEX(I9,F9*2),3,2)," ")</f>
        <v xml:space="preserve">00 00 </v>
      </c>
      <c r="H9" s="303"/>
      <c r="I9" s="312">
        <v>0</v>
      </c>
      <c r="J9" s="313"/>
      <c r="AL9" s="51" t="s">
        <v>1116</v>
      </c>
    </row>
    <row r="10" spans="1:47" ht="15.75" thickBot="1">
      <c r="B10" s="18">
        <v>4</v>
      </c>
      <c r="C10" s="19" t="s">
        <v>1117</v>
      </c>
      <c r="D10" s="18">
        <f>E9+1</f>
        <v>5</v>
      </c>
      <c r="E10" s="18">
        <f t="shared" si="0"/>
        <v>5</v>
      </c>
      <c r="F10" s="18">
        <v>1</v>
      </c>
      <c r="G10" s="301" t="str">
        <f>CONCATENATE(DEC2HEX(I10,F10*2)," ")</f>
        <v xml:space="preserve">80 </v>
      </c>
      <c r="H10" s="303"/>
      <c r="I10" s="314">
        <v>128</v>
      </c>
      <c r="J10" s="315"/>
      <c r="AL10" s="51" t="s">
        <v>1118</v>
      </c>
    </row>
    <row r="11" spans="1:47">
      <c r="B11" s="18">
        <v>5</v>
      </c>
      <c r="C11" s="19" t="s">
        <v>1119</v>
      </c>
      <c r="D11" s="18">
        <f>E10+1</f>
        <v>6</v>
      </c>
      <c r="E11" s="18">
        <f t="shared" si="0"/>
        <v>6</v>
      </c>
      <c r="F11" s="18">
        <v>1</v>
      </c>
      <c r="G11" s="303" t="str">
        <f t="shared" ref="G11:G12" si="1">CONCATENATE(DEC2HEX(I11,F11*2)," ")</f>
        <v xml:space="preserve">12 </v>
      </c>
      <c r="H11" s="304"/>
      <c r="I11" s="318">
        <v>18</v>
      </c>
      <c r="J11" s="318"/>
    </row>
    <row r="12" spans="1:47">
      <c r="B12" s="18">
        <v>6</v>
      </c>
      <c r="C12" s="19" t="s">
        <v>1120</v>
      </c>
      <c r="D12" s="18">
        <f>E11+1</f>
        <v>7</v>
      </c>
      <c r="E12" s="18">
        <f t="shared" si="0"/>
        <v>7</v>
      </c>
      <c r="F12" s="18">
        <v>1</v>
      </c>
      <c r="G12" s="303" t="str">
        <f t="shared" si="1"/>
        <v xml:space="preserve">01 </v>
      </c>
      <c r="H12" s="304"/>
      <c r="I12" s="302">
        <v>1</v>
      </c>
      <c r="J12" s="302"/>
    </row>
    <row r="15" spans="1:47" ht="18.75">
      <c r="B15" s="14" t="s">
        <v>1121</v>
      </c>
    </row>
    <row r="16" spans="1:47">
      <c r="O16" s="23"/>
      <c r="P16" s="23"/>
    </row>
    <row r="17" spans="1:40" ht="15.75" thickBot="1">
      <c r="B17" s="15" t="s">
        <v>1105</v>
      </c>
      <c r="C17" s="15" t="s">
        <v>1106</v>
      </c>
      <c r="D17" s="15" t="s">
        <v>1107</v>
      </c>
      <c r="E17" s="15" t="s">
        <v>1108</v>
      </c>
      <c r="F17" s="15" t="s">
        <v>1109</v>
      </c>
      <c r="G17" s="307" t="s">
        <v>1110</v>
      </c>
      <c r="H17" s="307"/>
      <c r="I17" s="319" t="s">
        <v>1111</v>
      </c>
      <c r="J17" s="319"/>
      <c r="N17" s="73"/>
      <c r="O17" s="111"/>
      <c r="P17" s="23"/>
      <c r="AL17" s="293" t="s">
        <v>1112</v>
      </c>
      <c r="AM17" s="294"/>
      <c r="AN17" s="295"/>
    </row>
    <row r="18" spans="1:40">
      <c r="B18" s="18">
        <v>7</v>
      </c>
      <c r="C18" s="19" t="s">
        <v>1122</v>
      </c>
      <c r="D18" s="18">
        <f>E12+1</f>
        <v>8</v>
      </c>
      <c r="E18" s="18">
        <f t="shared" ref="E18:E24" si="2">D18+F18-1</f>
        <v>11</v>
      </c>
      <c r="F18" s="18">
        <v>4</v>
      </c>
      <c r="G18" s="301" t="str">
        <f>CONCATENATE(MID(DEC2HEX(I18,F18*2),1,2)," ",MID(DEC2HEX(I18,F18*2),3,2)," ",MID(DEC2HEX(I18,F18*2),5,2)," ",MID(DEC2HEX(I18,F18*2),7,2)," ")</f>
        <v xml:space="preserve">00 01 8A F5 </v>
      </c>
      <c r="H18" s="303"/>
      <c r="I18" s="312">
        <v>101109</v>
      </c>
      <c r="J18" s="313"/>
      <c r="AL18" s="51" t="s">
        <v>1123</v>
      </c>
    </row>
    <row r="19" spans="1:40" ht="15.75" thickBot="1">
      <c r="B19" s="18">
        <v>8</v>
      </c>
      <c r="C19" s="19" t="s">
        <v>1124</v>
      </c>
      <c r="D19" s="18">
        <f>E18+1</f>
        <v>12</v>
      </c>
      <c r="E19" s="18">
        <f t="shared" si="2"/>
        <v>19</v>
      </c>
      <c r="F19" s="18">
        <v>8</v>
      </c>
      <c r="G19" s="18" t="str">
        <f>CONCATENATE(MID(DEC2HEX(INT(I19/2^32),8),1,2)," ",MID(DEC2HEX(INT(I19/2^32),8),3,2)," ",MID(DEC2HEX(INT(I19/2^32),8),5,2)," ",MID(DEC2HEX(INT(I19/2^32),8),7,2)," ")</f>
        <v xml:space="preserve">00 00 00 00 </v>
      </c>
      <c r="H19" s="149" t="str">
        <f>CONCATENATE(MID(DEC2HEX(MOD(I19,2^32),8),1,2)," ",MID(DEC2HEX(MOD(I19,2^32),8),3,2)," ",MID(DEC2HEX(MOD(I19,2^32),8),5,2)," ",MID(DEC2HEX(MOD(I19,2^32),8),7,2)," ")</f>
        <v xml:space="preserve">00 00 00 00 </v>
      </c>
      <c r="I19" s="320">
        <v>0</v>
      </c>
      <c r="J19" s="321"/>
      <c r="L19" s="110"/>
      <c r="M19" s="112"/>
      <c r="AL19" s="51" t="s">
        <v>1125</v>
      </c>
    </row>
    <row r="20" spans="1:40">
      <c r="B20" s="18">
        <v>9</v>
      </c>
      <c r="C20" s="19" t="s">
        <v>78</v>
      </c>
      <c r="D20" s="18">
        <f>E19+1</f>
        <v>20</v>
      </c>
      <c r="E20" s="18">
        <f t="shared" si="2"/>
        <v>20</v>
      </c>
      <c r="F20" s="18">
        <v>1</v>
      </c>
      <c r="G20" s="303" t="str">
        <f>CONCATENATE(DEC2HEX(I20,F20*2)," ")</f>
        <v xml:space="preserve">01 </v>
      </c>
      <c r="H20" s="304"/>
      <c r="I20" s="322">
        <f>'Betslip 1x2'!$M$5</f>
        <v>1</v>
      </c>
      <c r="J20" s="323"/>
      <c r="AL20" s="150" t="str">
        <f>IF(ISNA(VLOOKUP(MID(G20,1,2),'IGS Configuration Values'!$B$45:$D$46,2,FALSE))=TRUE,"Invalid ABP Game ID",VLOOKUP(MID(G20,1,2),'IGS Configuration Values'!$B$45:$D$46,2,FALSE))</f>
        <v>1X2</v>
      </c>
      <c r="AM20" s="151"/>
      <c r="AN20" s="151"/>
    </row>
    <row r="21" spans="1:40" ht="15.75" thickBot="1">
      <c r="B21" s="18">
        <v>10</v>
      </c>
      <c r="C21" s="19" t="s">
        <v>1126</v>
      </c>
      <c r="D21" s="18">
        <f>E20+1</f>
        <v>21</v>
      </c>
      <c r="E21" s="18">
        <f t="shared" si="2"/>
        <v>22</v>
      </c>
      <c r="F21" s="18">
        <v>2</v>
      </c>
      <c r="G21" s="303" t="str">
        <f>CONCATENATE(MID(DEC2HEX(I21,F21*2),1,2)," ",MID(DEC2HEX(I21,F21*2),3,2)," ")</f>
        <v xml:space="preserve">00 00 </v>
      </c>
      <c r="H21" s="304"/>
      <c r="I21" s="316">
        <f>'Betslip 1x2'!M11</f>
        <v>0</v>
      </c>
      <c r="J21" s="317"/>
      <c r="AL21" s="151" t="str">
        <f>IF(I21=1,"Simple Bet",IF(AND(I21=I24,I21&gt;1),"Combined Bet",IF(I24&gt;I21,"Multiple Bet","Invalid Bet Type")))</f>
        <v>Invalid Bet Type</v>
      </c>
      <c r="AM21" s="151"/>
      <c r="AN21" s="151"/>
    </row>
    <row r="22" spans="1:40" ht="15.75" thickBot="1">
      <c r="B22" s="196">
        <v>11</v>
      </c>
      <c r="C22" s="197" t="s">
        <v>1127</v>
      </c>
      <c r="D22" s="196">
        <f t="shared" ref="D22:D24" si="3">E21+1</f>
        <v>23</v>
      </c>
      <c r="E22" s="196">
        <f t="shared" si="2"/>
        <v>26</v>
      </c>
      <c r="F22" s="196">
        <v>4</v>
      </c>
      <c r="G22" s="308" t="str">
        <f>CONCATENATE(MID(DEC2HEX(I22,F22*2),1,2)," ",MID(DEC2HEX(I22,F22*2),3,2)," ",MID(DEC2HEX(I22,F22*2),5,2)," ",MID(DEC2HEX(I22,F22*2),7,2)," ")</f>
        <v xml:space="preserve">3B 9A C9 FF </v>
      </c>
      <c r="H22" s="309"/>
      <c r="I22" s="310">
        <v>999999999</v>
      </c>
      <c r="J22" s="311"/>
      <c r="AL22" s="51" t="s">
        <v>1128</v>
      </c>
    </row>
    <row r="23" spans="1:40">
      <c r="B23" s="18">
        <v>12</v>
      </c>
      <c r="C23" s="19" t="s">
        <v>1129</v>
      </c>
      <c r="D23" s="18">
        <f t="shared" si="3"/>
        <v>27</v>
      </c>
      <c r="E23" s="18">
        <f t="shared" si="2"/>
        <v>30</v>
      </c>
      <c r="F23" s="18">
        <v>4</v>
      </c>
      <c r="G23" s="303" t="str">
        <f>CONCATENATE(MID(DEC2HEX(I23,F23*2),1,2)," ",MID(DEC2HEX(I23,F23*2),3,2)," ",MID(DEC2HEX(I23,F23*2),5,2)," ",MID(DEC2HEX(I23,F23*2),7,2)," ")</f>
        <v xml:space="preserve">00 00 00 00 </v>
      </c>
      <c r="H23" s="304"/>
      <c r="I23" s="305">
        <f>'Betslip 1x2'!M14</f>
        <v>0</v>
      </c>
      <c r="J23" s="306"/>
      <c r="AL23" s="51"/>
    </row>
    <row r="24" spans="1:40">
      <c r="B24" s="18">
        <v>13</v>
      </c>
      <c r="C24" s="19" t="s">
        <v>1130</v>
      </c>
      <c r="D24" s="18">
        <f t="shared" si="3"/>
        <v>31</v>
      </c>
      <c r="E24" s="18">
        <f t="shared" si="2"/>
        <v>31</v>
      </c>
      <c r="F24" s="18">
        <v>1</v>
      </c>
      <c r="G24" s="303" t="str">
        <f>CONCATENATE(DEC2HEX(I24,F24*2)," ")</f>
        <v xml:space="preserve">00 </v>
      </c>
      <c r="H24" s="304"/>
      <c r="I24" s="305">
        <f>'Betslip 1x2'!M43</f>
        <v>0</v>
      </c>
      <c r="J24" s="306"/>
      <c r="AL24" s="51"/>
    </row>
    <row r="27" spans="1:40" ht="18.75">
      <c r="B27" s="14" t="s">
        <v>1131</v>
      </c>
    </row>
    <row r="29" spans="1:40">
      <c r="B29" s="15" t="s">
        <v>1105</v>
      </c>
      <c r="C29" s="15" t="s">
        <v>1106</v>
      </c>
      <c r="D29" s="15" t="s">
        <v>1107</v>
      </c>
      <c r="E29" s="15" t="s">
        <v>1108</v>
      </c>
      <c r="F29" s="15" t="s">
        <v>1109</v>
      </c>
      <c r="G29" s="307" t="s">
        <v>1110</v>
      </c>
      <c r="H29" s="307"/>
      <c r="I29" s="307" t="s">
        <v>1111</v>
      </c>
      <c r="J29" s="307"/>
      <c r="AL29" s="293" t="s">
        <v>1112</v>
      </c>
      <c r="AM29" s="294"/>
      <c r="AN29" s="295"/>
    </row>
    <row r="30" spans="1:40">
      <c r="A30" s="255">
        <v>1</v>
      </c>
      <c r="B30" s="18">
        <v>14</v>
      </c>
      <c r="C30" s="19" t="s">
        <v>1132</v>
      </c>
      <c r="D30" s="18">
        <f>E24+1</f>
        <v>32</v>
      </c>
      <c r="E30" s="18">
        <f>D30+F30-1</f>
        <v>33</v>
      </c>
      <c r="F30" s="18">
        <v>2</v>
      </c>
      <c r="G30" s="301" t="str">
        <f>CONCATENATE(MID(DEC2HEX(I30,F30*2),1,2)," ",MID(DEC2HEX(I30,F30*2),3,2)," ")</f>
        <v xml:space="preserve">00 01 </v>
      </c>
      <c r="H30" s="301"/>
      <c r="I30" s="302">
        <f>'Betslip 1x2'!$M$8</f>
        <v>1</v>
      </c>
      <c r="J30" s="302"/>
      <c r="AK30" s="51"/>
    </row>
    <row r="31" spans="1:40">
      <c r="A31" s="255"/>
      <c r="B31" s="18">
        <v>15</v>
      </c>
      <c r="C31" s="19" t="s">
        <v>1055</v>
      </c>
      <c r="D31" s="18">
        <f>E30+1</f>
        <v>34</v>
      </c>
      <c r="E31" s="18">
        <f t="shared" ref="E31:E61" si="4">D31+F31-1</f>
        <v>35</v>
      </c>
      <c r="F31" s="18">
        <v>2</v>
      </c>
      <c r="G31" s="301" t="str">
        <f t="shared" ref="G31:G61" si="5">CONCATENATE(MID(DEC2HEX(I31,F31*2),1,2)," ",MID(DEC2HEX(I31,F31*2),3,2)," ")</f>
        <v xml:space="preserve">00 00 </v>
      </c>
      <c r="H31" s="301"/>
      <c r="I31" s="302">
        <f>IF(ISERROR('Betslip 1x2'!E18)=TRUE,0,'Betslip 1x2'!E18)</f>
        <v>0</v>
      </c>
      <c r="J31" s="302"/>
      <c r="K31" s="26" t="e">
        <f>IF(VLOOKUP($I31,EventMarket,2,FALSE)=0,"",VLOOKUP($I31,EventMarket,2,FALSE))</f>
        <v>#REF!</v>
      </c>
      <c r="L31" s="26" t="e">
        <f>IF(VLOOKUP($I31,EventMarket,3,FALSE)=0,"",VLOOKUP($I31,EventMarket,3,FALSE))</f>
        <v>#REF!</v>
      </c>
      <c r="M31" s="26" t="e">
        <f>IF(VLOOKUP($I31,EventMarket,4,FALSE)=0,"",VLOOKUP($I31,EventMarket,4,FALSE))</f>
        <v>#REF!</v>
      </c>
      <c r="N31" s="26" t="e">
        <f>IF(VLOOKUP($I31,EventMarket,5,FALSE)=0,"",VLOOKUP($I31,EventMarket,5,FALSE))</f>
        <v>#REF!</v>
      </c>
      <c r="O31" s="26" t="e">
        <f>IF(VLOOKUP($I31,EventMarket,6,FALSE)=0,"",VLOOKUP($I31,EventMarket,6,FALSE))</f>
        <v>#REF!</v>
      </c>
      <c r="P31" s="26" t="e">
        <f>IF(VLOOKUP($I31,EventMarket,7,FALSE)=0,"",VLOOKUP($I31,EventMarket,7,FALSE))</f>
        <v>#REF!</v>
      </c>
      <c r="Q31" s="26" t="e">
        <f>IF(VLOOKUP($I31,EventMarket,8,FALSE)=0,"",VLOOKUP($I31,EventMarket,8,FALSE))</f>
        <v>#REF!</v>
      </c>
      <c r="R31" s="26" t="e">
        <f>IF(VLOOKUP($I31,EventMarket,9,FALSE)=0,"",VLOOKUP($I31,EventMarket,9,FALSE))</f>
        <v>#REF!</v>
      </c>
      <c r="S31" s="4" t="e">
        <f>IF(VLOOKUP($I31,EventMarket,10,FALSE)=0,"",VLOOKUP($I31,EventMarket,10,FALSE))</f>
        <v>#REF!</v>
      </c>
      <c r="AK31" s="51"/>
    </row>
    <row r="32" spans="1:40">
      <c r="A32" s="255"/>
      <c r="B32" s="18">
        <v>16</v>
      </c>
      <c r="C32" s="19" t="s">
        <v>1133</v>
      </c>
      <c r="D32" s="18">
        <f t="shared" ref="D32:D61" si="6">E31+1</f>
        <v>36</v>
      </c>
      <c r="E32" s="18">
        <f t="shared" si="4"/>
        <v>37</v>
      </c>
      <c r="F32" s="18">
        <v>2</v>
      </c>
      <c r="G32" s="301" t="str">
        <f t="shared" si="5"/>
        <v xml:space="preserve">00 00 </v>
      </c>
      <c r="H32" s="301"/>
      <c r="I32" s="302">
        <f>IF('Betslip 1x2'!M18="ERRO",0,'Betslip 1x2'!M18)</f>
        <v>0</v>
      </c>
      <c r="J32" s="302"/>
      <c r="K32" s="4" t="e">
        <f>IF(VLOOKUP($I32,MarketOutcome,3,FALSE)=0,"",VLOOKUP($I32,MarketOutcome,3,FALSE))</f>
        <v>#REF!</v>
      </c>
      <c r="L32" s="4" t="e">
        <f>IF(VLOOKUP($I32,MarketOutcome,4,FALSE)=0,"",VLOOKUP($I32,MarketOutcome,4,FALSE))</f>
        <v>#REF!</v>
      </c>
      <c r="M32" s="4" t="e">
        <f>IF(VLOOKUP($I32,MarketOutcome,5,FALSE)=0,"",VLOOKUP($I32,MarketOutcome,5,FALSE))</f>
        <v>#REF!</v>
      </c>
      <c r="N32" s="4" t="e">
        <f>IF(VLOOKUP($I32,MarketOutcome,6,FALSE)=0,"",VLOOKUP($I32,MarketOutcome,6,FALSE))</f>
        <v>#REF!</v>
      </c>
      <c r="O32" s="4" t="e">
        <f>IF(VLOOKUP($I32,MarketOutcome,7,FALSE)=0,"",VLOOKUP($I32,MarketOutcome,7,FALSE))</f>
        <v>#REF!</v>
      </c>
      <c r="P32" s="4" t="e">
        <f>IF(VLOOKUP($I32,MarketOutcome,8,FALSE)=0,"",VLOOKUP($I32,MarketOutcome,8,FALSE))</f>
        <v>#REF!</v>
      </c>
      <c r="Q32" s="4" t="e">
        <f>IF(VLOOKUP($I32,MarketOutcome,9,FALSE)=0,"",VLOOKUP($I32,MarketOutcome,9,FALSE))</f>
        <v>#REF!</v>
      </c>
      <c r="R32" s="4" t="e">
        <f>IF(VLOOKUP($I32,MarketOutcome,10,FALSE)=0,"",VLOOKUP($I32,MarketOutcome,10,FALSE))</f>
        <v>#REF!</v>
      </c>
      <c r="S32" s="4" t="e">
        <f>IF(VLOOKUP($I32,MarketOutcome,11,FALSE)=0,"",VLOOKUP($I32,MarketOutcome,11,FALSE))</f>
        <v>#REF!</v>
      </c>
      <c r="T32" s="4" t="e">
        <f>IF(VLOOKUP($I32,MarketOutcome,12,FALSE)=0,"",VLOOKUP($I32,MarketOutcome,12,FALSE))</f>
        <v>#REF!</v>
      </c>
      <c r="U32" s="4" t="e">
        <f>IF(VLOOKUP($I32,MarketOutcome,13,FALSE)=0,"",VLOOKUP($I32,MarketOutcome,13,FALSE))</f>
        <v>#REF!</v>
      </c>
      <c r="V32" s="4" t="e">
        <f>IF(VLOOKUP($I32,MarketOutcome,14,FALSE)=0,"",VLOOKUP($I32,MarketOutcome,14,FALSE))</f>
        <v>#REF!</v>
      </c>
      <c r="W32" s="4" t="e">
        <f>IF(VLOOKUP($I32,MarketOutcome,15,FALSE)=0,"",VLOOKUP($I32,MarketOutcome,15,FALSE))</f>
        <v>#REF!</v>
      </c>
      <c r="X32" s="4" t="e">
        <f>IF(VLOOKUP($I32,MarketOutcome,16,FALSE)=0,"",VLOOKUP($I32,MarketOutcome,16,FALSE))</f>
        <v>#REF!</v>
      </c>
      <c r="Y32" s="4" t="e">
        <f>IF(VLOOKUP($I32,MarketOutcome,17,FALSE)=0,"",VLOOKUP($I32,MarketOutcome,17,FALSE))</f>
        <v>#REF!</v>
      </c>
      <c r="Z32" s="4" t="e">
        <f>IF(VLOOKUP($I32,MarketOutcome,18,FALSE)=0,"",VLOOKUP($I32,MarketOutcome,18,FALSE))</f>
        <v>#REF!</v>
      </c>
      <c r="AA32" s="4" t="e">
        <f>IF(VLOOKUP($I32,MarketOutcome,19,FALSE)=0,"",VLOOKUP($I32,MarketOutcome,19,FALSE))</f>
        <v>#REF!</v>
      </c>
      <c r="AB32" s="4" t="e">
        <f>IF(VLOOKUP($I32,MarketOutcome,20,FALSE)=0,"",VLOOKUP($I32,MarketOutcome,20,FALSE))</f>
        <v>#REF!</v>
      </c>
      <c r="AC32" s="4" t="e">
        <f>IF(VLOOKUP($I32,MarketOutcome,21,FALSE)=0,"",VLOOKUP($I32,MarketOutcome,21,FALSE))</f>
        <v>#REF!</v>
      </c>
      <c r="AD32" s="4" t="e">
        <f>IF(VLOOKUP($I32,MarketOutcome,22,FALSE)=0,"",VLOOKUP($I32,MarketOutcome,22,FALSE))</f>
        <v>#REF!</v>
      </c>
      <c r="AE32" s="4" t="e">
        <f>IF(VLOOKUP($I32,MarketOutcome,23,FALSE)=0,"",VLOOKUP($I32,MarketOutcome,23,FALSE))</f>
        <v>#REF!</v>
      </c>
      <c r="AF32" s="4" t="e">
        <f>IF(VLOOKUP($I32,MarketOutcome,24,FALSE)=0,"",VLOOKUP($I32,MarketOutcome,24,FALSE))</f>
        <v>#REF!</v>
      </c>
      <c r="AG32" s="4" t="e">
        <f>IF(VLOOKUP($I32,MarketOutcome,25,FALSE)=0,"",VLOOKUP($I32,MarketOutcome,25,FALSE))</f>
        <v>#REF!</v>
      </c>
      <c r="AH32" s="4" t="e">
        <f>IF(VLOOKUP($I32,MarketOutcome,26,FALSE)=0,"",VLOOKUP($I32,MarketOutcome,26,FALSE))</f>
        <v>#REF!</v>
      </c>
      <c r="AI32" s="4" t="e">
        <f>IF(VLOOKUP($I32,MarketOutcome,27,FALSE)=0,"",VLOOKUP($I32,MarketOutcome,27,FALSE))</f>
        <v>#REF!</v>
      </c>
      <c r="AJ32" s="4" t="e">
        <f>IF(VLOOKUP($I32,MarketOutcome,28,FALSE)=0,"",VLOOKUP($I32,MarketOutcome,28,FALSE))</f>
        <v>#REF!</v>
      </c>
    </row>
    <row r="33" spans="1:37">
      <c r="A33" s="255"/>
      <c r="B33" s="18">
        <v>17</v>
      </c>
      <c r="C33" s="19" t="s">
        <v>1134</v>
      </c>
      <c r="D33" s="18">
        <f t="shared" si="6"/>
        <v>38</v>
      </c>
      <c r="E33" s="18">
        <f t="shared" si="4"/>
        <v>39</v>
      </c>
      <c r="F33" s="18">
        <v>2</v>
      </c>
      <c r="G33" s="301" t="str">
        <f t="shared" si="5"/>
        <v xml:space="preserve">00 00 </v>
      </c>
      <c r="H33" s="301"/>
      <c r="I33" s="302">
        <f>IF('Betslip 1x2'!N18="ERRO",0,'Betslip 1x2'!N18)</f>
        <v>0</v>
      </c>
      <c r="J33" s="302"/>
    </row>
    <row r="34" spans="1:37">
      <c r="A34" s="255">
        <v>2</v>
      </c>
      <c r="B34" s="5">
        <v>18</v>
      </c>
      <c r="C34" s="74" t="s">
        <v>1132</v>
      </c>
      <c r="D34" s="5">
        <f t="shared" si="6"/>
        <v>40</v>
      </c>
      <c r="E34" s="5">
        <f t="shared" si="4"/>
        <v>41</v>
      </c>
      <c r="F34" s="5">
        <v>2</v>
      </c>
      <c r="G34" s="299" t="str">
        <f t="shared" si="5"/>
        <v xml:space="preserve">00 01 </v>
      </c>
      <c r="H34" s="299"/>
      <c r="I34" s="300">
        <f>'Betslip 1x2'!$M$8</f>
        <v>1</v>
      </c>
      <c r="J34" s="300"/>
      <c r="AK34" s="51"/>
    </row>
    <row r="35" spans="1:37">
      <c r="A35" s="255"/>
      <c r="B35" s="5">
        <v>19</v>
      </c>
      <c r="C35" s="74" t="s">
        <v>1055</v>
      </c>
      <c r="D35" s="5">
        <f t="shared" si="6"/>
        <v>42</v>
      </c>
      <c r="E35" s="5">
        <f t="shared" si="4"/>
        <v>43</v>
      </c>
      <c r="F35" s="5">
        <v>2</v>
      </c>
      <c r="G35" s="299" t="str">
        <f t="shared" si="5"/>
        <v xml:space="preserve">00 00 </v>
      </c>
      <c r="H35" s="299"/>
      <c r="I35" s="300">
        <f>IF(ISERROR('Betslip 1x2'!E21)=TRUE,0,'Betslip 1x2'!E21)</f>
        <v>0</v>
      </c>
      <c r="J35" s="300"/>
      <c r="K35" s="26" t="e">
        <f>IF(VLOOKUP($I35,EventMarket,2,FALSE)=0,"",VLOOKUP($I35,EventMarket,2,FALSE))</f>
        <v>#REF!</v>
      </c>
      <c r="L35" s="26" t="e">
        <f>IF(VLOOKUP($I35,EventMarket,3,FALSE)=0,"",VLOOKUP($I35,EventMarket,3,FALSE))</f>
        <v>#REF!</v>
      </c>
      <c r="M35" s="26" t="e">
        <f>IF(VLOOKUP($I35,EventMarket,4,FALSE)=0,"",VLOOKUP($I35,EventMarket,4,FALSE))</f>
        <v>#REF!</v>
      </c>
      <c r="N35" s="26" t="e">
        <f>IF(VLOOKUP($I35,EventMarket,5,FALSE)=0,"",VLOOKUP($I35,EventMarket,5,FALSE))</f>
        <v>#REF!</v>
      </c>
      <c r="O35" s="26" t="e">
        <f>IF(VLOOKUP($I35,EventMarket,6,FALSE)=0,"",VLOOKUP($I35,EventMarket,6,FALSE))</f>
        <v>#REF!</v>
      </c>
      <c r="P35" s="26" t="e">
        <f>IF(VLOOKUP($I35,EventMarket,7,FALSE)=0,"",VLOOKUP($I35,EventMarket,7,FALSE))</f>
        <v>#REF!</v>
      </c>
      <c r="Q35" s="26" t="e">
        <f>IF(VLOOKUP($I35,EventMarket,8,FALSE)=0,"",VLOOKUP($I35,EventMarket,8,FALSE))</f>
        <v>#REF!</v>
      </c>
      <c r="R35" s="26" t="e">
        <f>IF(VLOOKUP($I35,EventMarket,9,FALSE)=0,"",VLOOKUP($I35,EventMarket,9,FALSE))</f>
        <v>#REF!</v>
      </c>
      <c r="S35" s="4" t="e">
        <f>IF(VLOOKUP($I35,EventMarket,10,FALSE)=0,"",VLOOKUP($I35,EventMarket,10,FALSE))</f>
        <v>#REF!</v>
      </c>
    </row>
    <row r="36" spans="1:37">
      <c r="A36" s="255"/>
      <c r="B36" s="5">
        <v>20</v>
      </c>
      <c r="C36" s="74" t="s">
        <v>1133</v>
      </c>
      <c r="D36" s="5">
        <f t="shared" si="6"/>
        <v>44</v>
      </c>
      <c r="E36" s="5">
        <f t="shared" si="4"/>
        <v>45</v>
      </c>
      <c r="F36" s="5">
        <v>2</v>
      </c>
      <c r="G36" s="299" t="str">
        <f t="shared" si="5"/>
        <v xml:space="preserve">00 00 </v>
      </c>
      <c r="H36" s="299"/>
      <c r="I36" s="300">
        <f>IF('Betslip 1x2'!M21="ERRO",0,'Betslip 1x2'!M21)</f>
        <v>0</v>
      </c>
      <c r="J36" s="300"/>
      <c r="K36" s="4" t="e">
        <f>IF(VLOOKUP($I36,MarketOutcome,3,FALSE)=0,"",VLOOKUP($I36,MarketOutcome,3,FALSE))</f>
        <v>#REF!</v>
      </c>
      <c r="L36" s="4" t="e">
        <f>IF(VLOOKUP($I36,MarketOutcome,4,FALSE)=0,"",VLOOKUP($I36,MarketOutcome,4,FALSE))</f>
        <v>#REF!</v>
      </c>
      <c r="M36" s="4" t="e">
        <f>IF(VLOOKUP($I36,MarketOutcome,5,FALSE)=0,"",VLOOKUP($I36,MarketOutcome,5,FALSE))</f>
        <v>#REF!</v>
      </c>
      <c r="N36" s="4" t="e">
        <f>IF(VLOOKUP($I36,MarketOutcome,6,FALSE)=0,"",VLOOKUP($I36,MarketOutcome,6,FALSE))</f>
        <v>#REF!</v>
      </c>
      <c r="O36" s="4" t="e">
        <f>IF(VLOOKUP($I36,MarketOutcome,7,FALSE)=0,"",VLOOKUP($I36,MarketOutcome,7,FALSE))</f>
        <v>#REF!</v>
      </c>
      <c r="P36" s="4" t="e">
        <f>IF(VLOOKUP($I36,MarketOutcome,8,FALSE)=0,"",VLOOKUP($I36,MarketOutcome,8,FALSE))</f>
        <v>#REF!</v>
      </c>
      <c r="Q36" s="4" t="e">
        <f>IF(VLOOKUP($I36,MarketOutcome,9,FALSE)=0,"",VLOOKUP($I36,MarketOutcome,9,FALSE))</f>
        <v>#REF!</v>
      </c>
      <c r="R36" s="4" t="e">
        <f>IF(VLOOKUP($I36,MarketOutcome,10,FALSE)=0,"",VLOOKUP($I36,MarketOutcome,10,FALSE))</f>
        <v>#REF!</v>
      </c>
      <c r="S36" s="4" t="e">
        <f>IF(VLOOKUP($I36,MarketOutcome,11,FALSE)=0,"",VLOOKUP($I36,MarketOutcome,11,FALSE))</f>
        <v>#REF!</v>
      </c>
      <c r="T36" s="4" t="e">
        <f>IF(VLOOKUP($I36,MarketOutcome,12,FALSE)=0,"",VLOOKUP($I36,MarketOutcome,12,FALSE))</f>
        <v>#REF!</v>
      </c>
      <c r="U36" s="4" t="e">
        <f>IF(VLOOKUP($I36,MarketOutcome,13,FALSE)=0,"",VLOOKUP($I36,MarketOutcome,13,FALSE))</f>
        <v>#REF!</v>
      </c>
      <c r="V36" s="4" t="e">
        <f>IF(VLOOKUP($I36,MarketOutcome,14,FALSE)=0,"",VLOOKUP($I36,MarketOutcome,14,FALSE))</f>
        <v>#REF!</v>
      </c>
      <c r="W36" s="4" t="e">
        <f>IF(VLOOKUP($I36,MarketOutcome,15,FALSE)=0,"",VLOOKUP($I36,MarketOutcome,15,FALSE))</f>
        <v>#REF!</v>
      </c>
      <c r="X36" s="4" t="e">
        <f>IF(VLOOKUP($I36,MarketOutcome,16,FALSE)=0,"",VLOOKUP($I36,MarketOutcome,16,FALSE))</f>
        <v>#REF!</v>
      </c>
      <c r="Y36" s="4" t="e">
        <f>IF(VLOOKUP($I36,MarketOutcome,17,FALSE)=0,"",VLOOKUP($I36,MarketOutcome,17,FALSE))</f>
        <v>#REF!</v>
      </c>
      <c r="Z36" s="4" t="e">
        <f>IF(VLOOKUP($I36,MarketOutcome,18,FALSE)=0,"",VLOOKUP($I36,MarketOutcome,18,FALSE))</f>
        <v>#REF!</v>
      </c>
      <c r="AA36" s="4" t="e">
        <f>IF(VLOOKUP($I36,MarketOutcome,19,FALSE)=0,"",VLOOKUP($I36,MarketOutcome,19,FALSE))</f>
        <v>#REF!</v>
      </c>
      <c r="AB36" s="4" t="e">
        <f>IF(VLOOKUP($I36,MarketOutcome,20,FALSE)=0,"",VLOOKUP($I36,MarketOutcome,20,FALSE))</f>
        <v>#REF!</v>
      </c>
      <c r="AC36" s="4" t="e">
        <f>IF(VLOOKUP($I36,MarketOutcome,21,FALSE)=0,"",VLOOKUP($I36,MarketOutcome,21,FALSE))</f>
        <v>#REF!</v>
      </c>
      <c r="AD36" s="4" t="e">
        <f>IF(VLOOKUP($I36,MarketOutcome,22,FALSE)=0,"",VLOOKUP($I36,MarketOutcome,22,FALSE))</f>
        <v>#REF!</v>
      </c>
      <c r="AE36" s="4" t="e">
        <f>IF(VLOOKUP($I36,MarketOutcome,23,FALSE)=0,"",VLOOKUP($I36,MarketOutcome,23,FALSE))</f>
        <v>#REF!</v>
      </c>
      <c r="AF36" s="4" t="e">
        <f>IF(VLOOKUP($I36,MarketOutcome,24,FALSE)=0,"",VLOOKUP($I36,MarketOutcome,24,FALSE))</f>
        <v>#REF!</v>
      </c>
      <c r="AG36" s="4" t="e">
        <f>IF(VLOOKUP($I36,MarketOutcome,25,FALSE)=0,"",VLOOKUP($I36,MarketOutcome,25,FALSE))</f>
        <v>#REF!</v>
      </c>
      <c r="AH36" s="4" t="e">
        <f>IF(VLOOKUP($I36,MarketOutcome,26,FALSE)=0,"",VLOOKUP($I36,MarketOutcome,26,FALSE))</f>
        <v>#REF!</v>
      </c>
      <c r="AI36" s="4" t="e">
        <f>IF(VLOOKUP($I36,MarketOutcome,27,FALSE)=0,"",VLOOKUP($I36,MarketOutcome,27,FALSE))</f>
        <v>#REF!</v>
      </c>
      <c r="AJ36" s="4" t="e">
        <f>IF(VLOOKUP($I36,MarketOutcome,28,FALSE)=0,"",VLOOKUP($I36,MarketOutcome,28,FALSE))</f>
        <v>#REF!</v>
      </c>
    </row>
    <row r="37" spans="1:37">
      <c r="A37" s="255"/>
      <c r="B37" s="5">
        <v>21</v>
      </c>
      <c r="C37" s="74" t="s">
        <v>1134</v>
      </c>
      <c r="D37" s="5">
        <f t="shared" si="6"/>
        <v>46</v>
      </c>
      <c r="E37" s="5">
        <f t="shared" si="4"/>
        <v>47</v>
      </c>
      <c r="F37" s="5">
        <v>2</v>
      </c>
      <c r="G37" s="299" t="str">
        <f t="shared" si="5"/>
        <v xml:space="preserve">00 00 </v>
      </c>
      <c r="H37" s="299"/>
      <c r="I37" s="300">
        <f>IF('Betslip 1x2'!N21="ERRO",0,'Betslip 1x2'!N21)</f>
        <v>0</v>
      </c>
      <c r="J37" s="300"/>
    </row>
    <row r="38" spans="1:37">
      <c r="A38" s="255">
        <v>3</v>
      </c>
      <c r="B38" s="18">
        <v>22</v>
      </c>
      <c r="C38" s="19" t="s">
        <v>1132</v>
      </c>
      <c r="D38" s="18">
        <f t="shared" si="6"/>
        <v>48</v>
      </c>
      <c r="E38" s="18">
        <f t="shared" si="4"/>
        <v>49</v>
      </c>
      <c r="F38" s="18">
        <v>2</v>
      </c>
      <c r="G38" s="301" t="str">
        <f t="shared" si="5"/>
        <v xml:space="preserve">00 01 </v>
      </c>
      <c r="H38" s="301"/>
      <c r="I38" s="302">
        <f>'Betslip 1x2'!$M$8</f>
        <v>1</v>
      </c>
      <c r="J38" s="302"/>
      <c r="AK38" s="51"/>
    </row>
    <row r="39" spans="1:37">
      <c r="A39" s="255"/>
      <c r="B39" s="18">
        <v>23</v>
      </c>
      <c r="C39" s="19" t="s">
        <v>1055</v>
      </c>
      <c r="D39" s="18">
        <f t="shared" si="6"/>
        <v>50</v>
      </c>
      <c r="E39" s="18">
        <f t="shared" si="4"/>
        <v>51</v>
      </c>
      <c r="F39" s="18">
        <v>2</v>
      </c>
      <c r="G39" s="301" t="str">
        <f t="shared" si="5"/>
        <v xml:space="preserve">00 00 </v>
      </c>
      <c r="H39" s="301"/>
      <c r="I39" s="302">
        <f>IF(ISERROR('Betslip 1x2'!E24)=TRUE,0,'Betslip 1x2'!E24)</f>
        <v>0</v>
      </c>
      <c r="J39" s="302"/>
      <c r="K39" s="26" t="e">
        <f>IF(VLOOKUP($I39,EventMarket,2,FALSE)=0,"",VLOOKUP($I39,EventMarket,2,FALSE))</f>
        <v>#REF!</v>
      </c>
      <c r="L39" s="26" t="e">
        <f>IF(VLOOKUP($I39,EventMarket,3,FALSE)=0,"",VLOOKUP($I39,EventMarket,3,FALSE))</f>
        <v>#REF!</v>
      </c>
      <c r="M39" s="26" t="e">
        <f>IF(VLOOKUP($I39,EventMarket,4,FALSE)=0,"",VLOOKUP($I39,EventMarket,4,FALSE))</f>
        <v>#REF!</v>
      </c>
      <c r="N39" s="26" t="e">
        <f>IF(VLOOKUP($I39,EventMarket,5,FALSE)=0,"",VLOOKUP($I39,EventMarket,5,FALSE))</f>
        <v>#REF!</v>
      </c>
      <c r="O39" s="26" t="e">
        <f>IF(VLOOKUP($I39,EventMarket,6,FALSE)=0,"",VLOOKUP($I39,EventMarket,6,FALSE))</f>
        <v>#REF!</v>
      </c>
      <c r="P39" s="26" t="e">
        <f>IF(VLOOKUP($I39,EventMarket,7,FALSE)=0,"",VLOOKUP($I39,EventMarket,7,FALSE))</f>
        <v>#REF!</v>
      </c>
      <c r="Q39" s="26" t="e">
        <f>IF(VLOOKUP($I39,EventMarket,8,FALSE)=0,"",VLOOKUP($I39,EventMarket,8,FALSE))</f>
        <v>#REF!</v>
      </c>
      <c r="R39" s="26" t="e">
        <f>IF(VLOOKUP($I39,EventMarket,9,FALSE)=0,"",VLOOKUP($I39,EventMarket,9,FALSE))</f>
        <v>#REF!</v>
      </c>
      <c r="S39" s="4" t="e">
        <f>IF(VLOOKUP($I39,EventMarket,10,FALSE)=0,"",VLOOKUP($I39,EventMarket,10,FALSE))</f>
        <v>#REF!</v>
      </c>
    </row>
    <row r="40" spans="1:37">
      <c r="A40" s="255"/>
      <c r="B40" s="18">
        <v>24</v>
      </c>
      <c r="C40" s="19" t="s">
        <v>1133</v>
      </c>
      <c r="D40" s="18">
        <f t="shared" si="6"/>
        <v>52</v>
      </c>
      <c r="E40" s="18">
        <f t="shared" si="4"/>
        <v>53</v>
      </c>
      <c r="F40" s="18">
        <v>2</v>
      </c>
      <c r="G40" s="301" t="str">
        <f t="shared" si="5"/>
        <v xml:space="preserve">00 00 </v>
      </c>
      <c r="H40" s="301"/>
      <c r="I40" s="302">
        <f>IF('Betslip 1x2'!M24="ERRO",0,'Betslip 1x2'!M24)</f>
        <v>0</v>
      </c>
      <c r="J40" s="302"/>
      <c r="K40" s="4" t="e">
        <f>IF(VLOOKUP($I40,MarketOutcome,3,FALSE)=0,"",VLOOKUP($I40,MarketOutcome,3,FALSE))</f>
        <v>#REF!</v>
      </c>
      <c r="L40" s="4" t="e">
        <f>IF(VLOOKUP($I40,MarketOutcome,4,FALSE)=0,"",VLOOKUP($I40,MarketOutcome,4,FALSE))</f>
        <v>#REF!</v>
      </c>
      <c r="M40" s="4" t="e">
        <f>IF(VLOOKUP($I40,MarketOutcome,5,FALSE)=0,"",VLOOKUP($I40,MarketOutcome,5,FALSE))</f>
        <v>#REF!</v>
      </c>
      <c r="N40" s="4" t="e">
        <f>IF(VLOOKUP($I40,MarketOutcome,6,FALSE)=0,"",VLOOKUP($I40,MarketOutcome,6,FALSE))</f>
        <v>#REF!</v>
      </c>
      <c r="O40" s="4" t="e">
        <f>IF(VLOOKUP($I40,MarketOutcome,7,FALSE)=0,"",VLOOKUP($I40,MarketOutcome,7,FALSE))</f>
        <v>#REF!</v>
      </c>
      <c r="P40" s="4" t="e">
        <f>IF(VLOOKUP($I40,MarketOutcome,8,FALSE)=0,"",VLOOKUP($I40,MarketOutcome,8,FALSE))</f>
        <v>#REF!</v>
      </c>
      <c r="Q40" s="4" t="e">
        <f>IF(VLOOKUP($I40,MarketOutcome,9,FALSE)=0,"",VLOOKUP($I40,MarketOutcome,9,FALSE))</f>
        <v>#REF!</v>
      </c>
      <c r="R40" s="4" t="e">
        <f>IF(VLOOKUP($I40,MarketOutcome,10,FALSE)=0,"",VLOOKUP($I40,MarketOutcome,10,FALSE))</f>
        <v>#REF!</v>
      </c>
      <c r="S40" s="4" t="e">
        <f>IF(VLOOKUP($I40,MarketOutcome,11,FALSE)=0,"",VLOOKUP($I40,MarketOutcome,11,FALSE))</f>
        <v>#REF!</v>
      </c>
      <c r="T40" s="4" t="e">
        <f>IF(VLOOKUP($I40,MarketOutcome,12,FALSE)=0,"",VLOOKUP($I40,MarketOutcome,12,FALSE))</f>
        <v>#REF!</v>
      </c>
      <c r="U40" s="4" t="e">
        <f>IF(VLOOKUP($I40,MarketOutcome,13,FALSE)=0,"",VLOOKUP($I40,MarketOutcome,13,FALSE))</f>
        <v>#REF!</v>
      </c>
      <c r="V40" s="4" t="e">
        <f>IF(VLOOKUP($I40,MarketOutcome,14,FALSE)=0,"",VLOOKUP($I40,MarketOutcome,14,FALSE))</f>
        <v>#REF!</v>
      </c>
      <c r="W40" s="4" t="e">
        <f>IF(VLOOKUP($I40,MarketOutcome,15,FALSE)=0,"",VLOOKUP($I40,MarketOutcome,15,FALSE))</f>
        <v>#REF!</v>
      </c>
      <c r="X40" s="4" t="e">
        <f>IF(VLOOKUP($I40,MarketOutcome,16,FALSE)=0,"",VLOOKUP($I40,MarketOutcome,16,FALSE))</f>
        <v>#REF!</v>
      </c>
      <c r="Y40" s="4" t="e">
        <f>IF(VLOOKUP($I40,MarketOutcome,17,FALSE)=0,"",VLOOKUP($I40,MarketOutcome,17,FALSE))</f>
        <v>#REF!</v>
      </c>
      <c r="Z40" s="4" t="e">
        <f>IF(VLOOKUP($I40,MarketOutcome,18,FALSE)=0,"",VLOOKUP($I40,MarketOutcome,18,FALSE))</f>
        <v>#REF!</v>
      </c>
      <c r="AA40" s="4" t="e">
        <f>IF(VLOOKUP($I40,MarketOutcome,19,FALSE)=0,"",VLOOKUP($I40,MarketOutcome,19,FALSE))</f>
        <v>#REF!</v>
      </c>
      <c r="AB40" s="4" t="e">
        <f>IF(VLOOKUP($I40,MarketOutcome,20,FALSE)=0,"",VLOOKUP($I40,MarketOutcome,20,FALSE))</f>
        <v>#REF!</v>
      </c>
      <c r="AC40" s="4" t="e">
        <f>IF(VLOOKUP($I40,MarketOutcome,21,FALSE)=0,"",VLOOKUP($I40,MarketOutcome,21,FALSE))</f>
        <v>#REF!</v>
      </c>
      <c r="AD40" s="4" t="e">
        <f>IF(VLOOKUP($I40,MarketOutcome,22,FALSE)=0,"",VLOOKUP($I40,MarketOutcome,22,FALSE))</f>
        <v>#REF!</v>
      </c>
      <c r="AE40" s="4" t="e">
        <f>IF(VLOOKUP($I40,MarketOutcome,23,FALSE)=0,"",VLOOKUP($I40,MarketOutcome,23,FALSE))</f>
        <v>#REF!</v>
      </c>
      <c r="AF40" s="4" t="e">
        <f>IF(VLOOKUP($I40,MarketOutcome,24,FALSE)=0,"",VLOOKUP($I40,MarketOutcome,24,FALSE))</f>
        <v>#REF!</v>
      </c>
      <c r="AG40" s="4" t="e">
        <f>IF(VLOOKUP($I40,MarketOutcome,25,FALSE)=0,"",VLOOKUP($I40,MarketOutcome,25,FALSE))</f>
        <v>#REF!</v>
      </c>
      <c r="AH40" s="4" t="e">
        <f>IF(VLOOKUP($I40,MarketOutcome,26,FALSE)=0,"",VLOOKUP($I40,MarketOutcome,26,FALSE))</f>
        <v>#REF!</v>
      </c>
      <c r="AI40" s="4" t="e">
        <f>IF(VLOOKUP($I40,MarketOutcome,27,FALSE)=0,"",VLOOKUP($I40,MarketOutcome,27,FALSE))</f>
        <v>#REF!</v>
      </c>
      <c r="AJ40" s="4" t="e">
        <f>IF(VLOOKUP($I40,MarketOutcome,28,FALSE)=0,"",VLOOKUP($I40,MarketOutcome,28,FALSE))</f>
        <v>#REF!</v>
      </c>
    </row>
    <row r="41" spans="1:37">
      <c r="A41" s="255"/>
      <c r="B41" s="18">
        <v>25</v>
      </c>
      <c r="C41" s="19" t="s">
        <v>1134</v>
      </c>
      <c r="D41" s="18">
        <f t="shared" si="6"/>
        <v>54</v>
      </c>
      <c r="E41" s="18">
        <f t="shared" si="4"/>
        <v>55</v>
      </c>
      <c r="F41" s="18">
        <v>2</v>
      </c>
      <c r="G41" s="301" t="str">
        <f t="shared" si="5"/>
        <v xml:space="preserve">00 00 </v>
      </c>
      <c r="H41" s="301"/>
      <c r="I41" s="302">
        <f>IF('Betslip 1x2'!N24="ERRO",0,'Betslip 1x2'!N24)</f>
        <v>0</v>
      </c>
      <c r="J41" s="302"/>
    </row>
    <row r="42" spans="1:37">
      <c r="A42" s="255">
        <v>4</v>
      </c>
      <c r="B42" s="5">
        <v>26</v>
      </c>
      <c r="C42" s="74" t="s">
        <v>1132</v>
      </c>
      <c r="D42" s="5">
        <f t="shared" si="6"/>
        <v>56</v>
      </c>
      <c r="E42" s="5">
        <f t="shared" si="4"/>
        <v>57</v>
      </c>
      <c r="F42" s="5">
        <v>2</v>
      </c>
      <c r="G42" s="299" t="str">
        <f t="shared" si="5"/>
        <v xml:space="preserve">00 01 </v>
      </c>
      <c r="H42" s="299"/>
      <c r="I42" s="300">
        <f>'Betslip 1x2'!$M$8</f>
        <v>1</v>
      </c>
      <c r="J42" s="300"/>
      <c r="AK42" s="51"/>
    </row>
    <row r="43" spans="1:37">
      <c r="A43" s="255"/>
      <c r="B43" s="5">
        <v>27</v>
      </c>
      <c r="C43" s="74" t="s">
        <v>1055</v>
      </c>
      <c r="D43" s="5">
        <f t="shared" si="6"/>
        <v>58</v>
      </c>
      <c r="E43" s="5">
        <f t="shared" si="4"/>
        <v>59</v>
      </c>
      <c r="F43" s="5">
        <v>2</v>
      </c>
      <c r="G43" s="299" t="str">
        <f t="shared" si="5"/>
        <v xml:space="preserve">00 00 </v>
      </c>
      <c r="H43" s="299"/>
      <c r="I43" s="300">
        <f>IF(ISERROR('Betslip 1x2'!E27)=TRUE,0,'Betslip 1x2'!E27)</f>
        <v>0</v>
      </c>
      <c r="J43" s="300"/>
      <c r="K43" s="26" t="e">
        <f>IF(VLOOKUP($I43,EventMarket,2,FALSE)=0,"",VLOOKUP($I43,EventMarket,2,FALSE))</f>
        <v>#REF!</v>
      </c>
      <c r="L43" s="26" t="e">
        <f>IF(VLOOKUP($I43,EventMarket,3,FALSE)=0,"",VLOOKUP($I43,EventMarket,3,FALSE))</f>
        <v>#REF!</v>
      </c>
      <c r="M43" s="26" t="e">
        <f>IF(VLOOKUP($I43,EventMarket,4,FALSE)=0,"",VLOOKUP($I43,EventMarket,4,FALSE))</f>
        <v>#REF!</v>
      </c>
      <c r="N43" s="26" t="e">
        <f>IF(VLOOKUP($I43,EventMarket,5,FALSE)=0,"",VLOOKUP($I43,EventMarket,5,FALSE))</f>
        <v>#REF!</v>
      </c>
      <c r="O43" s="26" t="e">
        <f>IF(VLOOKUP($I43,EventMarket,6,FALSE)=0,"",VLOOKUP($I43,EventMarket,6,FALSE))</f>
        <v>#REF!</v>
      </c>
      <c r="P43" s="26" t="e">
        <f>IF(VLOOKUP($I43,EventMarket,7,FALSE)=0,"",VLOOKUP($I43,EventMarket,7,FALSE))</f>
        <v>#REF!</v>
      </c>
      <c r="Q43" s="26" t="e">
        <f>IF(VLOOKUP($I43,EventMarket,8,FALSE)=0,"",VLOOKUP($I43,EventMarket,8,FALSE))</f>
        <v>#REF!</v>
      </c>
      <c r="R43" s="26" t="e">
        <f>IF(VLOOKUP($I43,EventMarket,9,FALSE)=0,"",VLOOKUP($I43,EventMarket,9,FALSE))</f>
        <v>#REF!</v>
      </c>
      <c r="S43" s="4" t="e">
        <f>IF(VLOOKUP($I43,EventMarket,10,FALSE)=0,"",VLOOKUP($I43,EventMarket,10,FALSE))</f>
        <v>#REF!</v>
      </c>
    </row>
    <row r="44" spans="1:37">
      <c r="A44" s="255"/>
      <c r="B44" s="5">
        <v>28</v>
      </c>
      <c r="C44" s="74" t="s">
        <v>1133</v>
      </c>
      <c r="D44" s="5">
        <f t="shared" si="6"/>
        <v>60</v>
      </c>
      <c r="E44" s="5">
        <f t="shared" si="4"/>
        <v>61</v>
      </c>
      <c r="F44" s="5">
        <v>2</v>
      </c>
      <c r="G44" s="299" t="str">
        <f t="shared" si="5"/>
        <v xml:space="preserve">00 00 </v>
      </c>
      <c r="H44" s="299"/>
      <c r="I44" s="300">
        <f>IF('Betslip 1x2'!M27="ERRO",0,'Betslip 1x2'!M27)</f>
        <v>0</v>
      </c>
      <c r="J44" s="300"/>
      <c r="K44" s="4" t="e">
        <f>IF(VLOOKUP($I44,MarketOutcome,3,FALSE)=0,"",VLOOKUP($I44,MarketOutcome,3,FALSE))</f>
        <v>#REF!</v>
      </c>
      <c r="L44" s="4" t="e">
        <f>IF(VLOOKUP($I44,MarketOutcome,4,FALSE)=0,"",VLOOKUP($I44,MarketOutcome,4,FALSE))</f>
        <v>#REF!</v>
      </c>
      <c r="M44" s="4" t="e">
        <f>IF(VLOOKUP($I44,MarketOutcome,5,FALSE)=0,"",VLOOKUP($I44,MarketOutcome,5,FALSE))</f>
        <v>#REF!</v>
      </c>
      <c r="N44" s="4" t="e">
        <f>IF(VLOOKUP($I44,MarketOutcome,6,FALSE)=0,"",VLOOKUP($I44,MarketOutcome,6,FALSE))</f>
        <v>#REF!</v>
      </c>
      <c r="O44" s="4" t="e">
        <f>IF(VLOOKUP($I44,MarketOutcome,7,FALSE)=0,"",VLOOKUP($I44,MarketOutcome,7,FALSE))</f>
        <v>#REF!</v>
      </c>
      <c r="P44" s="4" t="e">
        <f>IF(VLOOKUP($I44,MarketOutcome,8,FALSE)=0,"",VLOOKUP($I44,MarketOutcome,8,FALSE))</f>
        <v>#REF!</v>
      </c>
      <c r="Q44" s="4" t="e">
        <f>IF(VLOOKUP($I44,MarketOutcome,9,FALSE)=0,"",VLOOKUP($I44,MarketOutcome,9,FALSE))</f>
        <v>#REF!</v>
      </c>
      <c r="R44" s="4" t="e">
        <f>IF(VLOOKUP($I44,MarketOutcome,10,FALSE)=0,"",VLOOKUP($I44,MarketOutcome,10,FALSE))</f>
        <v>#REF!</v>
      </c>
      <c r="S44" s="4" t="e">
        <f>IF(VLOOKUP($I44,MarketOutcome,11,FALSE)=0,"",VLOOKUP($I44,MarketOutcome,11,FALSE))</f>
        <v>#REF!</v>
      </c>
      <c r="T44" s="4" t="e">
        <f>IF(VLOOKUP($I44,MarketOutcome,12,FALSE)=0,"",VLOOKUP($I44,MarketOutcome,12,FALSE))</f>
        <v>#REF!</v>
      </c>
      <c r="U44" s="4" t="e">
        <f>IF(VLOOKUP($I44,MarketOutcome,13,FALSE)=0,"",VLOOKUP($I44,MarketOutcome,13,FALSE))</f>
        <v>#REF!</v>
      </c>
      <c r="V44" s="4" t="e">
        <f>IF(VLOOKUP($I44,MarketOutcome,14,FALSE)=0,"",VLOOKUP($I44,MarketOutcome,14,FALSE))</f>
        <v>#REF!</v>
      </c>
      <c r="W44" s="4" t="e">
        <f>IF(VLOOKUP($I44,MarketOutcome,15,FALSE)=0,"",VLOOKUP($I44,MarketOutcome,15,FALSE))</f>
        <v>#REF!</v>
      </c>
      <c r="X44" s="4" t="e">
        <f>IF(VLOOKUP($I44,MarketOutcome,16,FALSE)=0,"",VLOOKUP($I44,MarketOutcome,16,FALSE))</f>
        <v>#REF!</v>
      </c>
      <c r="Y44" s="4" t="e">
        <f>IF(VLOOKUP($I44,MarketOutcome,17,FALSE)=0,"",VLOOKUP($I44,MarketOutcome,17,FALSE))</f>
        <v>#REF!</v>
      </c>
      <c r="Z44" s="4" t="e">
        <f>IF(VLOOKUP($I44,MarketOutcome,18,FALSE)=0,"",VLOOKUP($I44,MarketOutcome,18,FALSE))</f>
        <v>#REF!</v>
      </c>
      <c r="AA44" s="4" t="e">
        <f>IF(VLOOKUP($I44,MarketOutcome,19,FALSE)=0,"",VLOOKUP($I44,MarketOutcome,19,FALSE))</f>
        <v>#REF!</v>
      </c>
      <c r="AB44" s="4" t="e">
        <f>IF(VLOOKUP($I44,MarketOutcome,20,FALSE)=0,"",VLOOKUP($I44,MarketOutcome,20,FALSE))</f>
        <v>#REF!</v>
      </c>
      <c r="AC44" s="4" t="e">
        <f>IF(VLOOKUP($I44,MarketOutcome,21,FALSE)=0,"",VLOOKUP($I44,MarketOutcome,21,FALSE))</f>
        <v>#REF!</v>
      </c>
      <c r="AD44" s="4" t="e">
        <f>IF(VLOOKUP($I44,MarketOutcome,22,FALSE)=0,"",VLOOKUP($I44,MarketOutcome,22,FALSE))</f>
        <v>#REF!</v>
      </c>
      <c r="AE44" s="4" t="e">
        <f>IF(VLOOKUP($I44,MarketOutcome,23,FALSE)=0,"",VLOOKUP($I44,MarketOutcome,23,FALSE))</f>
        <v>#REF!</v>
      </c>
      <c r="AF44" s="4" t="e">
        <f>IF(VLOOKUP($I44,MarketOutcome,24,FALSE)=0,"",VLOOKUP($I44,MarketOutcome,24,FALSE))</f>
        <v>#REF!</v>
      </c>
      <c r="AG44" s="4" t="e">
        <f>IF(VLOOKUP($I44,MarketOutcome,25,FALSE)=0,"",VLOOKUP($I44,MarketOutcome,25,FALSE))</f>
        <v>#REF!</v>
      </c>
      <c r="AH44" s="4" t="e">
        <f>IF(VLOOKUP($I44,MarketOutcome,26,FALSE)=0,"",VLOOKUP($I44,MarketOutcome,26,FALSE))</f>
        <v>#REF!</v>
      </c>
      <c r="AI44" s="4" t="e">
        <f>IF(VLOOKUP($I44,MarketOutcome,27,FALSE)=0,"",VLOOKUP($I44,MarketOutcome,27,FALSE))</f>
        <v>#REF!</v>
      </c>
      <c r="AJ44" s="4" t="e">
        <f>IF(VLOOKUP($I44,MarketOutcome,28,FALSE)=0,"",VLOOKUP($I44,MarketOutcome,28,FALSE))</f>
        <v>#REF!</v>
      </c>
    </row>
    <row r="45" spans="1:37">
      <c r="A45" s="255"/>
      <c r="B45" s="5">
        <v>29</v>
      </c>
      <c r="C45" s="74" t="s">
        <v>1134</v>
      </c>
      <c r="D45" s="5">
        <f t="shared" si="6"/>
        <v>62</v>
      </c>
      <c r="E45" s="5">
        <f t="shared" si="4"/>
        <v>63</v>
      </c>
      <c r="F45" s="5">
        <v>2</v>
      </c>
      <c r="G45" s="299" t="str">
        <f t="shared" si="5"/>
        <v xml:space="preserve">00 00 </v>
      </c>
      <c r="H45" s="299"/>
      <c r="I45" s="300">
        <f>IF('Betslip 1x2'!N27="ERRO",0,'Betslip 1x2'!N27)</f>
        <v>0</v>
      </c>
      <c r="J45" s="300"/>
    </row>
    <row r="46" spans="1:37">
      <c r="A46" s="255">
        <v>5</v>
      </c>
      <c r="B46" s="18">
        <v>30</v>
      </c>
      <c r="C46" s="19" t="s">
        <v>1132</v>
      </c>
      <c r="D46" s="18">
        <f t="shared" si="6"/>
        <v>64</v>
      </c>
      <c r="E46" s="18">
        <f t="shared" si="4"/>
        <v>65</v>
      </c>
      <c r="F46" s="18">
        <v>2</v>
      </c>
      <c r="G46" s="301" t="str">
        <f t="shared" si="5"/>
        <v xml:space="preserve">00 01 </v>
      </c>
      <c r="H46" s="301"/>
      <c r="I46" s="302">
        <f>'Betslip 1x2'!$M$8</f>
        <v>1</v>
      </c>
      <c r="J46" s="302"/>
      <c r="AK46" s="51"/>
    </row>
    <row r="47" spans="1:37">
      <c r="A47" s="255"/>
      <c r="B47" s="18">
        <v>31</v>
      </c>
      <c r="C47" s="19" t="s">
        <v>1055</v>
      </c>
      <c r="D47" s="18">
        <f t="shared" si="6"/>
        <v>66</v>
      </c>
      <c r="E47" s="18">
        <f t="shared" si="4"/>
        <v>67</v>
      </c>
      <c r="F47" s="18">
        <v>2</v>
      </c>
      <c r="G47" s="301" t="str">
        <f t="shared" si="5"/>
        <v xml:space="preserve">00 00 </v>
      </c>
      <c r="H47" s="301"/>
      <c r="I47" s="302">
        <f>IF(ISERROR('Betslip 1x2'!E30)=TRUE,0,'Betslip 1x2'!E30)</f>
        <v>0</v>
      </c>
      <c r="J47" s="302"/>
      <c r="K47" s="26" t="e">
        <f>IF(VLOOKUP($I47,EventMarket,2,FALSE)=0,"",VLOOKUP($I47,EventMarket,2,FALSE))</f>
        <v>#REF!</v>
      </c>
      <c r="L47" s="26" t="e">
        <f>IF(VLOOKUP($I47,EventMarket,3,FALSE)=0,"",VLOOKUP($I47,EventMarket,3,FALSE))</f>
        <v>#REF!</v>
      </c>
      <c r="M47" s="26" t="e">
        <f>IF(VLOOKUP($I47,EventMarket,4,FALSE)=0,"",VLOOKUP($I47,EventMarket,4,FALSE))</f>
        <v>#REF!</v>
      </c>
      <c r="N47" s="26" t="e">
        <f>IF(VLOOKUP($I47,EventMarket,5,FALSE)=0,"",VLOOKUP($I47,EventMarket,5,FALSE))</f>
        <v>#REF!</v>
      </c>
      <c r="O47" s="26" t="e">
        <f>IF(VLOOKUP($I47,EventMarket,6,FALSE)=0,"",VLOOKUP($I47,EventMarket,6,FALSE))</f>
        <v>#REF!</v>
      </c>
      <c r="P47" s="26" t="e">
        <f>IF(VLOOKUP($I47,EventMarket,7,FALSE)=0,"",VLOOKUP($I47,EventMarket,7,FALSE))</f>
        <v>#REF!</v>
      </c>
      <c r="Q47" s="26" t="e">
        <f>IF(VLOOKUP($I47,EventMarket,8,FALSE)=0,"",VLOOKUP($I47,EventMarket,8,FALSE))</f>
        <v>#REF!</v>
      </c>
      <c r="R47" s="26" t="e">
        <f>IF(VLOOKUP($I47,EventMarket,9,FALSE)=0,"",VLOOKUP($I47,EventMarket,9,FALSE))</f>
        <v>#REF!</v>
      </c>
      <c r="S47" s="4" t="e">
        <f>IF(VLOOKUP($I47,EventMarket,10,FALSE)=0,"",VLOOKUP($I47,EventMarket,10,FALSE))</f>
        <v>#REF!</v>
      </c>
    </row>
    <row r="48" spans="1:37">
      <c r="A48" s="255"/>
      <c r="B48" s="18">
        <v>32</v>
      </c>
      <c r="C48" s="19" t="s">
        <v>1133</v>
      </c>
      <c r="D48" s="18">
        <f t="shared" si="6"/>
        <v>68</v>
      </c>
      <c r="E48" s="18">
        <f t="shared" si="4"/>
        <v>69</v>
      </c>
      <c r="F48" s="18">
        <v>2</v>
      </c>
      <c r="G48" s="301" t="str">
        <f t="shared" si="5"/>
        <v xml:space="preserve">00 00 </v>
      </c>
      <c r="H48" s="301"/>
      <c r="I48" s="302">
        <f>IF('Betslip 1x2'!M30="ERRO",0,'Betslip 1x2'!M30)</f>
        <v>0</v>
      </c>
      <c r="J48" s="302"/>
      <c r="K48" s="4" t="e">
        <f>IF(VLOOKUP($I48,MarketOutcome,3,FALSE)=0,"",VLOOKUP($I48,MarketOutcome,3,FALSE))</f>
        <v>#REF!</v>
      </c>
      <c r="L48" s="4" t="e">
        <f>IF(VLOOKUP($I48,MarketOutcome,4,FALSE)=0,"",VLOOKUP($I48,MarketOutcome,4,FALSE))</f>
        <v>#REF!</v>
      </c>
      <c r="M48" s="4" t="e">
        <f>IF(VLOOKUP($I48,MarketOutcome,5,FALSE)=0,"",VLOOKUP($I48,MarketOutcome,5,FALSE))</f>
        <v>#REF!</v>
      </c>
      <c r="N48" s="4" t="e">
        <f>IF(VLOOKUP($I48,MarketOutcome,6,FALSE)=0,"",VLOOKUP($I48,MarketOutcome,6,FALSE))</f>
        <v>#REF!</v>
      </c>
      <c r="O48" s="4" t="e">
        <f>IF(VLOOKUP($I48,MarketOutcome,7,FALSE)=0,"",VLOOKUP($I48,MarketOutcome,7,FALSE))</f>
        <v>#REF!</v>
      </c>
      <c r="P48" s="4" t="e">
        <f>IF(VLOOKUP($I48,MarketOutcome,8,FALSE)=0,"",VLOOKUP($I48,MarketOutcome,8,FALSE))</f>
        <v>#REF!</v>
      </c>
      <c r="Q48" s="4" t="e">
        <f>IF(VLOOKUP($I48,MarketOutcome,9,FALSE)=0,"",VLOOKUP($I48,MarketOutcome,9,FALSE))</f>
        <v>#REF!</v>
      </c>
      <c r="R48" s="4" t="e">
        <f>IF(VLOOKUP($I48,MarketOutcome,10,FALSE)=0,"",VLOOKUP($I48,MarketOutcome,10,FALSE))</f>
        <v>#REF!</v>
      </c>
      <c r="S48" s="4" t="e">
        <f>IF(VLOOKUP($I48,MarketOutcome,11,FALSE)=0,"",VLOOKUP($I48,MarketOutcome,11,FALSE))</f>
        <v>#REF!</v>
      </c>
      <c r="T48" s="4" t="e">
        <f>IF(VLOOKUP($I48,MarketOutcome,12,FALSE)=0,"",VLOOKUP($I48,MarketOutcome,12,FALSE))</f>
        <v>#REF!</v>
      </c>
      <c r="U48" s="4" t="e">
        <f>IF(VLOOKUP($I48,MarketOutcome,13,FALSE)=0,"",VLOOKUP($I48,MarketOutcome,13,FALSE))</f>
        <v>#REF!</v>
      </c>
      <c r="V48" s="4" t="e">
        <f>IF(VLOOKUP($I48,MarketOutcome,14,FALSE)=0,"",VLOOKUP($I48,MarketOutcome,14,FALSE))</f>
        <v>#REF!</v>
      </c>
      <c r="W48" s="4" t="e">
        <f>IF(VLOOKUP($I48,MarketOutcome,15,FALSE)=0,"",VLOOKUP($I48,MarketOutcome,15,FALSE))</f>
        <v>#REF!</v>
      </c>
      <c r="X48" s="4" t="e">
        <f>IF(VLOOKUP($I48,MarketOutcome,16,FALSE)=0,"",VLOOKUP($I48,MarketOutcome,16,FALSE))</f>
        <v>#REF!</v>
      </c>
      <c r="Y48" s="4" t="e">
        <f>IF(VLOOKUP($I48,MarketOutcome,17,FALSE)=0,"",VLOOKUP($I48,MarketOutcome,17,FALSE))</f>
        <v>#REF!</v>
      </c>
      <c r="Z48" s="4" t="e">
        <f>IF(VLOOKUP($I48,MarketOutcome,18,FALSE)=0,"",VLOOKUP($I48,MarketOutcome,18,FALSE))</f>
        <v>#REF!</v>
      </c>
      <c r="AA48" s="4" t="e">
        <f>IF(VLOOKUP($I48,MarketOutcome,19,FALSE)=0,"",VLOOKUP($I48,MarketOutcome,19,FALSE))</f>
        <v>#REF!</v>
      </c>
      <c r="AB48" s="4" t="e">
        <f>IF(VLOOKUP($I48,MarketOutcome,20,FALSE)=0,"",VLOOKUP($I48,MarketOutcome,20,FALSE))</f>
        <v>#REF!</v>
      </c>
      <c r="AC48" s="4" t="e">
        <f>IF(VLOOKUP($I48,MarketOutcome,21,FALSE)=0,"",VLOOKUP($I48,MarketOutcome,21,FALSE))</f>
        <v>#REF!</v>
      </c>
      <c r="AD48" s="4" t="e">
        <f>IF(VLOOKUP($I48,MarketOutcome,22,FALSE)=0,"",VLOOKUP($I48,MarketOutcome,22,FALSE))</f>
        <v>#REF!</v>
      </c>
      <c r="AE48" s="4" t="e">
        <f>IF(VLOOKUP($I48,MarketOutcome,23,FALSE)=0,"",VLOOKUP($I48,MarketOutcome,23,FALSE))</f>
        <v>#REF!</v>
      </c>
      <c r="AF48" s="4" t="e">
        <f>IF(VLOOKUP($I48,MarketOutcome,24,FALSE)=0,"",VLOOKUP($I48,MarketOutcome,24,FALSE))</f>
        <v>#REF!</v>
      </c>
      <c r="AG48" s="4" t="e">
        <f>IF(VLOOKUP($I48,MarketOutcome,25,FALSE)=0,"",VLOOKUP($I48,MarketOutcome,25,FALSE))</f>
        <v>#REF!</v>
      </c>
      <c r="AH48" s="4" t="e">
        <f>IF(VLOOKUP($I48,MarketOutcome,26,FALSE)=0,"",VLOOKUP($I48,MarketOutcome,26,FALSE))</f>
        <v>#REF!</v>
      </c>
      <c r="AI48" s="4" t="e">
        <f>IF(VLOOKUP($I48,MarketOutcome,27,FALSE)=0,"",VLOOKUP($I48,MarketOutcome,27,FALSE))</f>
        <v>#REF!</v>
      </c>
      <c r="AJ48" s="4" t="e">
        <f>IF(VLOOKUP($I48,MarketOutcome,28,FALSE)=0,"",VLOOKUP($I48,MarketOutcome,28,FALSE))</f>
        <v>#REF!</v>
      </c>
    </row>
    <row r="49" spans="1:37">
      <c r="A49" s="255"/>
      <c r="B49" s="18">
        <v>33</v>
      </c>
      <c r="C49" s="19" t="s">
        <v>1134</v>
      </c>
      <c r="D49" s="18">
        <f t="shared" si="6"/>
        <v>70</v>
      </c>
      <c r="E49" s="18">
        <f t="shared" si="4"/>
        <v>71</v>
      </c>
      <c r="F49" s="18">
        <v>2</v>
      </c>
      <c r="G49" s="301" t="str">
        <f t="shared" si="5"/>
        <v xml:space="preserve">00 00 </v>
      </c>
      <c r="H49" s="301"/>
      <c r="I49" s="302">
        <f>IF('Betslip 1x2'!N30="ERRO",0,'Betslip 1x2'!N30)</f>
        <v>0</v>
      </c>
      <c r="J49" s="302"/>
    </row>
    <row r="50" spans="1:37">
      <c r="A50" s="255">
        <v>6</v>
      </c>
      <c r="B50" s="5">
        <v>34</v>
      </c>
      <c r="C50" s="74" t="s">
        <v>1132</v>
      </c>
      <c r="D50" s="5">
        <f t="shared" si="6"/>
        <v>72</v>
      </c>
      <c r="E50" s="5">
        <f t="shared" si="4"/>
        <v>73</v>
      </c>
      <c r="F50" s="5">
        <v>2</v>
      </c>
      <c r="G50" s="299" t="str">
        <f t="shared" si="5"/>
        <v xml:space="preserve">00 01 </v>
      </c>
      <c r="H50" s="299"/>
      <c r="I50" s="300">
        <f>'Betslip 1x2'!$M$8</f>
        <v>1</v>
      </c>
      <c r="J50" s="300"/>
      <c r="AK50" s="51"/>
    </row>
    <row r="51" spans="1:37">
      <c r="A51" s="255"/>
      <c r="B51" s="5">
        <v>35</v>
      </c>
      <c r="C51" s="74" t="s">
        <v>1055</v>
      </c>
      <c r="D51" s="5">
        <f t="shared" si="6"/>
        <v>74</v>
      </c>
      <c r="E51" s="5">
        <f t="shared" si="4"/>
        <v>75</v>
      </c>
      <c r="F51" s="5">
        <v>2</v>
      </c>
      <c r="G51" s="299" t="str">
        <f t="shared" si="5"/>
        <v xml:space="preserve">00 00 </v>
      </c>
      <c r="H51" s="299"/>
      <c r="I51" s="300">
        <f>IF(ISERROR('Betslip 1x2'!E33)=TRUE,0,'Betslip 1x2'!E33)</f>
        <v>0</v>
      </c>
      <c r="J51" s="300"/>
      <c r="K51" s="26" t="e">
        <f>IF(VLOOKUP($I51,EventMarket,2,FALSE)=0,"",VLOOKUP($I51,EventMarket,2,FALSE))</f>
        <v>#REF!</v>
      </c>
      <c r="L51" s="26" t="e">
        <f>IF(VLOOKUP($I51,EventMarket,3,FALSE)=0,"",VLOOKUP($I51,EventMarket,3,FALSE))</f>
        <v>#REF!</v>
      </c>
      <c r="M51" s="26" t="e">
        <f>IF(VLOOKUP($I51,EventMarket,4,FALSE)=0,"",VLOOKUP($I51,EventMarket,4,FALSE))</f>
        <v>#REF!</v>
      </c>
      <c r="N51" s="26" t="e">
        <f>IF(VLOOKUP($I51,EventMarket,5,FALSE)=0,"",VLOOKUP($I51,EventMarket,5,FALSE))</f>
        <v>#REF!</v>
      </c>
      <c r="O51" s="26" t="e">
        <f>IF(VLOOKUP($I51,EventMarket,6,FALSE)=0,"",VLOOKUP($I51,EventMarket,6,FALSE))</f>
        <v>#REF!</v>
      </c>
      <c r="P51" s="26" t="e">
        <f>IF(VLOOKUP($I51,EventMarket,7,FALSE)=0,"",VLOOKUP($I51,EventMarket,7,FALSE))</f>
        <v>#REF!</v>
      </c>
      <c r="Q51" s="26" t="e">
        <f>IF(VLOOKUP($I51,EventMarket,8,FALSE)=0,"",VLOOKUP($I51,EventMarket,8,FALSE))</f>
        <v>#REF!</v>
      </c>
      <c r="R51" s="26" t="e">
        <f>IF(VLOOKUP($I51,EventMarket,9,FALSE)=0,"",VLOOKUP($I51,EventMarket,9,FALSE))</f>
        <v>#REF!</v>
      </c>
      <c r="S51" s="4" t="e">
        <f>IF(VLOOKUP($I51,EventMarket,10,FALSE)=0,"",VLOOKUP($I51,EventMarket,10,FALSE))</f>
        <v>#REF!</v>
      </c>
    </row>
    <row r="52" spans="1:37">
      <c r="A52" s="255"/>
      <c r="B52" s="5">
        <v>36</v>
      </c>
      <c r="C52" s="74" t="s">
        <v>1133</v>
      </c>
      <c r="D52" s="5">
        <f t="shared" si="6"/>
        <v>76</v>
      </c>
      <c r="E52" s="5">
        <f t="shared" si="4"/>
        <v>77</v>
      </c>
      <c r="F52" s="5">
        <v>2</v>
      </c>
      <c r="G52" s="299" t="str">
        <f t="shared" si="5"/>
        <v xml:space="preserve">00 00 </v>
      </c>
      <c r="H52" s="299"/>
      <c r="I52" s="300">
        <f>IF('Betslip 1x2'!M33="ERRO",0,'Betslip 1x2'!M33)</f>
        <v>0</v>
      </c>
      <c r="J52" s="300"/>
      <c r="K52" s="4" t="e">
        <f>IF(VLOOKUP($I52,MarketOutcome,3,FALSE)=0,"",VLOOKUP($I52,MarketOutcome,3,FALSE))</f>
        <v>#REF!</v>
      </c>
      <c r="L52" s="4" t="e">
        <f>IF(VLOOKUP($I52,MarketOutcome,4,FALSE)=0,"",VLOOKUP($I52,MarketOutcome,4,FALSE))</f>
        <v>#REF!</v>
      </c>
      <c r="M52" s="4" t="e">
        <f>IF(VLOOKUP($I52,MarketOutcome,5,FALSE)=0,"",VLOOKUP($I52,MarketOutcome,5,FALSE))</f>
        <v>#REF!</v>
      </c>
      <c r="N52" s="4" t="e">
        <f>IF(VLOOKUP($I52,MarketOutcome,6,FALSE)=0,"",VLOOKUP($I52,MarketOutcome,6,FALSE))</f>
        <v>#REF!</v>
      </c>
      <c r="O52" s="4" t="e">
        <f>IF(VLOOKUP($I52,MarketOutcome,7,FALSE)=0,"",VLOOKUP($I52,MarketOutcome,7,FALSE))</f>
        <v>#REF!</v>
      </c>
      <c r="P52" s="4" t="e">
        <f>IF(VLOOKUP($I52,MarketOutcome,8,FALSE)=0,"",VLOOKUP($I52,MarketOutcome,8,FALSE))</f>
        <v>#REF!</v>
      </c>
      <c r="Q52" s="4" t="e">
        <f>IF(VLOOKUP($I52,MarketOutcome,9,FALSE)=0,"",VLOOKUP($I52,MarketOutcome,9,FALSE))</f>
        <v>#REF!</v>
      </c>
      <c r="R52" s="4" t="e">
        <f>IF(VLOOKUP($I52,MarketOutcome,10,FALSE)=0,"",VLOOKUP($I52,MarketOutcome,10,FALSE))</f>
        <v>#REF!</v>
      </c>
      <c r="S52" s="4" t="e">
        <f>IF(VLOOKUP($I52,MarketOutcome,11,FALSE)=0,"",VLOOKUP($I52,MarketOutcome,11,FALSE))</f>
        <v>#REF!</v>
      </c>
      <c r="T52" s="4" t="e">
        <f>IF(VLOOKUP($I52,MarketOutcome,12,FALSE)=0,"",VLOOKUP($I52,MarketOutcome,12,FALSE))</f>
        <v>#REF!</v>
      </c>
      <c r="U52" s="4" t="e">
        <f>IF(VLOOKUP($I52,MarketOutcome,13,FALSE)=0,"",VLOOKUP($I52,MarketOutcome,13,FALSE))</f>
        <v>#REF!</v>
      </c>
      <c r="V52" s="4" t="e">
        <f>IF(VLOOKUP($I52,MarketOutcome,14,FALSE)=0,"",VLOOKUP($I52,MarketOutcome,14,FALSE))</f>
        <v>#REF!</v>
      </c>
      <c r="W52" s="4" t="e">
        <f>IF(VLOOKUP($I52,MarketOutcome,15,FALSE)=0,"",VLOOKUP($I52,MarketOutcome,15,FALSE))</f>
        <v>#REF!</v>
      </c>
      <c r="X52" s="4" t="e">
        <f>IF(VLOOKUP($I52,MarketOutcome,16,FALSE)=0,"",VLOOKUP($I52,MarketOutcome,16,FALSE))</f>
        <v>#REF!</v>
      </c>
      <c r="Y52" s="4" t="e">
        <f>IF(VLOOKUP($I52,MarketOutcome,17,FALSE)=0,"",VLOOKUP($I52,MarketOutcome,17,FALSE))</f>
        <v>#REF!</v>
      </c>
      <c r="Z52" s="4" t="e">
        <f>IF(VLOOKUP($I52,MarketOutcome,18,FALSE)=0,"",VLOOKUP($I52,MarketOutcome,18,FALSE))</f>
        <v>#REF!</v>
      </c>
      <c r="AA52" s="4" t="e">
        <f>IF(VLOOKUP($I52,MarketOutcome,19,FALSE)=0,"",VLOOKUP($I52,MarketOutcome,19,FALSE))</f>
        <v>#REF!</v>
      </c>
      <c r="AB52" s="4" t="e">
        <f>IF(VLOOKUP($I52,MarketOutcome,20,FALSE)=0,"",VLOOKUP($I52,MarketOutcome,20,FALSE))</f>
        <v>#REF!</v>
      </c>
      <c r="AC52" s="4" t="e">
        <f>IF(VLOOKUP($I52,MarketOutcome,21,FALSE)=0,"",VLOOKUP($I52,MarketOutcome,21,FALSE))</f>
        <v>#REF!</v>
      </c>
      <c r="AD52" s="4" t="e">
        <f>IF(VLOOKUP($I52,MarketOutcome,22,FALSE)=0,"",VLOOKUP($I52,MarketOutcome,22,FALSE))</f>
        <v>#REF!</v>
      </c>
      <c r="AE52" s="4" t="e">
        <f>IF(VLOOKUP($I52,MarketOutcome,23,FALSE)=0,"",VLOOKUP($I52,MarketOutcome,23,FALSE))</f>
        <v>#REF!</v>
      </c>
      <c r="AF52" s="4" t="e">
        <f>IF(VLOOKUP($I52,MarketOutcome,24,FALSE)=0,"",VLOOKUP($I52,MarketOutcome,24,FALSE))</f>
        <v>#REF!</v>
      </c>
      <c r="AG52" s="4" t="e">
        <f>IF(VLOOKUP($I52,MarketOutcome,25,FALSE)=0,"",VLOOKUP($I52,MarketOutcome,25,FALSE))</f>
        <v>#REF!</v>
      </c>
      <c r="AH52" s="4" t="e">
        <f>IF(VLOOKUP($I52,MarketOutcome,26,FALSE)=0,"",VLOOKUP($I52,MarketOutcome,26,FALSE))</f>
        <v>#REF!</v>
      </c>
      <c r="AI52" s="4" t="e">
        <f>IF(VLOOKUP($I52,MarketOutcome,27,FALSE)=0,"",VLOOKUP($I52,MarketOutcome,27,FALSE))</f>
        <v>#REF!</v>
      </c>
      <c r="AJ52" s="4" t="e">
        <f>IF(VLOOKUP($I52,MarketOutcome,28,FALSE)=0,"",VLOOKUP($I52,MarketOutcome,28,FALSE))</f>
        <v>#REF!</v>
      </c>
    </row>
    <row r="53" spans="1:37">
      <c r="A53" s="255"/>
      <c r="B53" s="5">
        <v>37</v>
      </c>
      <c r="C53" s="74" t="s">
        <v>1134</v>
      </c>
      <c r="D53" s="5">
        <f t="shared" si="6"/>
        <v>78</v>
      </c>
      <c r="E53" s="5">
        <f t="shared" si="4"/>
        <v>79</v>
      </c>
      <c r="F53" s="5">
        <v>2</v>
      </c>
      <c r="G53" s="299" t="str">
        <f t="shared" si="5"/>
        <v xml:space="preserve">00 00 </v>
      </c>
      <c r="H53" s="299"/>
      <c r="I53" s="300">
        <f>IF('Betslip 1x2'!N33="ERRO",0,'Betslip 1x2'!N33)</f>
        <v>0</v>
      </c>
      <c r="J53" s="300"/>
    </row>
    <row r="54" spans="1:37">
      <c r="A54" s="255">
        <v>7</v>
      </c>
      <c r="B54" s="18">
        <v>38</v>
      </c>
      <c r="C54" s="19" t="s">
        <v>1132</v>
      </c>
      <c r="D54" s="18">
        <f t="shared" si="6"/>
        <v>80</v>
      </c>
      <c r="E54" s="18">
        <f t="shared" si="4"/>
        <v>81</v>
      </c>
      <c r="F54" s="18">
        <v>2</v>
      </c>
      <c r="G54" s="301" t="str">
        <f t="shared" si="5"/>
        <v xml:space="preserve">00 01 </v>
      </c>
      <c r="H54" s="301"/>
      <c r="I54" s="302">
        <f>'Betslip 1x2'!$M$8</f>
        <v>1</v>
      </c>
      <c r="J54" s="302"/>
      <c r="AK54" s="51"/>
    </row>
    <row r="55" spans="1:37">
      <c r="A55" s="255"/>
      <c r="B55" s="18">
        <v>39</v>
      </c>
      <c r="C55" s="19" t="s">
        <v>1055</v>
      </c>
      <c r="D55" s="18">
        <f t="shared" si="6"/>
        <v>82</v>
      </c>
      <c r="E55" s="18">
        <f t="shared" si="4"/>
        <v>83</v>
      </c>
      <c r="F55" s="18">
        <v>2</v>
      </c>
      <c r="G55" s="301" t="str">
        <f t="shared" si="5"/>
        <v xml:space="preserve">00 00 </v>
      </c>
      <c r="H55" s="301"/>
      <c r="I55" s="302">
        <f>IF(ISERROR('Betslip 1x2'!E36)=TRUE,0,'Betslip 1x2'!E36)</f>
        <v>0</v>
      </c>
      <c r="J55" s="302"/>
      <c r="K55" s="26" t="e">
        <f>IF(VLOOKUP($I55,EventMarket,2,FALSE)=0,"",VLOOKUP($I55,EventMarket,2,FALSE))</f>
        <v>#REF!</v>
      </c>
      <c r="L55" s="26" t="e">
        <f>IF(VLOOKUP($I55,EventMarket,3,FALSE)=0,"",VLOOKUP($I55,EventMarket,3,FALSE))</f>
        <v>#REF!</v>
      </c>
      <c r="M55" s="26" t="e">
        <f>IF(VLOOKUP($I55,EventMarket,4,FALSE)=0,"",VLOOKUP($I55,EventMarket,4,FALSE))</f>
        <v>#REF!</v>
      </c>
      <c r="N55" s="26" t="e">
        <f>IF(VLOOKUP($I55,EventMarket,5,FALSE)=0,"",VLOOKUP($I55,EventMarket,5,FALSE))</f>
        <v>#REF!</v>
      </c>
      <c r="O55" s="26" t="e">
        <f>IF(VLOOKUP($I55,EventMarket,6,FALSE)=0,"",VLOOKUP($I55,EventMarket,6,FALSE))</f>
        <v>#REF!</v>
      </c>
      <c r="P55" s="26" t="e">
        <f>IF(VLOOKUP($I55,EventMarket,7,FALSE)=0,"",VLOOKUP($I55,EventMarket,7,FALSE))</f>
        <v>#REF!</v>
      </c>
      <c r="Q55" s="26" t="e">
        <f>IF(VLOOKUP($I55,EventMarket,8,FALSE)=0,"",VLOOKUP($I55,EventMarket,8,FALSE))</f>
        <v>#REF!</v>
      </c>
      <c r="R55" s="26" t="e">
        <f>IF(VLOOKUP($I55,EventMarket,9,FALSE)=0,"",VLOOKUP($I55,EventMarket,9,FALSE))</f>
        <v>#REF!</v>
      </c>
      <c r="S55" s="4" t="e">
        <f>IF(VLOOKUP($I55,EventMarket,10,FALSE)=0,"",VLOOKUP($I55,EventMarket,10,FALSE))</f>
        <v>#REF!</v>
      </c>
    </row>
    <row r="56" spans="1:37">
      <c r="A56" s="255"/>
      <c r="B56" s="18">
        <v>40</v>
      </c>
      <c r="C56" s="19" t="s">
        <v>1133</v>
      </c>
      <c r="D56" s="18">
        <f t="shared" si="6"/>
        <v>84</v>
      </c>
      <c r="E56" s="18">
        <f t="shared" si="4"/>
        <v>85</v>
      </c>
      <c r="F56" s="18">
        <v>2</v>
      </c>
      <c r="G56" s="301" t="str">
        <f t="shared" si="5"/>
        <v xml:space="preserve">00 00 </v>
      </c>
      <c r="H56" s="301"/>
      <c r="I56" s="302">
        <f>IF('Betslip 1x2'!M36="ERRO",0,'Betslip 1x2'!M36)</f>
        <v>0</v>
      </c>
      <c r="J56" s="302"/>
      <c r="K56" s="4" t="e">
        <f>IF(VLOOKUP($I56,MarketOutcome,3,FALSE)=0,"",VLOOKUP($I56,MarketOutcome,3,FALSE))</f>
        <v>#REF!</v>
      </c>
      <c r="L56" s="4" t="e">
        <f>IF(VLOOKUP($I56,MarketOutcome,4,FALSE)=0,"",VLOOKUP($I56,MarketOutcome,4,FALSE))</f>
        <v>#REF!</v>
      </c>
      <c r="M56" s="4" t="e">
        <f>IF(VLOOKUP($I56,MarketOutcome,5,FALSE)=0,"",VLOOKUP($I56,MarketOutcome,5,FALSE))</f>
        <v>#REF!</v>
      </c>
      <c r="N56" s="4" t="e">
        <f>IF(VLOOKUP($I56,MarketOutcome,6,FALSE)=0,"",VLOOKUP($I56,MarketOutcome,6,FALSE))</f>
        <v>#REF!</v>
      </c>
      <c r="O56" s="4" t="e">
        <f>IF(VLOOKUP($I56,MarketOutcome,7,FALSE)=0,"",VLOOKUP($I56,MarketOutcome,7,FALSE))</f>
        <v>#REF!</v>
      </c>
      <c r="P56" s="4" t="e">
        <f>IF(VLOOKUP($I56,MarketOutcome,8,FALSE)=0,"",VLOOKUP($I56,MarketOutcome,8,FALSE))</f>
        <v>#REF!</v>
      </c>
      <c r="Q56" s="4" t="e">
        <f>IF(VLOOKUP($I56,MarketOutcome,9,FALSE)=0,"",VLOOKUP($I56,MarketOutcome,9,FALSE))</f>
        <v>#REF!</v>
      </c>
      <c r="R56" s="4" t="e">
        <f>IF(VLOOKUP($I56,MarketOutcome,10,FALSE)=0,"",VLOOKUP($I56,MarketOutcome,10,FALSE))</f>
        <v>#REF!</v>
      </c>
      <c r="S56" s="4" t="e">
        <f>IF(VLOOKUP($I56,MarketOutcome,11,FALSE)=0,"",VLOOKUP($I56,MarketOutcome,11,FALSE))</f>
        <v>#REF!</v>
      </c>
      <c r="T56" s="4" t="e">
        <f>IF(VLOOKUP($I56,MarketOutcome,12,FALSE)=0,"",VLOOKUP($I56,MarketOutcome,12,FALSE))</f>
        <v>#REF!</v>
      </c>
      <c r="U56" s="4" t="e">
        <f>IF(VLOOKUP($I56,MarketOutcome,13,FALSE)=0,"",VLOOKUP($I56,MarketOutcome,13,FALSE))</f>
        <v>#REF!</v>
      </c>
      <c r="V56" s="4" t="e">
        <f>IF(VLOOKUP($I56,MarketOutcome,14,FALSE)=0,"",VLOOKUP($I56,MarketOutcome,14,FALSE))</f>
        <v>#REF!</v>
      </c>
      <c r="W56" s="4" t="e">
        <f>IF(VLOOKUP($I56,MarketOutcome,15,FALSE)=0,"",VLOOKUP($I56,MarketOutcome,15,FALSE))</f>
        <v>#REF!</v>
      </c>
      <c r="X56" s="4" t="e">
        <f>IF(VLOOKUP($I56,MarketOutcome,16,FALSE)=0,"",VLOOKUP($I56,MarketOutcome,16,FALSE))</f>
        <v>#REF!</v>
      </c>
      <c r="Y56" s="4" t="e">
        <f>IF(VLOOKUP($I56,MarketOutcome,17,FALSE)=0,"",VLOOKUP($I56,MarketOutcome,17,FALSE))</f>
        <v>#REF!</v>
      </c>
      <c r="Z56" s="4" t="e">
        <f>IF(VLOOKUP($I56,MarketOutcome,18,FALSE)=0,"",VLOOKUP($I56,MarketOutcome,18,FALSE))</f>
        <v>#REF!</v>
      </c>
      <c r="AA56" s="4" t="e">
        <f>IF(VLOOKUP($I56,MarketOutcome,19,FALSE)=0,"",VLOOKUP($I56,MarketOutcome,19,FALSE))</f>
        <v>#REF!</v>
      </c>
      <c r="AB56" s="4" t="e">
        <f>IF(VLOOKUP($I56,MarketOutcome,20,FALSE)=0,"",VLOOKUP($I56,MarketOutcome,20,FALSE))</f>
        <v>#REF!</v>
      </c>
      <c r="AC56" s="4" t="e">
        <f>IF(VLOOKUP($I56,MarketOutcome,21,FALSE)=0,"",VLOOKUP($I56,MarketOutcome,21,FALSE))</f>
        <v>#REF!</v>
      </c>
      <c r="AD56" s="4" t="e">
        <f>IF(VLOOKUP($I56,MarketOutcome,22,FALSE)=0,"",VLOOKUP($I56,MarketOutcome,22,FALSE))</f>
        <v>#REF!</v>
      </c>
      <c r="AE56" s="4" t="e">
        <f>IF(VLOOKUP($I56,MarketOutcome,23,FALSE)=0,"",VLOOKUP($I56,MarketOutcome,23,FALSE))</f>
        <v>#REF!</v>
      </c>
      <c r="AF56" s="4" t="e">
        <f>IF(VLOOKUP($I56,MarketOutcome,24,FALSE)=0,"",VLOOKUP($I56,MarketOutcome,24,FALSE))</f>
        <v>#REF!</v>
      </c>
      <c r="AG56" s="4" t="e">
        <f>IF(VLOOKUP($I56,MarketOutcome,25,FALSE)=0,"",VLOOKUP($I56,MarketOutcome,25,FALSE))</f>
        <v>#REF!</v>
      </c>
      <c r="AH56" s="4" t="e">
        <f>IF(VLOOKUP($I56,MarketOutcome,26,FALSE)=0,"",VLOOKUP($I56,MarketOutcome,26,FALSE))</f>
        <v>#REF!</v>
      </c>
      <c r="AI56" s="4" t="e">
        <f>IF(VLOOKUP($I56,MarketOutcome,27,FALSE)=0,"",VLOOKUP($I56,MarketOutcome,27,FALSE))</f>
        <v>#REF!</v>
      </c>
      <c r="AJ56" s="4" t="e">
        <f>IF(VLOOKUP($I56,MarketOutcome,28,FALSE)=0,"",VLOOKUP($I56,MarketOutcome,28,FALSE))</f>
        <v>#REF!</v>
      </c>
    </row>
    <row r="57" spans="1:37">
      <c r="A57" s="255"/>
      <c r="B57" s="18">
        <v>41</v>
      </c>
      <c r="C57" s="19" t="s">
        <v>1134</v>
      </c>
      <c r="D57" s="18">
        <f t="shared" si="6"/>
        <v>86</v>
      </c>
      <c r="E57" s="18">
        <f t="shared" si="4"/>
        <v>87</v>
      </c>
      <c r="F57" s="18">
        <v>2</v>
      </c>
      <c r="G57" s="301" t="str">
        <f t="shared" si="5"/>
        <v xml:space="preserve">00 00 </v>
      </c>
      <c r="H57" s="301"/>
      <c r="I57" s="302">
        <f>IF('Betslip 1x2'!N36="ERRO",0,'Betslip 1x2'!N36)</f>
        <v>0</v>
      </c>
      <c r="J57" s="302"/>
    </row>
    <row r="58" spans="1:37">
      <c r="A58" s="255">
        <v>8</v>
      </c>
      <c r="B58" s="5">
        <v>42</v>
      </c>
      <c r="C58" s="74" t="s">
        <v>1132</v>
      </c>
      <c r="D58" s="5">
        <f t="shared" si="6"/>
        <v>88</v>
      </c>
      <c r="E58" s="5">
        <f t="shared" si="4"/>
        <v>89</v>
      </c>
      <c r="F58" s="5">
        <v>2</v>
      </c>
      <c r="G58" s="299" t="str">
        <f t="shared" si="5"/>
        <v xml:space="preserve">00 01 </v>
      </c>
      <c r="H58" s="299"/>
      <c r="I58" s="300">
        <f>'Betslip 1x2'!$M$8</f>
        <v>1</v>
      </c>
      <c r="J58" s="300"/>
      <c r="AK58" s="51"/>
    </row>
    <row r="59" spans="1:37">
      <c r="A59" s="255"/>
      <c r="B59" s="5">
        <v>43</v>
      </c>
      <c r="C59" s="74" t="s">
        <v>1055</v>
      </c>
      <c r="D59" s="5">
        <f t="shared" si="6"/>
        <v>90</v>
      </c>
      <c r="E59" s="5">
        <f t="shared" si="4"/>
        <v>91</v>
      </c>
      <c r="F59" s="5">
        <v>2</v>
      </c>
      <c r="G59" s="299" t="str">
        <f t="shared" si="5"/>
        <v xml:space="preserve">00 00 </v>
      </c>
      <c r="H59" s="299"/>
      <c r="I59" s="300">
        <f>IF(ISERROR('Betslip 1x2'!E39)=TRUE,0,'Betslip 1x2'!E39)</f>
        <v>0</v>
      </c>
      <c r="J59" s="300"/>
      <c r="K59" s="26" t="e">
        <f>IF(VLOOKUP($I59,EventMarket,2,FALSE)=0,"",VLOOKUP($I59,EventMarket,2,FALSE))</f>
        <v>#REF!</v>
      </c>
      <c r="L59" s="26" t="e">
        <f>IF(VLOOKUP($I59,EventMarket,3,FALSE)=0,"",VLOOKUP($I59,EventMarket,3,FALSE))</f>
        <v>#REF!</v>
      </c>
      <c r="M59" s="26" t="e">
        <f>IF(VLOOKUP($I59,EventMarket,4,FALSE)=0,"",VLOOKUP($I59,EventMarket,4,FALSE))</f>
        <v>#REF!</v>
      </c>
      <c r="N59" s="26" t="e">
        <f>IF(VLOOKUP($I59,EventMarket,5,FALSE)=0,"",VLOOKUP($I59,EventMarket,5,FALSE))</f>
        <v>#REF!</v>
      </c>
      <c r="O59" s="26" t="e">
        <f>IF(VLOOKUP($I59,EventMarket,6,FALSE)=0,"",VLOOKUP($I59,EventMarket,6,FALSE))</f>
        <v>#REF!</v>
      </c>
      <c r="P59" s="26" t="e">
        <f>IF(VLOOKUP($I59,EventMarket,7,FALSE)=0,"",VLOOKUP($I59,EventMarket,7,FALSE))</f>
        <v>#REF!</v>
      </c>
      <c r="Q59" s="26" t="e">
        <f>IF(VLOOKUP($I59,EventMarket,8,FALSE)=0,"",VLOOKUP($I59,EventMarket,8,FALSE))</f>
        <v>#REF!</v>
      </c>
      <c r="R59" s="26" t="e">
        <f>IF(VLOOKUP($I59,EventMarket,9,FALSE)=0,"",VLOOKUP($I59,EventMarket,9,FALSE))</f>
        <v>#REF!</v>
      </c>
      <c r="S59" s="4" t="e">
        <f>IF(VLOOKUP($I59,EventMarket,10,FALSE)=0,"",VLOOKUP($I59,EventMarket,10,FALSE))</f>
        <v>#REF!</v>
      </c>
    </row>
    <row r="60" spans="1:37">
      <c r="A60" s="255"/>
      <c r="B60" s="5">
        <v>44</v>
      </c>
      <c r="C60" s="74" t="s">
        <v>1133</v>
      </c>
      <c r="D60" s="5">
        <f t="shared" si="6"/>
        <v>92</v>
      </c>
      <c r="E60" s="5">
        <f t="shared" si="4"/>
        <v>93</v>
      </c>
      <c r="F60" s="5">
        <v>2</v>
      </c>
      <c r="G60" s="299" t="str">
        <f t="shared" si="5"/>
        <v xml:space="preserve">00 00 </v>
      </c>
      <c r="H60" s="299"/>
      <c r="I60" s="300">
        <f>IF('Betslip 1x2'!M39="ERRO",0,'Betslip 1x2'!M39)</f>
        <v>0</v>
      </c>
      <c r="J60" s="300"/>
      <c r="K60" s="4" t="e">
        <f>IF(VLOOKUP($I60,MarketOutcome,3,FALSE)=0,"",VLOOKUP($I60,MarketOutcome,3,FALSE))</f>
        <v>#REF!</v>
      </c>
      <c r="L60" s="4" t="e">
        <f>IF(VLOOKUP($I60,MarketOutcome,4,FALSE)=0,"",VLOOKUP($I60,MarketOutcome,4,FALSE))</f>
        <v>#REF!</v>
      </c>
      <c r="M60" s="4" t="e">
        <f>IF(VLOOKUP($I60,MarketOutcome,5,FALSE)=0,"",VLOOKUP($I60,MarketOutcome,5,FALSE))</f>
        <v>#REF!</v>
      </c>
      <c r="N60" s="4" t="e">
        <f>IF(VLOOKUP($I60,MarketOutcome,6,FALSE)=0,"",VLOOKUP($I60,MarketOutcome,6,FALSE))</f>
        <v>#REF!</v>
      </c>
      <c r="O60" s="4" t="e">
        <f>IF(VLOOKUP($I60,MarketOutcome,7,FALSE)=0,"",VLOOKUP($I60,MarketOutcome,7,FALSE))</f>
        <v>#REF!</v>
      </c>
      <c r="P60" s="4" t="e">
        <f>IF(VLOOKUP($I60,MarketOutcome,8,FALSE)=0,"",VLOOKUP($I60,MarketOutcome,8,FALSE))</f>
        <v>#REF!</v>
      </c>
      <c r="Q60" s="4" t="e">
        <f>IF(VLOOKUP($I60,MarketOutcome,9,FALSE)=0,"",VLOOKUP($I60,MarketOutcome,9,FALSE))</f>
        <v>#REF!</v>
      </c>
      <c r="R60" s="4" t="e">
        <f>IF(VLOOKUP($I60,MarketOutcome,10,FALSE)=0,"",VLOOKUP($I60,MarketOutcome,10,FALSE))</f>
        <v>#REF!</v>
      </c>
      <c r="S60" s="4" t="e">
        <f>IF(VLOOKUP($I60,MarketOutcome,11,FALSE)=0,"",VLOOKUP($I60,MarketOutcome,11,FALSE))</f>
        <v>#REF!</v>
      </c>
      <c r="T60" s="4" t="e">
        <f>IF(VLOOKUP($I60,MarketOutcome,12,FALSE)=0,"",VLOOKUP($I60,MarketOutcome,12,FALSE))</f>
        <v>#REF!</v>
      </c>
      <c r="U60" s="4" t="e">
        <f>IF(VLOOKUP($I60,MarketOutcome,13,FALSE)=0,"",VLOOKUP($I60,MarketOutcome,13,FALSE))</f>
        <v>#REF!</v>
      </c>
      <c r="V60" s="4" t="e">
        <f>IF(VLOOKUP($I60,MarketOutcome,14,FALSE)=0,"",VLOOKUP($I60,MarketOutcome,14,FALSE))</f>
        <v>#REF!</v>
      </c>
      <c r="W60" s="4" t="e">
        <f>IF(VLOOKUP($I60,MarketOutcome,15,FALSE)=0,"",VLOOKUP($I60,MarketOutcome,15,FALSE))</f>
        <v>#REF!</v>
      </c>
      <c r="X60" s="4" t="e">
        <f>IF(VLOOKUP($I60,MarketOutcome,16,FALSE)=0,"",VLOOKUP($I60,MarketOutcome,16,FALSE))</f>
        <v>#REF!</v>
      </c>
      <c r="Y60" s="4" t="e">
        <f>IF(VLOOKUP($I60,MarketOutcome,17,FALSE)=0,"",VLOOKUP($I60,MarketOutcome,17,FALSE))</f>
        <v>#REF!</v>
      </c>
      <c r="Z60" s="4" t="e">
        <f>IF(VLOOKUP($I60,MarketOutcome,18,FALSE)=0,"",VLOOKUP($I60,MarketOutcome,18,FALSE))</f>
        <v>#REF!</v>
      </c>
      <c r="AA60" s="4" t="e">
        <f>IF(VLOOKUP($I60,MarketOutcome,19,FALSE)=0,"",VLOOKUP($I60,MarketOutcome,19,FALSE))</f>
        <v>#REF!</v>
      </c>
      <c r="AB60" s="4" t="e">
        <f>IF(VLOOKUP($I60,MarketOutcome,20,FALSE)=0,"",VLOOKUP($I60,MarketOutcome,20,FALSE))</f>
        <v>#REF!</v>
      </c>
      <c r="AC60" s="4" t="e">
        <f>IF(VLOOKUP($I60,MarketOutcome,21,FALSE)=0,"",VLOOKUP($I60,MarketOutcome,21,FALSE))</f>
        <v>#REF!</v>
      </c>
      <c r="AD60" s="4" t="e">
        <f>IF(VLOOKUP($I60,MarketOutcome,22,FALSE)=0,"",VLOOKUP($I60,MarketOutcome,22,FALSE))</f>
        <v>#REF!</v>
      </c>
      <c r="AE60" s="4" t="e">
        <f>IF(VLOOKUP($I60,MarketOutcome,23,FALSE)=0,"",VLOOKUP($I60,MarketOutcome,23,FALSE))</f>
        <v>#REF!</v>
      </c>
      <c r="AF60" s="4" t="e">
        <f>IF(VLOOKUP($I60,MarketOutcome,24,FALSE)=0,"",VLOOKUP($I60,MarketOutcome,24,FALSE))</f>
        <v>#REF!</v>
      </c>
      <c r="AG60" s="4" t="e">
        <f>IF(VLOOKUP($I60,MarketOutcome,25,FALSE)=0,"",VLOOKUP($I60,MarketOutcome,25,FALSE))</f>
        <v>#REF!</v>
      </c>
      <c r="AH60" s="4" t="e">
        <f>IF(VLOOKUP($I60,MarketOutcome,26,FALSE)=0,"",VLOOKUP($I60,MarketOutcome,26,FALSE))</f>
        <v>#REF!</v>
      </c>
      <c r="AI60" s="4" t="e">
        <f>IF(VLOOKUP($I60,MarketOutcome,27,FALSE)=0,"",VLOOKUP($I60,MarketOutcome,27,FALSE))</f>
        <v>#REF!</v>
      </c>
      <c r="AJ60" s="4" t="e">
        <f>IF(VLOOKUP($I60,MarketOutcome,28,FALSE)=0,"",VLOOKUP($I60,MarketOutcome,28,FALSE))</f>
        <v>#REF!</v>
      </c>
    </row>
    <row r="61" spans="1:37">
      <c r="A61" s="255"/>
      <c r="B61" s="5">
        <v>45</v>
      </c>
      <c r="C61" s="74" t="s">
        <v>1134</v>
      </c>
      <c r="D61" s="5">
        <f t="shared" si="6"/>
        <v>94</v>
      </c>
      <c r="E61" s="5">
        <f t="shared" si="4"/>
        <v>95</v>
      </c>
      <c r="F61" s="5">
        <v>2</v>
      </c>
      <c r="G61" s="299" t="str">
        <f t="shared" si="5"/>
        <v xml:space="preserve">00 00 </v>
      </c>
      <c r="H61" s="299"/>
      <c r="I61" s="300">
        <f>IF('Betslip 1x2'!N39="ERRO",0,'Betslip 1x2'!N39)</f>
        <v>0</v>
      </c>
      <c r="J61" s="300"/>
    </row>
  </sheetData>
  <mergeCells count="103">
    <mergeCell ref="G22:H22"/>
    <mergeCell ref="I22:J22"/>
    <mergeCell ref="G6:H6"/>
    <mergeCell ref="I6:J6"/>
    <mergeCell ref="G9:H9"/>
    <mergeCell ref="I9:J9"/>
    <mergeCell ref="G10:H10"/>
    <mergeCell ref="I10:J10"/>
    <mergeCell ref="G21:H21"/>
    <mergeCell ref="I21:J21"/>
    <mergeCell ref="G11:H11"/>
    <mergeCell ref="I11:J11"/>
    <mergeCell ref="G12:H12"/>
    <mergeCell ref="I12:J12"/>
    <mergeCell ref="G17:H17"/>
    <mergeCell ref="I17:J17"/>
    <mergeCell ref="G18:H18"/>
    <mergeCell ref="I18:J18"/>
    <mergeCell ref="I19:J19"/>
    <mergeCell ref="G20:H20"/>
    <mergeCell ref="I20:J20"/>
    <mergeCell ref="G30:H30"/>
    <mergeCell ref="I30:J30"/>
    <mergeCell ref="G31:H31"/>
    <mergeCell ref="I31:J31"/>
    <mergeCell ref="G32:H32"/>
    <mergeCell ref="I32:J32"/>
    <mergeCell ref="G23:H23"/>
    <mergeCell ref="I23:J23"/>
    <mergeCell ref="G24:H24"/>
    <mergeCell ref="I24:J24"/>
    <mergeCell ref="G29:H29"/>
    <mergeCell ref="I29:J29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AL17:AN17"/>
    <mergeCell ref="AL6:AN6"/>
    <mergeCell ref="AL29:AN29"/>
    <mergeCell ref="D2:J2"/>
    <mergeCell ref="A54:A57"/>
    <mergeCell ref="A58:A61"/>
    <mergeCell ref="G60:H60"/>
    <mergeCell ref="I60:J60"/>
    <mergeCell ref="G61:H61"/>
    <mergeCell ref="I61:J61"/>
    <mergeCell ref="G59:H59"/>
    <mergeCell ref="I59:J59"/>
    <mergeCell ref="A30:A33"/>
    <mergeCell ref="A34:A37"/>
    <mergeCell ref="A38:A41"/>
    <mergeCell ref="A42:A45"/>
    <mergeCell ref="A46:A49"/>
    <mergeCell ref="A50:A53"/>
    <mergeCell ref="G57:H57"/>
    <mergeCell ref="I57:J57"/>
    <mergeCell ref="G58:H58"/>
    <mergeCell ref="I58:J58"/>
    <mergeCell ref="G54:H54"/>
    <mergeCell ref="I54:J54"/>
  </mergeCells>
  <dataValidations disablePrompts="1" count="2">
    <dataValidation type="list" allowBlank="1" showInputMessage="1" showErrorMessage="1" sqref="I23:J23" xr:uid="{00000000-0002-0000-0200-000000000000}">
      <formula1>Montante_Base</formula1>
    </dataValidation>
    <dataValidation type="whole" errorStyle="warning" allowBlank="1" showInputMessage="1" showErrorMessage="1" errorTitle="Número de selecções inválido" error="Introduza no máximo 8 selecções!" sqref="I24:J24" xr:uid="{00000000-0002-0000-0200-000001000000}">
      <formula1>1</formula1>
      <formula2>8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lha21">
    <tabColor rgb="FF00B050"/>
  </sheetPr>
  <dimension ref="A1:P61"/>
  <sheetViews>
    <sheetView workbookViewId="0">
      <selection activeCell="C4" sqref="C4"/>
    </sheetView>
  </sheetViews>
  <sheetFormatPr defaultRowHeight="15"/>
  <cols>
    <col min="1" max="1" width="2.140625" customWidth="1"/>
    <col min="2" max="2" width="17.85546875" customWidth="1"/>
    <col min="3" max="3" width="28.28515625" bestFit="1" customWidth="1"/>
    <col min="4" max="4" width="5.140625" bestFit="1" customWidth="1"/>
    <col min="5" max="5" width="4.28515625" bestFit="1" customWidth="1"/>
    <col min="6" max="6" width="4.5703125" bestFit="1" customWidth="1"/>
    <col min="7" max="8" width="15.140625" customWidth="1"/>
    <col min="9" max="9" width="18.140625" customWidth="1"/>
    <col min="10" max="10" width="17.5703125" customWidth="1"/>
    <col min="11" max="11" width="5.7109375" customWidth="1"/>
    <col min="12" max="12" width="14.7109375" style="29" bestFit="1" customWidth="1"/>
  </cols>
  <sheetData>
    <row r="1" spans="1:16">
      <c r="A1" s="20"/>
      <c r="B1" s="161" t="s">
        <v>0</v>
      </c>
      <c r="C1" s="20"/>
      <c r="D1" s="20"/>
      <c r="E1" s="20"/>
      <c r="F1" s="20"/>
      <c r="G1" s="20"/>
      <c r="H1" s="20"/>
      <c r="I1" s="20"/>
      <c r="J1" s="20"/>
      <c r="K1" s="20"/>
    </row>
    <row r="2" spans="1:16" ht="18.75">
      <c r="B2" s="14" t="s">
        <v>1103</v>
      </c>
      <c r="L2" s="29" t="s">
        <v>1135</v>
      </c>
      <c r="M2" s="163"/>
    </row>
    <row r="4" spans="1:16">
      <c r="B4" s="7" t="s">
        <v>1104</v>
      </c>
      <c r="C4" s="162"/>
      <c r="P4" s="51"/>
    </row>
    <row r="6" spans="1:16">
      <c r="B6" s="15" t="s">
        <v>1105</v>
      </c>
      <c r="C6" s="15" t="s">
        <v>1106</v>
      </c>
      <c r="D6" s="15" t="s">
        <v>1107</v>
      </c>
      <c r="E6" s="15" t="s">
        <v>1108</v>
      </c>
      <c r="F6" s="15" t="s">
        <v>1109</v>
      </c>
      <c r="G6" s="307" t="s">
        <v>1110</v>
      </c>
      <c r="H6" s="307"/>
      <c r="I6" s="307" t="s">
        <v>1111</v>
      </c>
      <c r="J6" s="307"/>
      <c r="L6" s="293" t="s">
        <v>1112</v>
      </c>
      <c r="M6" s="294"/>
      <c r="N6" s="295"/>
    </row>
    <row r="7" spans="1:16">
      <c r="B7" s="2">
        <v>1</v>
      </c>
      <c r="C7" s="3" t="s">
        <v>1113</v>
      </c>
      <c r="D7" s="2">
        <v>1</v>
      </c>
      <c r="E7" s="2">
        <f t="shared" ref="E7:E12" si="0">D7+F7-1</f>
        <v>1</v>
      </c>
      <c r="F7" s="2">
        <v>1</v>
      </c>
      <c r="G7" s="2" t="str">
        <f>TRIM(MID($C$4,1,1))</f>
        <v/>
      </c>
      <c r="H7" s="2" t="str">
        <f>TRIM(MID($C$4,2,1))</f>
        <v/>
      </c>
      <c r="I7" s="2">
        <f>HEX2DEC(SUBSTITUTE(G7," ",""))</f>
        <v>0</v>
      </c>
      <c r="J7" s="2">
        <f>HEX2DEC(SUBSTITUTE(H7," ",""))</f>
        <v>0</v>
      </c>
      <c r="L7" s="69" t="str">
        <f>IF(MOD(INT(HEX2BIN(G7,4)/(2^(3-1))),2)=1,CONCATENATE("This is a Retry"),CONCATENATE("This is NOT a Retry"))</f>
        <v>This is NOT a Retry</v>
      </c>
      <c r="M7" s="107"/>
      <c r="N7" s="68"/>
    </row>
    <row r="8" spans="1:16">
      <c r="B8" s="2">
        <v>2</v>
      </c>
      <c r="C8" s="3" t="s">
        <v>1114</v>
      </c>
      <c r="D8" s="2">
        <f>E7+1</f>
        <v>2</v>
      </c>
      <c r="E8" s="2">
        <f t="shared" si="0"/>
        <v>2</v>
      </c>
      <c r="F8" s="2">
        <v>1</v>
      </c>
      <c r="G8" s="2" t="str">
        <f>TRIM(MID($C$4,4,1))</f>
        <v/>
      </c>
      <c r="H8" s="2" t="str">
        <f>TRIM(MID($C$4,5,1))</f>
        <v/>
      </c>
      <c r="I8" s="2">
        <f>HEX2DEC(SUBSTITUTE(G8," ",""))</f>
        <v>0</v>
      </c>
      <c r="J8" s="2">
        <f>HEX2DEC(SUBSTITUTE(H8," ",""))</f>
        <v>0</v>
      </c>
      <c r="L8" s="67" t="str">
        <f>IF(ISNA(VLOOKUP(CONCATENATE(G8,H8),'IGS Configuration Values'!$B$22:$D$27,2,FALSE))=TRUE,"Invalid Type/Subtype",VLOOKUP(CONCATENATE(G8,H8),'IGS Configuration Values'!$B$22:$D$27,2,))</f>
        <v>Invalid Type/Subtype</v>
      </c>
      <c r="M8" s="68"/>
      <c r="N8" s="68"/>
    </row>
    <row r="9" spans="1:16">
      <c r="B9" s="2">
        <v>3</v>
      </c>
      <c r="C9" s="3" t="s">
        <v>1115</v>
      </c>
      <c r="D9" s="2">
        <f>E8+1</f>
        <v>3</v>
      </c>
      <c r="E9" s="2">
        <f t="shared" si="0"/>
        <v>4</v>
      </c>
      <c r="F9" s="2">
        <v>2</v>
      </c>
      <c r="G9" s="255" t="str">
        <f>TRIM(MID($C$4,(D9-1)*3+1,F9*3))</f>
        <v/>
      </c>
      <c r="H9" s="255"/>
      <c r="I9" s="231">
        <f>HEX2DEC(SUBSTITUTE(G9," ",""))</f>
        <v>0</v>
      </c>
      <c r="J9" s="231"/>
      <c r="L9" s="58"/>
    </row>
    <row r="10" spans="1:16">
      <c r="B10" s="2">
        <v>4</v>
      </c>
      <c r="C10" s="3" t="s">
        <v>1117</v>
      </c>
      <c r="D10" s="2">
        <f>E9+1</f>
        <v>5</v>
      </c>
      <c r="E10" s="2">
        <f t="shared" si="0"/>
        <v>5</v>
      </c>
      <c r="F10" s="2">
        <v>1</v>
      </c>
      <c r="G10" s="255" t="str">
        <f>TRIM(MID($C$4,(D10-1)*3+1,F10*3))</f>
        <v/>
      </c>
      <c r="H10" s="255"/>
      <c r="I10" s="231">
        <f>HEX2DEC(SUBSTITUTE(G10," ",""))</f>
        <v>0</v>
      </c>
      <c r="J10" s="231"/>
      <c r="L10" s="67" t="str">
        <f>IF(ISNA(VLOOKUP(G10,'IGS Configuration Values'!$B$32:$D$40,2,FALSE))=TRUE,"Invalid Statistics",VLOOKUP(G10,'IGS Configuration Values'!$B$32:$D$40,2,FALSE))</f>
        <v>Invalid Statistics</v>
      </c>
      <c r="M10" s="68"/>
      <c r="N10" s="68"/>
    </row>
    <row r="11" spans="1:16">
      <c r="B11" s="2">
        <v>5</v>
      </c>
      <c r="C11" s="3" t="s">
        <v>1119</v>
      </c>
      <c r="D11" s="2">
        <f>E10+1</f>
        <v>6</v>
      </c>
      <c r="E11" s="2">
        <f t="shared" si="0"/>
        <v>6</v>
      </c>
      <c r="F11" s="2">
        <v>1</v>
      </c>
      <c r="G11" s="255" t="str">
        <f>TRIM(MID($C$4,(D11-1)*3+1,F11*3))</f>
        <v/>
      </c>
      <c r="H11" s="255"/>
      <c r="I11" s="231">
        <f>HEX2DEC(SUBSTITUTE(G11," ",""))</f>
        <v>0</v>
      </c>
      <c r="J11" s="231"/>
      <c r="L11" s="67" t="str">
        <f>IF(ISNA(VLOOKUP(CONCATENATE(G11,G12),'IGS Configuration Values'!$B$4:$C$17,2,FALSE))=TRUE,"Invalid Game Type",VLOOKUP(CONCATENATE(G11,G12),'IGS Configuration Values'!$B$4:$C$17,2,FALSE))</f>
        <v>Invalid Game Type</v>
      </c>
      <c r="M11" s="68"/>
      <c r="N11" s="68"/>
    </row>
    <row r="12" spans="1:16">
      <c r="B12" s="2">
        <v>6</v>
      </c>
      <c r="C12" s="3" t="s">
        <v>1120</v>
      </c>
      <c r="D12" s="2">
        <f>E11+1</f>
        <v>7</v>
      </c>
      <c r="E12" s="2">
        <f t="shared" si="0"/>
        <v>7</v>
      </c>
      <c r="F12" s="2">
        <v>1</v>
      </c>
      <c r="G12" s="255" t="str">
        <f>TRIM(MID($C$4,(D12-1)*3+1,F12*3))</f>
        <v/>
      </c>
      <c r="H12" s="255"/>
      <c r="I12" s="231">
        <f>HEX2DEC(SUBSTITUTE(G12," ",""))</f>
        <v>0</v>
      </c>
      <c r="J12" s="231"/>
      <c r="L12" s="58"/>
    </row>
    <row r="13" spans="1:16">
      <c r="L13" s="58"/>
    </row>
    <row r="14" spans="1:16">
      <c r="L14" s="58"/>
    </row>
    <row r="15" spans="1:16" ht="18.75">
      <c r="B15" s="14" t="s">
        <v>1136</v>
      </c>
      <c r="L15" s="58"/>
    </row>
    <row r="16" spans="1:16">
      <c r="L16" s="58"/>
    </row>
    <row r="17" spans="2:14">
      <c r="B17" s="15" t="s">
        <v>1105</v>
      </c>
      <c r="C17" s="15" t="s">
        <v>1106</v>
      </c>
      <c r="D17" s="15" t="s">
        <v>1107</v>
      </c>
      <c r="E17" s="15" t="s">
        <v>1108</v>
      </c>
      <c r="F17" s="15" t="s">
        <v>1109</v>
      </c>
      <c r="G17" s="307" t="s">
        <v>1110</v>
      </c>
      <c r="H17" s="307"/>
      <c r="I17" s="307" t="s">
        <v>1111</v>
      </c>
      <c r="J17" s="307"/>
      <c r="L17" s="293" t="s">
        <v>1112</v>
      </c>
      <c r="M17" s="294"/>
      <c r="N17" s="295"/>
    </row>
    <row r="18" spans="2:14">
      <c r="B18" s="2">
        <v>7</v>
      </c>
      <c r="C18" s="3" t="s">
        <v>1122</v>
      </c>
      <c r="D18" s="2">
        <f>E12+1</f>
        <v>8</v>
      </c>
      <c r="E18" s="2">
        <f t="shared" ref="E18:E24" si="1">D18+F18-1</f>
        <v>11</v>
      </c>
      <c r="F18" s="2">
        <v>4</v>
      </c>
      <c r="G18" s="255" t="str">
        <f>TRIM(MID($C$4,(D18-1)*3+1,F18*3))</f>
        <v/>
      </c>
      <c r="H18" s="255"/>
      <c r="I18" s="231">
        <f>HEX2DEC(SUBSTITUTE(G18," ",""))</f>
        <v>0</v>
      </c>
      <c r="J18" s="231"/>
      <c r="L18" s="58"/>
    </row>
    <row r="19" spans="2:14">
      <c r="B19" s="2">
        <v>8</v>
      </c>
      <c r="C19" s="3" t="s">
        <v>1124</v>
      </c>
      <c r="D19" s="2">
        <f t="shared" ref="D19:D24" si="2">E18+1</f>
        <v>12</v>
      </c>
      <c r="E19" s="2">
        <f t="shared" si="1"/>
        <v>19</v>
      </c>
      <c r="F19" s="2">
        <v>8</v>
      </c>
      <c r="G19" s="2" t="str">
        <f>TRIM(MID($C$4,(D19-1)*3+1,F19*3/2))</f>
        <v/>
      </c>
      <c r="H19" s="2" t="str">
        <f>TRIM(MID($C$4,(D19+4-1)*3+1,F19*3/2))</f>
        <v/>
      </c>
      <c r="I19" s="324">
        <f>(HEX2DEC(SUBSTITUTE(G19," ",""))*2^32+HEX2DEC(SUBSTITUTE(H19," ","")))</f>
        <v>0</v>
      </c>
      <c r="J19" s="325"/>
      <c r="L19" s="109"/>
    </row>
    <row r="20" spans="2:14">
      <c r="B20" s="2">
        <v>9</v>
      </c>
      <c r="C20" s="3" t="s">
        <v>78</v>
      </c>
      <c r="D20" s="2">
        <f t="shared" si="2"/>
        <v>20</v>
      </c>
      <c r="E20" s="2">
        <f t="shared" si="1"/>
        <v>20</v>
      </c>
      <c r="F20" s="2">
        <v>1</v>
      </c>
      <c r="G20" s="207" t="str">
        <f>TRIM(MID($C$4,(D20-1)*3+1,F20*3))</f>
        <v/>
      </c>
      <c r="H20" s="208"/>
      <c r="I20" s="205">
        <f>HEX2DEC(SUBSTITUTE(G20," ",""))</f>
        <v>0</v>
      </c>
      <c r="J20" s="206"/>
      <c r="L20" s="67" t="str">
        <f>IF(ISNA(VLOOKUP(G20,'IGS Configuration Values'!$B$45:$D$46,2,FALSE))=TRUE,"Invalid ABP Game ID",VLOOKUP(G20,'IGS Configuration Values'!$B$45:$D$46,2,FALSE))</f>
        <v>Invalid ABP Game ID</v>
      </c>
      <c r="M20" s="68"/>
      <c r="N20" s="68"/>
    </row>
    <row r="21" spans="2:14">
      <c r="B21" s="2">
        <v>10</v>
      </c>
      <c r="C21" s="3" t="s">
        <v>1126</v>
      </c>
      <c r="D21" s="2">
        <f t="shared" si="2"/>
        <v>21</v>
      </c>
      <c r="E21" s="2">
        <f t="shared" si="1"/>
        <v>22</v>
      </c>
      <c r="F21" s="2">
        <v>2</v>
      </c>
      <c r="G21" s="207" t="str">
        <f>TRIM(MID($C$4,(D21-1)*3+1,F21*3))</f>
        <v/>
      </c>
      <c r="H21" s="208"/>
      <c r="I21" s="205">
        <f>HEX2DEC(SUBSTITUTE(G21," ",""))</f>
        <v>0</v>
      </c>
      <c r="J21" s="206"/>
      <c r="L21" s="67" t="str">
        <f>IF(I21=1,"Simple Bet",IF(AND(I21=I24,I21&gt;1),"Combined Bet",IF(I24&gt;I21,"Multiple Bet","Invalid Bet Type")))</f>
        <v>Invalid Bet Type</v>
      </c>
      <c r="M21" s="68"/>
      <c r="N21" s="68"/>
    </row>
    <row r="22" spans="2:14">
      <c r="B22" s="196">
        <v>11</v>
      </c>
      <c r="C22" s="197" t="s">
        <v>1127</v>
      </c>
      <c r="D22" s="196">
        <f t="shared" si="2"/>
        <v>23</v>
      </c>
      <c r="E22" s="196">
        <f t="shared" si="1"/>
        <v>26</v>
      </c>
      <c r="F22" s="196">
        <v>4</v>
      </c>
      <c r="G22" s="308" t="str">
        <f>TRIM(MID($C$4,(D22-1)*3+1,F22*3))</f>
        <v/>
      </c>
      <c r="H22" s="309"/>
      <c r="I22" s="326">
        <f>HEX2DEC(SUBSTITUTE(G22," ",""))</f>
        <v>0</v>
      </c>
      <c r="J22" s="327"/>
      <c r="L22" s="58"/>
    </row>
    <row r="23" spans="2:14">
      <c r="B23" s="2">
        <v>12</v>
      </c>
      <c r="C23" s="3" t="s">
        <v>1129</v>
      </c>
      <c r="D23" s="2">
        <f t="shared" si="2"/>
        <v>27</v>
      </c>
      <c r="E23" s="2">
        <f t="shared" si="1"/>
        <v>30</v>
      </c>
      <c r="F23" s="2">
        <v>4</v>
      </c>
      <c r="G23" s="207" t="str">
        <f>TRIM(MID($C$4,(D23-1)*3+1,F23*3))</f>
        <v/>
      </c>
      <c r="H23" s="208"/>
      <c r="I23" s="205">
        <f>HEX2DEC(SUBSTITUTE(G23," ",""))</f>
        <v>0</v>
      </c>
      <c r="J23" s="206"/>
      <c r="K23" s="51" t="s">
        <v>46</v>
      </c>
      <c r="L23" s="59" t="s">
        <v>1137</v>
      </c>
    </row>
    <row r="24" spans="2:14">
      <c r="B24" s="2">
        <v>13</v>
      </c>
      <c r="C24" s="3" t="s">
        <v>1130</v>
      </c>
      <c r="D24" s="2">
        <f t="shared" si="2"/>
        <v>31</v>
      </c>
      <c r="E24" s="2">
        <f t="shared" si="1"/>
        <v>31</v>
      </c>
      <c r="F24" s="2">
        <v>1</v>
      </c>
      <c r="G24" s="207" t="str">
        <f>TRIM(MID($C$4,(D24-1)*3+1,F24*3))</f>
        <v/>
      </c>
      <c r="H24" s="208"/>
      <c r="I24" s="205">
        <f>HEX2DEC(SUBSTITUTE(G24," ",""))</f>
        <v>0</v>
      </c>
      <c r="J24" s="206"/>
      <c r="K24" s="51" t="s">
        <v>46</v>
      </c>
      <c r="L24" s="59" t="s">
        <v>1138</v>
      </c>
    </row>
    <row r="25" spans="2:14">
      <c r="L25" s="58"/>
    </row>
    <row r="26" spans="2:14">
      <c r="L26" s="58"/>
    </row>
    <row r="27" spans="2:14" ht="18.75">
      <c r="B27" s="14" t="s">
        <v>1139</v>
      </c>
      <c r="L27" s="58"/>
    </row>
    <row r="28" spans="2:14">
      <c r="L28" s="58"/>
    </row>
    <row r="29" spans="2:14">
      <c r="B29" s="15" t="s">
        <v>1105</v>
      </c>
      <c r="C29" s="15" t="s">
        <v>1106</v>
      </c>
      <c r="D29" s="15" t="s">
        <v>1107</v>
      </c>
      <c r="E29" s="15" t="s">
        <v>1108</v>
      </c>
      <c r="F29" s="15" t="s">
        <v>1109</v>
      </c>
      <c r="G29" s="307" t="s">
        <v>1110</v>
      </c>
      <c r="H29" s="307"/>
      <c r="I29" s="307" t="s">
        <v>1111</v>
      </c>
      <c r="J29" s="307"/>
      <c r="L29" s="60" t="s">
        <v>1140</v>
      </c>
    </row>
    <row r="30" spans="2:14">
      <c r="B30" s="2">
        <v>14</v>
      </c>
      <c r="C30" s="3" t="s">
        <v>1132</v>
      </c>
      <c r="D30" s="2">
        <f>E24+1</f>
        <v>32</v>
      </c>
      <c r="E30" s="2">
        <f>D30+F30-1</f>
        <v>33</v>
      </c>
      <c r="F30" s="2">
        <v>2</v>
      </c>
      <c r="G30" s="255" t="str">
        <f t="shared" ref="G30:G61" si="3">TRIM(MID($C$4,(D30-1)*3+1,F30*3))</f>
        <v/>
      </c>
      <c r="H30" s="255"/>
      <c r="I30" s="231">
        <f>HEX2DEC(SUBSTITUTE(G30," ",""))</f>
        <v>0</v>
      </c>
      <c r="J30" s="231"/>
    </row>
    <row r="31" spans="2:14">
      <c r="B31" s="2">
        <v>15</v>
      </c>
      <c r="C31" s="3" t="s">
        <v>1055</v>
      </c>
      <c r="D31" s="2">
        <f>E30+1</f>
        <v>34</v>
      </c>
      <c r="E31" s="2">
        <f t="shared" ref="E31:E61" si="4">D31+F31-1</f>
        <v>35</v>
      </c>
      <c r="F31" s="2">
        <v>2</v>
      </c>
      <c r="G31" s="255" t="str">
        <f t="shared" si="3"/>
        <v/>
      </c>
      <c r="H31" s="255"/>
      <c r="I31" s="231">
        <f>HEX2DEC(SUBSTITUTE(G31," ",""))</f>
        <v>0</v>
      </c>
      <c r="J31" s="231"/>
    </row>
    <row r="32" spans="2:14">
      <c r="B32" s="2">
        <v>16</v>
      </c>
      <c r="C32" s="3" t="s">
        <v>1133</v>
      </c>
      <c r="D32" s="2">
        <f t="shared" ref="D32:D61" si="5">E31+1</f>
        <v>36</v>
      </c>
      <c r="E32" s="2">
        <f t="shared" si="4"/>
        <v>37</v>
      </c>
      <c r="F32" s="2">
        <v>2</v>
      </c>
      <c r="G32" s="255" t="str">
        <f t="shared" si="3"/>
        <v/>
      </c>
      <c r="H32" s="255"/>
      <c r="I32" s="231">
        <f>HEX2DEC(SUBSTITUTE(G32," ",""))</f>
        <v>0</v>
      </c>
      <c r="J32" s="231"/>
    </row>
    <row r="33" spans="2:10">
      <c r="B33" s="2">
        <v>17</v>
      </c>
      <c r="C33" s="3" t="s">
        <v>1134</v>
      </c>
      <c r="D33" s="2">
        <f t="shared" si="5"/>
        <v>38</v>
      </c>
      <c r="E33" s="2">
        <f t="shared" si="4"/>
        <v>39</v>
      </c>
      <c r="F33" s="2">
        <v>2</v>
      </c>
      <c r="G33" s="255" t="str">
        <f t="shared" si="3"/>
        <v/>
      </c>
      <c r="H33" s="255"/>
      <c r="I33" s="231">
        <f>HEX2DEC(SUBSTITUTE(G33," ",""))</f>
        <v>0</v>
      </c>
      <c r="J33" s="231"/>
    </row>
    <row r="34" spans="2:10">
      <c r="B34" s="2">
        <v>18</v>
      </c>
      <c r="C34" s="19" t="s">
        <v>1132</v>
      </c>
      <c r="D34" s="18">
        <f t="shared" si="5"/>
        <v>40</v>
      </c>
      <c r="E34" s="18">
        <f t="shared" si="4"/>
        <v>41</v>
      </c>
      <c r="F34" s="18">
        <v>2</v>
      </c>
      <c r="G34" s="301" t="str">
        <f t="shared" si="3"/>
        <v/>
      </c>
      <c r="H34" s="301"/>
      <c r="I34" s="302" t="str">
        <f>IF(HEX2DEC(SUBSTITUTE(G34," ",""))=0," ",HEX2DEC(SUBSTITUTE(G34," ","")))</f>
        <v xml:space="preserve"> </v>
      </c>
      <c r="J34" s="302"/>
    </row>
    <row r="35" spans="2:10">
      <c r="B35" s="2">
        <v>19</v>
      </c>
      <c r="C35" s="19" t="s">
        <v>1055</v>
      </c>
      <c r="D35" s="18">
        <f t="shared" si="5"/>
        <v>42</v>
      </c>
      <c r="E35" s="18">
        <f t="shared" si="4"/>
        <v>43</v>
      </c>
      <c r="F35" s="18">
        <v>2</v>
      </c>
      <c r="G35" s="301" t="str">
        <f t="shared" si="3"/>
        <v/>
      </c>
      <c r="H35" s="301"/>
      <c r="I35" s="302" t="str">
        <f t="shared" ref="I35:I61" si="6">IF(HEX2DEC(SUBSTITUTE(G35," ",""))=0," ",HEX2DEC(SUBSTITUTE(G35," ","")))</f>
        <v xml:space="preserve"> </v>
      </c>
      <c r="J35" s="302"/>
    </row>
    <row r="36" spans="2:10">
      <c r="B36" s="2">
        <v>20</v>
      </c>
      <c r="C36" s="19" t="s">
        <v>1133</v>
      </c>
      <c r="D36" s="18">
        <f t="shared" si="5"/>
        <v>44</v>
      </c>
      <c r="E36" s="18">
        <f t="shared" si="4"/>
        <v>45</v>
      </c>
      <c r="F36" s="18">
        <v>2</v>
      </c>
      <c r="G36" s="301" t="str">
        <f t="shared" si="3"/>
        <v/>
      </c>
      <c r="H36" s="301"/>
      <c r="I36" s="302" t="str">
        <f t="shared" si="6"/>
        <v xml:space="preserve"> </v>
      </c>
      <c r="J36" s="302"/>
    </row>
    <row r="37" spans="2:10">
      <c r="B37" s="2">
        <v>21</v>
      </c>
      <c r="C37" s="19" t="s">
        <v>1134</v>
      </c>
      <c r="D37" s="18">
        <f t="shared" si="5"/>
        <v>46</v>
      </c>
      <c r="E37" s="18">
        <f t="shared" si="4"/>
        <v>47</v>
      </c>
      <c r="F37" s="18">
        <v>2</v>
      </c>
      <c r="G37" s="301" t="str">
        <f t="shared" si="3"/>
        <v/>
      </c>
      <c r="H37" s="301"/>
      <c r="I37" s="302" t="str">
        <f t="shared" si="6"/>
        <v xml:space="preserve"> </v>
      </c>
      <c r="J37" s="302"/>
    </row>
    <row r="38" spans="2:10">
      <c r="B38" s="2">
        <v>22</v>
      </c>
      <c r="C38" s="3" t="s">
        <v>1132</v>
      </c>
      <c r="D38" s="2">
        <f t="shared" si="5"/>
        <v>48</v>
      </c>
      <c r="E38" s="2">
        <f t="shared" si="4"/>
        <v>49</v>
      </c>
      <c r="F38" s="2">
        <v>2</v>
      </c>
      <c r="G38" s="255" t="str">
        <f t="shared" si="3"/>
        <v/>
      </c>
      <c r="H38" s="255"/>
      <c r="I38" s="231" t="str">
        <f t="shared" si="6"/>
        <v xml:space="preserve"> </v>
      </c>
      <c r="J38" s="231"/>
    </row>
    <row r="39" spans="2:10">
      <c r="B39" s="2">
        <v>23</v>
      </c>
      <c r="C39" s="3" t="s">
        <v>1055</v>
      </c>
      <c r="D39" s="2">
        <f t="shared" si="5"/>
        <v>50</v>
      </c>
      <c r="E39" s="2">
        <f t="shared" si="4"/>
        <v>51</v>
      </c>
      <c r="F39" s="2">
        <v>2</v>
      </c>
      <c r="G39" s="255" t="str">
        <f t="shared" si="3"/>
        <v/>
      </c>
      <c r="H39" s="255"/>
      <c r="I39" s="231" t="str">
        <f t="shared" si="6"/>
        <v xml:space="preserve"> </v>
      </c>
      <c r="J39" s="231"/>
    </row>
    <row r="40" spans="2:10">
      <c r="B40" s="2">
        <v>24</v>
      </c>
      <c r="C40" s="3" t="s">
        <v>1133</v>
      </c>
      <c r="D40" s="2">
        <f t="shared" si="5"/>
        <v>52</v>
      </c>
      <c r="E40" s="2">
        <f t="shared" si="4"/>
        <v>53</v>
      </c>
      <c r="F40" s="2">
        <v>2</v>
      </c>
      <c r="G40" s="255" t="str">
        <f t="shared" si="3"/>
        <v/>
      </c>
      <c r="H40" s="255"/>
      <c r="I40" s="231" t="str">
        <f t="shared" si="6"/>
        <v xml:space="preserve"> </v>
      </c>
      <c r="J40" s="231"/>
    </row>
    <row r="41" spans="2:10">
      <c r="B41" s="2">
        <v>25</v>
      </c>
      <c r="C41" s="3" t="s">
        <v>1134</v>
      </c>
      <c r="D41" s="2">
        <f t="shared" si="5"/>
        <v>54</v>
      </c>
      <c r="E41" s="2">
        <f t="shared" si="4"/>
        <v>55</v>
      </c>
      <c r="F41" s="2">
        <v>2</v>
      </c>
      <c r="G41" s="255" t="str">
        <f t="shared" si="3"/>
        <v/>
      </c>
      <c r="H41" s="255"/>
      <c r="I41" s="231" t="str">
        <f t="shared" si="6"/>
        <v xml:space="preserve"> </v>
      </c>
      <c r="J41" s="231"/>
    </row>
    <row r="42" spans="2:10">
      <c r="B42" s="2">
        <v>26</v>
      </c>
      <c r="C42" s="19" t="s">
        <v>1132</v>
      </c>
      <c r="D42" s="18">
        <f t="shared" si="5"/>
        <v>56</v>
      </c>
      <c r="E42" s="18">
        <f t="shared" si="4"/>
        <v>57</v>
      </c>
      <c r="F42" s="18">
        <v>2</v>
      </c>
      <c r="G42" s="301" t="str">
        <f t="shared" si="3"/>
        <v/>
      </c>
      <c r="H42" s="301"/>
      <c r="I42" s="302" t="str">
        <f t="shared" si="6"/>
        <v xml:space="preserve"> </v>
      </c>
      <c r="J42" s="302"/>
    </row>
    <row r="43" spans="2:10">
      <c r="B43" s="2">
        <v>27</v>
      </c>
      <c r="C43" s="19" t="s">
        <v>1055</v>
      </c>
      <c r="D43" s="18">
        <f t="shared" si="5"/>
        <v>58</v>
      </c>
      <c r="E43" s="18">
        <f t="shared" si="4"/>
        <v>59</v>
      </c>
      <c r="F43" s="18">
        <v>2</v>
      </c>
      <c r="G43" s="301" t="str">
        <f t="shared" si="3"/>
        <v/>
      </c>
      <c r="H43" s="301"/>
      <c r="I43" s="302" t="str">
        <f t="shared" si="6"/>
        <v xml:space="preserve"> </v>
      </c>
      <c r="J43" s="302"/>
    </row>
    <row r="44" spans="2:10">
      <c r="B44" s="2">
        <v>28</v>
      </c>
      <c r="C44" s="19" t="s">
        <v>1133</v>
      </c>
      <c r="D44" s="18">
        <f t="shared" si="5"/>
        <v>60</v>
      </c>
      <c r="E44" s="18">
        <f t="shared" si="4"/>
        <v>61</v>
      </c>
      <c r="F44" s="18">
        <v>2</v>
      </c>
      <c r="G44" s="301" t="str">
        <f t="shared" si="3"/>
        <v/>
      </c>
      <c r="H44" s="301"/>
      <c r="I44" s="302" t="str">
        <f t="shared" si="6"/>
        <v xml:space="preserve"> </v>
      </c>
      <c r="J44" s="302"/>
    </row>
    <row r="45" spans="2:10">
      <c r="B45" s="2">
        <v>29</v>
      </c>
      <c r="C45" s="19" t="s">
        <v>1134</v>
      </c>
      <c r="D45" s="18">
        <f t="shared" si="5"/>
        <v>62</v>
      </c>
      <c r="E45" s="18">
        <f t="shared" si="4"/>
        <v>63</v>
      </c>
      <c r="F45" s="18">
        <v>2</v>
      </c>
      <c r="G45" s="301" t="str">
        <f t="shared" si="3"/>
        <v/>
      </c>
      <c r="H45" s="301"/>
      <c r="I45" s="302" t="str">
        <f t="shared" si="6"/>
        <v xml:space="preserve"> </v>
      </c>
      <c r="J45" s="302"/>
    </row>
    <row r="46" spans="2:10">
      <c r="B46" s="2">
        <v>30</v>
      </c>
      <c r="C46" s="3" t="s">
        <v>1132</v>
      </c>
      <c r="D46" s="2">
        <f t="shared" si="5"/>
        <v>64</v>
      </c>
      <c r="E46" s="2">
        <f t="shared" si="4"/>
        <v>65</v>
      </c>
      <c r="F46" s="2">
        <v>2</v>
      </c>
      <c r="G46" s="255" t="str">
        <f t="shared" si="3"/>
        <v/>
      </c>
      <c r="H46" s="255"/>
      <c r="I46" s="231" t="str">
        <f t="shared" si="6"/>
        <v xml:space="preserve"> </v>
      </c>
      <c r="J46" s="231"/>
    </row>
    <row r="47" spans="2:10">
      <c r="B47" s="2">
        <v>31</v>
      </c>
      <c r="C47" s="3" t="s">
        <v>1055</v>
      </c>
      <c r="D47" s="2">
        <f t="shared" si="5"/>
        <v>66</v>
      </c>
      <c r="E47" s="2">
        <f t="shared" si="4"/>
        <v>67</v>
      </c>
      <c r="F47" s="2">
        <v>2</v>
      </c>
      <c r="G47" s="255" t="str">
        <f t="shared" si="3"/>
        <v/>
      </c>
      <c r="H47" s="255"/>
      <c r="I47" s="231" t="str">
        <f t="shared" si="6"/>
        <v xml:space="preserve"> </v>
      </c>
      <c r="J47" s="231"/>
    </row>
    <row r="48" spans="2:10">
      <c r="B48" s="2">
        <v>32</v>
      </c>
      <c r="C48" s="3" t="s">
        <v>1133</v>
      </c>
      <c r="D48" s="2">
        <f t="shared" si="5"/>
        <v>68</v>
      </c>
      <c r="E48" s="2">
        <f t="shared" si="4"/>
        <v>69</v>
      </c>
      <c r="F48" s="2">
        <v>2</v>
      </c>
      <c r="G48" s="255" t="str">
        <f t="shared" si="3"/>
        <v/>
      </c>
      <c r="H48" s="255"/>
      <c r="I48" s="231" t="str">
        <f t="shared" si="6"/>
        <v xml:space="preserve"> </v>
      </c>
      <c r="J48" s="231"/>
    </row>
    <row r="49" spans="2:10">
      <c r="B49" s="2">
        <v>33</v>
      </c>
      <c r="C49" s="3" t="s">
        <v>1134</v>
      </c>
      <c r="D49" s="2">
        <f t="shared" si="5"/>
        <v>70</v>
      </c>
      <c r="E49" s="2">
        <f t="shared" si="4"/>
        <v>71</v>
      </c>
      <c r="F49" s="2">
        <v>2</v>
      </c>
      <c r="G49" s="255" t="str">
        <f t="shared" si="3"/>
        <v/>
      </c>
      <c r="H49" s="255"/>
      <c r="I49" s="231" t="str">
        <f t="shared" si="6"/>
        <v xml:space="preserve"> </v>
      </c>
      <c r="J49" s="231"/>
    </row>
    <row r="50" spans="2:10">
      <c r="B50" s="2">
        <v>34</v>
      </c>
      <c r="C50" s="19" t="s">
        <v>1132</v>
      </c>
      <c r="D50" s="18">
        <f t="shared" si="5"/>
        <v>72</v>
      </c>
      <c r="E50" s="18">
        <f t="shared" si="4"/>
        <v>73</v>
      </c>
      <c r="F50" s="18">
        <v>2</v>
      </c>
      <c r="G50" s="301" t="str">
        <f t="shared" si="3"/>
        <v/>
      </c>
      <c r="H50" s="301"/>
      <c r="I50" s="302" t="str">
        <f t="shared" si="6"/>
        <v xml:space="preserve"> </v>
      </c>
      <c r="J50" s="302"/>
    </row>
    <row r="51" spans="2:10">
      <c r="B51" s="2">
        <v>35</v>
      </c>
      <c r="C51" s="19" t="s">
        <v>1055</v>
      </c>
      <c r="D51" s="18">
        <f t="shared" si="5"/>
        <v>74</v>
      </c>
      <c r="E51" s="18">
        <f t="shared" si="4"/>
        <v>75</v>
      </c>
      <c r="F51" s="18">
        <v>2</v>
      </c>
      <c r="G51" s="301" t="str">
        <f t="shared" si="3"/>
        <v/>
      </c>
      <c r="H51" s="301"/>
      <c r="I51" s="302" t="str">
        <f t="shared" si="6"/>
        <v xml:space="preserve"> </v>
      </c>
      <c r="J51" s="302"/>
    </row>
    <row r="52" spans="2:10">
      <c r="B52" s="2">
        <v>36</v>
      </c>
      <c r="C52" s="19" t="s">
        <v>1133</v>
      </c>
      <c r="D52" s="18">
        <f t="shared" si="5"/>
        <v>76</v>
      </c>
      <c r="E52" s="18">
        <f t="shared" si="4"/>
        <v>77</v>
      </c>
      <c r="F52" s="18">
        <v>2</v>
      </c>
      <c r="G52" s="301" t="str">
        <f t="shared" si="3"/>
        <v/>
      </c>
      <c r="H52" s="301"/>
      <c r="I52" s="302" t="str">
        <f t="shared" si="6"/>
        <v xml:space="preserve"> </v>
      </c>
      <c r="J52" s="302"/>
    </row>
    <row r="53" spans="2:10">
      <c r="B53" s="2">
        <v>37</v>
      </c>
      <c r="C53" s="19" t="s">
        <v>1134</v>
      </c>
      <c r="D53" s="18">
        <f t="shared" si="5"/>
        <v>78</v>
      </c>
      <c r="E53" s="18">
        <f t="shared" si="4"/>
        <v>79</v>
      </c>
      <c r="F53" s="18">
        <v>2</v>
      </c>
      <c r="G53" s="301" t="str">
        <f t="shared" si="3"/>
        <v/>
      </c>
      <c r="H53" s="301"/>
      <c r="I53" s="302" t="str">
        <f t="shared" si="6"/>
        <v xml:space="preserve"> </v>
      </c>
      <c r="J53" s="302"/>
    </row>
    <row r="54" spans="2:10">
      <c r="B54" s="2">
        <v>38</v>
      </c>
      <c r="C54" s="3" t="s">
        <v>1132</v>
      </c>
      <c r="D54" s="2">
        <f t="shared" si="5"/>
        <v>80</v>
      </c>
      <c r="E54" s="2">
        <f t="shared" si="4"/>
        <v>81</v>
      </c>
      <c r="F54" s="2">
        <v>2</v>
      </c>
      <c r="G54" s="255" t="str">
        <f t="shared" si="3"/>
        <v/>
      </c>
      <c r="H54" s="255"/>
      <c r="I54" s="231" t="str">
        <f t="shared" si="6"/>
        <v xml:space="preserve"> </v>
      </c>
      <c r="J54" s="231"/>
    </row>
    <row r="55" spans="2:10">
      <c r="B55" s="2">
        <v>39</v>
      </c>
      <c r="C55" s="3" t="s">
        <v>1055</v>
      </c>
      <c r="D55" s="2">
        <f t="shared" si="5"/>
        <v>82</v>
      </c>
      <c r="E55" s="2">
        <f t="shared" si="4"/>
        <v>83</v>
      </c>
      <c r="F55" s="2">
        <v>2</v>
      </c>
      <c r="G55" s="255" t="str">
        <f t="shared" si="3"/>
        <v/>
      </c>
      <c r="H55" s="255"/>
      <c r="I55" s="231" t="str">
        <f t="shared" si="6"/>
        <v xml:space="preserve"> </v>
      </c>
      <c r="J55" s="231"/>
    </row>
    <row r="56" spans="2:10">
      <c r="B56" s="2">
        <v>40</v>
      </c>
      <c r="C56" s="3" t="s">
        <v>1133</v>
      </c>
      <c r="D56" s="2">
        <f t="shared" si="5"/>
        <v>84</v>
      </c>
      <c r="E56" s="2">
        <f t="shared" si="4"/>
        <v>85</v>
      </c>
      <c r="F56" s="2">
        <v>2</v>
      </c>
      <c r="G56" s="255" t="str">
        <f t="shared" si="3"/>
        <v/>
      </c>
      <c r="H56" s="255"/>
      <c r="I56" s="231" t="str">
        <f t="shared" si="6"/>
        <v xml:space="preserve"> </v>
      </c>
      <c r="J56" s="231"/>
    </row>
    <row r="57" spans="2:10">
      <c r="B57" s="2">
        <v>41</v>
      </c>
      <c r="C57" s="3" t="s">
        <v>1134</v>
      </c>
      <c r="D57" s="2">
        <f t="shared" si="5"/>
        <v>86</v>
      </c>
      <c r="E57" s="2">
        <f t="shared" si="4"/>
        <v>87</v>
      </c>
      <c r="F57" s="2">
        <v>2</v>
      </c>
      <c r="G57" s="255" t="str">
        <f t="shared" si="3"/>
        <v/>
      </c>
      <c r="H57" s="255"/>
      <c r="I57" s="231" t="str">
        <f t="shared" si="6"/>
        <v xml:space="preserve"> </v>
      </c>
      <c r="J57" s="231"/>
    </row>
    <row r="58" spans="2:10">
      <c r="B58" s="2">
        <v>42</v>
      </c>
      <c r="C58" s="19" t="s">
        <v>1132</v>
      </c>
      <c r="D58" s="18">
        <f t="shared" si="5"/>
        <v>88</v>
      </c>
      <c r="E58" s="18">
        <f t="shared" si="4"/>
        <v>89</v>
      </c>
      <c r="F58" s="18">
        <v>2</v>
      </c>
      <c r="G58" s="301" t="str">
        <f t="shared" si="3"/>
        <v/>
      </c>
      <c r="H58" s="301"/>
      <c r="I58" s="302" t="str">
        <f t="shared" si="6"/>
        <v xml:space="preserve"> </v>
      </c>
      <c r="J58" s="302"/>
    </row>
    <row r="59" spans="2:10">
      <c r="B59" s="2">
        <v>43</v>
      </c>
      <c r="C59" s="19" t="s">
        <v>1055</v>
      </c>
      <c r="D59" s="18">
        <f t="shared" si="5"/>
        <v>90</v>
      </c>
      <c r="E59" s="18">
        <f t="shared" si="4"/>
        <v>91</v>
      </c>
      <c r="F59" s="18">
        <v>2</v>
      </c>
      <c r="G59" s="301" t="str">
        <f t="shared" si="3"/>
        <v/>
      </c>
      <c r="H59" s="301"/>
      <c r="I59" s="302" t="str">
        <f t="shared" si="6"/>
        <v xml:space="preserve"> </v>
      </c>
      <c r="J59" s="302"/>
    </row>
    <row r="60" spans="2:10">
      <c r="B60" s="2">
        <v>44</v>
      </c>
      <c r="C60" s="19" t="s">
        <v>1133</v>
      </c>
      <c r="D60" s="18">
        <f t="shared" si="5"/>
        <v>92</v>
      </c>
      <c r="E60" s="18">
        <f t="shared" si="4"/>
        <v>93</v>
      </c>
      <c r="F60" s="18">
        <v>2</v>
      </c>
      <c r="G60" s="301" t="str">
        <f t="shared" si="3"/>
        <v/>
      </c>
      <c r="H60" s="301"/>
      <c r="I60" s="302" t="str">
        <f t="shared" si="6"/>
        <v xml:space="preserve"> </v>
      </c>
      <c r="J60" s="302"/>
    </row>
    <row r="61" spans="2:10">
      <c r="B61" s="2">
        <v>45</v>
      </c>
      <c r="C61" s="19" t="s">
        <v>1134</v>
      </c>
      <c r="D61" s="18">
        <f t="shared" si="5"/>
        <v>94</v>
      </c>
      <c r="E61" s="18">
        <f t="shared" si="4"/>
        <v>95</v>
      </c>
      <c r="F61" s="18">
        <v>2</v>
      </c>
      <c r="G61" s="301" t="str">
        <f t="shared" si="3"/>
        <v/>
      </c>
      <c r="H61" s="301"/>
      <c r="I61" s="302" t="str">
        <f t="shared" si="6"/>
        <v xml:space="preserve"> </v>
      </c>
      <c r="J61" s="302"/>
    </row>
  </sheetData>
  <mergeCells count="93">
    <mergeCell ref="I19:J19"/>
    <mergeCell ref="G24:H24"/>
    <mergeCell ref="I24:J24"/>
    <mergeCell ref="G20:H20"/>
    <mergeCell ref="I20:J20"/>
    <mergeCell ref="G21:H21"/>
    <mergeCell ref="I21:J21"/>
    <mergeCell ref="G23:H23"/>
    <mergeCell ref="I23:J23"/>
    <mergeCell ref="G22:H22"/>
    <mergeCell ref="I22:J22"/>
    <mergeCell ref="G35:H35"/>
    <mergeCell ref="I35:J35"/>
    <mergeCell ref="G12:H12"/>
    <mergeCell ref="I12:J12"/>
    <mergeCell ref="G6:H6"/>
    <mergeCell ref="I6:J6"/>
    <mergeCell ref="G9:H9"/>
    <mergeCell ref="I9:J9"/>
    <mergeCell ref="G10:H10"/>
    <mergeCell ref="I10:J10"/>
    <mergeCell ref="G11:H11"/>
    <mergeCell ref="I11:J11"/>
    <mergeCell ref="G17:H17"/>
    <mergeCell ref="I17:J17"/>
    <mergeCell ref="G18:H18"/>
    <mergeCell ref="I18:J18"/>
    <mergeCell ref="G36:H36"/>
    <mergeCell ref="I36:J36"/>
    <mergeCell ref="G37:H37"/>
    <mergeCell ref="I37:J37"/>
    <mergeCell ref="G38:H38"/>
    <mergeCell ref="I38:J38"/>
    <mergeCell ref="G39:H39"/>
    <mergeCell ref="I39:J39"/>
    <mergeCell ref="G40:H40"/>
    <mergeCell ref="I40:J40"/>
    <mergeCell ref="G41:H41"/>
    <mergeCell ref="I41:J41"/>
    <mergeCell ref="G42:H42"/>
    <mergeCell ref="I42:J42"/>
    <mergeCell ref="G43:H43"/>
    <mergeCell ref="I43:J43"/>
    <mergeCell ref="G44:H44"/>
    <mergeCell ref="I44:J44"/>
    <mergeCell ref="G50:H50"/>
    <mergeCell ref="I50:J50"/>
    <mergeCell ref="G45:H45"/>
    <mergeCell ref="I45:J45"/>
    <mergeCell ref="G46:H46"/>
    <mergeCell ref="I46:J46"/>
    <mergeCell ref="G47:H47"/>
    <mergeCell ref="I47:J47"/>
    <mergeCell ref="G59:H59"/>
    <mergeCell ref="I59:J59"/>
    <mergeCell ref="G54:H54"/>
    <mergeCell ref="I54:J54"/>
    <mergeCell ref="G55:H55"/>
    <mergeCell ref="I55:J55"/>
    <mergeCell ref="G56:H56"/>
    <mergeCell ref="I56:J56"/>
    <mergeCell ref="G34:H34"/>
    <mergeCell ref="I34:J34"/>
    <mergeCell ref="G57:H57"/>
    <mergeCell ref="I57:J57"/>
    <mergeCell ref="G58:H58"/>
    <mergeCell ref="I58:J58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L6:N6"/>
    <mergeCell ref="L17:N17"/>
    <mergeCell ref="G60:H60"/>
    <mergeCell ref="I60:J60"/>
    <mergeCell ref="G61:H61"/>
    <mergeCell ref="I61:J61"/>
    <mergeCell ref="G29:H29"/>
    <mergeCell ref="I29:J29"/>
    <mergeCell ref="G30:H30"/>
    <mergeCell ref="I30:J30"/>
    <mergeCell ref="G31:H31"/>
    <mergeCell ref="I31:J31"/>
    <mergeCell ref="G32:H32"/>
    <mergeCell ref="I32:J32"/>
    <mergeCell ref="G33:H33"/>
    <mergeCell ref="I33:J3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lha31">
    <tabColor rgb="FF00B050"/>
  </sheetPr>
  <dimension ref="A1:N95"/>
  <sheetViews>
    <sheetView workbookViewId="0">
      <selection activeCell="C4" sqref="C4"/>
    </sheetView>
  </sheetViews>
  <sheetFormatPr defaultRowHeight="15"/>
  <cols>
    <col min="1" max="1" width="2.140625" customWidth="1"/>
    <col min="2" max="2" width="17.85546875" customWidth="1"/>
    <col min="3" max="3" width="28.28515625" bestFit="1" customWidth="1"/>
    <col min="4" max="4" width="5.140625" bestFit="1" customWidth="1"/>
    <col min="5" max="5" width="4.28515625" bestFit="1" customWidth="1"/>
    <col min="6" max="6" width="4.5703125" bestFit="1" customWidth="1"/>
    <col min="7" max="8" width="15.140625" customWidth="1"/>
    <col min="9" max="9" width="23.140625" bestFit="1" customWidth="1"/>
    <col min="10" max="10" width="17.5703125" customWidth="1"/>
    <col min="11" max="11" width="5.7109375" customWidth="1"/>
    <col min="12" max="12" width="9.140625" style="29"/>
  </cols>
  <sheetData>
    <row r="1" spans="1:14">
      <c r="A1" s="20"/>
      <c r="B1" s="161" t="s">
        <v>0</v>
      </c>
      <c r="C1" s="20"/>
      <c r="D1" s="20"/>
      <c r="E1" s="20"/>
      <c r="F1" s="20"/>
      <c r="G1" s="20"/>
      <c r="H1" s="20"/>
      <c r="I1" s="20"/>
      <c r="J1" s="20"/>
      <c r="K1" s="20"/>
    </row>
    <row r="2" spans="1:14" ht="18.75">
      <c r="B2" s="14" t="s">
        <v>1141</v>
      </c>
      <c r="L2" s="29" t="s">
        <v>1135</v>
      </c>
      <c r="M2" s="163"/>
    </row>
    <row r="4" spans="1:14">
      <c r="B4" s="7" t="s">
        <v>1104</v>
      </c>
      <c r="C4" s="188" t="s">
        <v>1142</v>
      </c>
    </row>
    <row r="6" spans="1:14">
      <c r="B6" s="15" t="s">
        <v>1105</v>
      </c>
      <c r="C6" s="15" t="s">
        <v>1106</v>
      </c>
      <c r="D6" s="15" t="s">
        <v>1107</v>
      </c>
      <c r="E6" s="15" t="s">
        <v>1108</v>
      </c>
      <c r="F6" s="15" t="s">
        <v>1109</v>
      </c>
      <c r="G6" s="307" t="s">
        <v>1110</v>
      </c>
      <c r="H6" s="307"/>
      <c r="I6" s="307" t="s">
        <v>1111</v>
      </c>
      <c r="J6" s="307"/>
      <c r="L6" s="293" t="s">
        <v>1112</v>
      </c>
      <c r="M6" s="294"/>
      <c r="N6" s="295"/>
    </row>
    <row r="7" spans="1:14">
      <c r="B7" s="2">
        <v>1</v>
      </c>
      <c r="C7" s="3" t="s">
        <v>1113</v>
      </c>
      <c r="D7" s="2">
        <v>1</v>
      </c>
      <c r="E7" s="2">
        <f>D7+F7-1</f>
        <v>1</v>
      </c>
      <c r="F7" s="2">
        <v>1</v>
      </c>
      <c r="G7" s="2" t="str">
        <f>TRIM(MID($C$4,1,1))</f>
        <v>e</v>
      </c>
      <c r="H7" s="2" t="str">
        <f>TRIM(MID($C$4,2,1))</f>
        <v>3</v>
      </c>
      <c r="I7" s="2">
        <f>HEX2DEC(SUBSTITUTE(G7," ",""))</f>
        <v>14</v>
      </c>
      <c r="J7" s="2">
        <f>HEX2DEC(SUBSTITUTE(H7," ",""))</f>
        <v>3</v>
      </c>
      <c r="L7" s="69" t="str">
        <f>IF(MOD(INT(HEX2BIN(G7,4)/(2^(3-1))),2)=1,CONCATENATE("This is a Retry"),CONCATENATE("This is NOT a Retry"))</f>
        <v>This is a Retry</v>
      </c>
      <c r="M7" s="68"/>
      <c r="N7" s="68"/>
    </row>
    <row r="8" spans="1:14">
      <c r="B8" s="2">
        <v>2</v>
      </c>
      <c r="C8" s="3" t="s">
        <v>1114</v>
      </c>
      <c r="D8" s="2">
        <f>E7+1</f>
        <v>2</v>
      </c>
      <c r="E8" s="2">
        <f>D8+F8-1</f>
        <v>2</v>
      </c>
      <c r="F8" s="2">
        <v>1</v>
      </c>
      <c r="G8" s="2" t="str">
        <f>TRIM(MID($C$4,4,1))</f>
        <v>c</v>
      </c>
      <c r="H8" s="2" t="str">
        <f>TRIM(MID($C$4,5,1))</f>
        <v>b</v>
      </c>
      <c r="I8" s="2">
        <f>HEX2DEC(SUBSTITUTE(G8," ",""))</f>
        <v>12</v>
      </c>
      <c r="J8" s="2">
        <f>HEX2DEC(SUBSTITUTE(H8," ",""))</f>
        <v>11</v>
      </c>
      <c r="L8" s="67" t="str">
        <f>IF(ISNA(VLOOKUP(CONCATENATE(G8,H8),'IGS Configuration Values'!$B$22:$D$27,2,FALSE))=TRUE,"Invalid Type/Subtype",VLOOKUP(CONCATENATE(G8,H8),'IGS Configuration Values'!$B$22:$D$27,2,))</f>
        <v>Invalid Type/Subtype</v>
      </c>
      <c r="M8" s="68"/>
      <c r="N8" s="68"/>
    </row>
    <row r="9" spans="1:14">
      <c r="B9" s="2">
        <v>3</v>
      </c>
      <c r="C9" s="3" t="s">
        <v>1115</v>
      </c>
      <c r="D9" s="2">
        <f>E8+1</f>
        <v>3</v>
      </c>
      <c r="E9" s="2">
        <f>D9+F9-1</f>
        <v>4</v>
      </c>
      <c r="F9" s="2">
        <v>2</v>
      </c>
      <c r="G9" s="255" t="str">
        <f>TRIM(MID($C$4,(D9-1)*3+1,F9*3))</f>
        <v>cc 12</v>
      </c>
      <c r="H9" s="255"/>
      <c r="I9" s="231">
        <f>HEX2DEC(SUBSTITUTE(G9," ",""))</f>
        <v>52242</v>
      </c>
      <c r="J9" s="231"/>
      <c r="L9" s="58"/>
    </row>
    <row r="10" spans="1:14">
      <c r="B10" s="2">
        <v>4</v>
      </c>
      <c r="C10" s="3" t="s">
        <v>1119</v>
      </c>
      <c r="D10" s="2">
        <f>E9+1</f>
        <v>5</v>
      </c>
      <c r="E10" s="2">
        <f>D10+F10-1</f>
        <v>5</v>
      </c>
      <c r="F10" s="2">
        <v>1</v>
      </c>
      <c r="G10" s="255" t="str">
        <f>TRIM(MID($C$4,(D10-1)*3+1,F10*3))</f>
        <v>01</v>
      </c>
      <c r="H10" s="255"/>
      <c r="I10" s="231">
        <f>HEX2DEC(SUBSTITUTE(G10," ",""))</f>
        <v>1</v>
      </c>
      <c r="J10" s="231"/>
      <c r="L10" s="67" t="str">
        <f>IF(ISNA(VLOOKUP(CONCATENATE(G10,G11),'IGS Configuration Values'!$B$4:$C$17,2,FALSE))=TRUE,"Invalid Game Type",VLOOKUP(CONCATENATE(G10,G11),'IGS Configuration Values'!$B$4:$C$17,2,FALSE))</f>
        <v>Invalid Game Type</v>
      </c>
      <c r="M10" s="68"/>
      <c r="N10" s="68"/>
    </row>
    <row r="11" spans="1:14">
      <c r="B11" s="2">
        <v>5</v>
      </c>
      <c r="C11" s="3" t="s">
        <v>1120</v>
      </c>
      <c r="D11" s="2">
        <f>E10+1</f>
        <v>6</v>
      </c>
      <c r="E11" s="2">
        <f>D11+F11-1</f>
        <v>6</v>
      </c>
      <c r="F11" s="2">
        <v>1</v>
      </c>
      <c r="G11" s="255" t="str">
        <f>TRIM(MID($C$4,(D11-1)*3+1,F11*3))</f>
        <v>00</v>
      </c>
      <c r="H11" s="255"/>
      <c r="I11" s="231">
        <f>HEX2DEC(SUBSTITUTE(G11," ",""))</f>
        <v>0</v>
      </c>
      <c r="J11" s="231"/>
    </row>
    <row r="14" spans="1:14" ht="18.75">
      <c r="B14" s="14" t="s">
        <v>1143</v>
      </c>
    </row>
    <row r="16" spans="1:14">
      <c r="B16" s="15" t="s">
        <v>1105</v>
      </c>
      <c r="C16" s="15" t="s">
        <v>1106</v>
      </c>
      <c r="D16" s="15" t="s">
        <v>1107</v>
      </c>
      <c r="E16" s="15" t="s">
        <v>1108</v>
      </c>
      <c r="F16" s="15" t="s">
        <v>1109</v>
      </c>
      <c r="G16" s="307" t="s">
        <v>1110</v>
      </c>
      <c r="H16" s="307"/>
      <c r="I16" s="307" t="s">
        <v>1111</v>
      </c>
      <c r="J16" s="307"/>
      <c r="L16" s="293" t="s">
        <v>1112</v>
      </c>
      <c r="M16" s="294"/>
      <c r="N16" s="295"/>
    </row>
    <row r="17" spans="2:14">
      <c r="B17" s="2">
        <v>6</v>
      </c>
      <c r="C17" s="3" t="s">
        <v>1144</v>
      </c>
      <c r="D17" s="2">
        <f>E11+1</f>
        <v>7</v>
      </c>
      <c r="E17" s="2">
        <f t="shared" ref="E17:E26" si="0">D17+F17-1</f>
        <v>17</v>
      </c>
      <c r="F17" s="2">
        <v>11</v>
      </c>
      <c r="G17" s="255" t="str">
        <f>TRIM(MID($C$4,(D17-1)*3+1,F17*3))</f>
        <v>00 00 00 12 08 08 0c 01 c5 20 4c</v>
      </c>
      <c r="H17" s="255"/>
      <c r="I17" s="205" t="str">
        <f>CONCATENATE(TEXT(HEX2DEC(MID(G17,1,2)),"00"),TEXT(HEX2DEC(MID(G17,4,2)),"00"),TEXT(HEX2DEC(MID(G17,7,2)),"00")," - ",TEXT(HEX2DEC(MID(G17,10,2)),"00")," - ",TEXT((HEX2DEC(MID(G17,13,2))*2^32+HEX2DEC(SUBSTITUTE(MID(G17,16,11)," ",""))),"0000000000")," - ",TEXT(HEX2DEC(SUBSTITUTE(MID(G17,28,5)," ","")),"000"))</f>
        <v>000000 - 18 - 34494742981 - 8268</v>
      </c>
      <c r="J17" s="206"/>
      <c r="K17" s="51" t="s">
        <v>46</v>
      </c>
      <c r="L17" s="29" t="s">
        <v>1145</v>
      </c>
    </row>
    <row r="18" spans="2:14">
      <c r="B18" s="2">
        <v>7</v>
      </c>
      <c r="C18" s="3" t="s">
        <v>1146</v>
      </c>
      <c r="D18" s="2">
        <f t="shared" ref="D18:D26" si="1">E17+1</f>
        <v>18</v>
      </c>
      <c r="E18" s="2">
        <f t="shared" si="0"/>
        <v>21</v>
      </c>
      <c r="F18" s="2">
        <v>4</v>
      </c>
      <c r="G18" s="255" t="str">
        <f t="shared" ref="G18:G26" si="2">TRIM(MID($C$4,(D18-1)*3+1,F18*3))</f>
        <v>65 01 da 07</v>
      </c>
      <c r="H18" s="255"/>
      <c r="I18" s="324" t="str">
        <f>CONCATENATE(TEXT(HEX2DEC(SUBSTITUTE(MID(G18,1,6)," ","")),"0000"),"/",TEXT(HEX2DEC(SUBSTITUTE(MID(G18,7,3)," ","")),"00"),"/",TEXT(HEX2DEC(SUBSTITUTE(MID(G18,10,3)," ","")),"00"))</f>
        <v>25857/218/07</v>
      </c>
      <c r="J18" s="325"/>
      <c r="K18" s="51" t="s">
        <v>46</v>
      </c>
      <c r="L18" s="29" t="s">
        <v>1147</v>
      </c>
    </row>
    <row r="19" spans="2:14">
      <c r="B19" s="2">
        <v>8</v>
      </c>
      <c r="C19" s="3" t="s">
        <v>1148</v>
      </c>
      <c r="D19" s="2">
        <f t="shared" si="1"/>
        <v>22</v>
      </c>
      <c r="E19" s="2">
        <f t="shared" si="0"/>
        <v>24</v>
      </c>
      <c r="F19" s="2">
        <v>3</v>
      </c>
      <c r="G19" s="255" t="str">
        <f t="shared" si="2"/>
        <v>e2 08 08</v>
      </c>
      <c r="H19" s="255"/>
      <c r="I19" s="324" t="str">
        <f>CONCATENATE(TEXT(HEX2DEC(SUBSTITUTE(MID(G19,1,3)," ","")),"00"),":",TEXT(HEX2DEC(SUBSTITUTE(MID(G19,4,3)," ","")),"00"),":",TEXT(HEX2DEC(SUBSTITUTE(MID(G19,7,3)," ","")),"00"))</f>
        <v>226:08:08</v>
      </c>
      <c r="J19" s="325"/>
      <c r="K19" s="51" t="s">
        <v>46</v>
      </c>
      <c r="L19" s="29" t="s">
        <v>1149</v>
      </c>
    </row>
    <row r="20" spans="2:14">
      <c r="B20" s="2">
        <v>9</v>
      </c>
      <c r="C20" s="3" t="s">
        <v>1150</v>
      </c>
      <c r="D20" s="2">
        <f t="shared" si="1"/>
        <v>25</v>
      </c>
      <c r="E20" s="2">
        <f t="shared" si="0"/>
        <v>28</v>
      </c>
      <c r="F20" s="2">
        <v>4</v>
      </c>
      <c r="G20" s="255" t="str">
        <f t="shared" si="2"/>
        <v>0c 1b 05 00</v>
      </c>
      <c r="H20" s="255"/>
      <c r="I20" s="324" t="str">
        <f>CONCATENATE(TEXT(HEX2DEC(SUBSTITUTE(MID(G20,1,6)," ","")),"0000"),"/",TEXT(HEX2DEC(SUBSTITUTE(MID(G20,7,3)," ","")),"00"),"/",TEXT(HEX2DEC(SUBSTITUTE(MID(G20,10,3)," ","")),"00"))</f>
        <v>3099/05/00</v>
      </c>
      <c r="J20" s="325"/>
    </row>
    <row r="21" spans="2:14">
      <c r="B21" s="2">
        <v>10</v>
      </c>
      <c r="C21" s="3" t="s">
        <v>1057</v>
      </c>
      <c r="D21" s="2">
        <f t="shared" si="1"/>
        <v>29</v>
      </c>
      <c r="E21" s="2">
        <f t="shared" si="0"/>
        <v>29</v>
      </c>
      <c r="F21" s="2">
        <v>1</v>
      </c>
      <c r="G21" s="255" t="str">
        <f t="shared" si="2"/>
        <v>00</v>
      </c>
      <c r="H21" s="255"/>
      <c r="I21" s="205">
        <f t="shared" ref="I21:I26" si="3">HEX2DEC(SUBSTITUTE(G21," ",""))</f>
        <v>0</v>
      </c>
      <c r="J21" s="206"/>
      <c r="L21" s="67" t="str">
        <f>IF(ISNA(VLOOKUP(G21,'IGS Configuration Values'!$B$45:$D$46,2,FALSE))=TRUE,"Invalid ABP Game ID",VLOOKUP(G21,'IGS Configuration Values'!$B$45:$D$46,2,FALSE))</f>
        <v>Invalid ABP Game ID</v>
      </c>
      <c r="M21" s="68"/>
      <c r="N21" s="68"/>
    </row>
    <row r="22" spans="2:14">
      <c r="B22" s="2">
        <v>11</v>
      </c>
      <c r="C22" s="3" t="s">
        <v>1069</v>
      </c>
      <c r="D22" s="2">
        <f t="shared" si="1"/>
        <v>30</v>
      </c>
      <c r="E22" s="2">
        <f t="shared" si="0"/>
        <v>31</v>
      </c>
      <c r="F22" s="2">
        <v>2</v>
      </c>
      <c r="G22" s="255" t="str">
        <f t="shared" si="2"/>
        <v>04 c4</v>
      </c>
      <c r="H22" s="255"/>
      <c r="I22" s="205">
        <f t="shared" si="3"/>
        <v>1220</v>
      </c>
      <c r="J22" s="206"/>
      <c r="L22" s="69" t="str">
        <f>IF(I22=1,"Simple Bet",IF(AND(I22=I26,I22&gt;1),"Combined Bet",IF(I26&gt;I22,"Multiple Bet","Invalid Bet Type")))</f>
        <v>Invalid Bet Type</v>
      </c>
      <c r="M22" s="68"/>
      <c r="N22" s="68"/>
    </row>
    <row r="23" spans="2:14">
      <c r="B23" s="2">
        <v>12</v>
      </c>
      <c r="C23" s="3" t="s">
        <v>1151</v>
      </c>
      <c r="D23" s="2">
        <f t="shared" si="1"/>
        <v>32</v>
      </c>
      <c r="E23" s="2">
        <f t="shared" si="0"/>
        <v>35</v>
      </c>
      <c r="F23" s="2">
        <v>4</v>
      </c>
      <c r="G23" s="255" t="str">
        <f t="shared" si="2"/>
        <v>00 00 00 00</v>
      </c>
      <c r="H23" s="255"/>
      <c r="I23" s="205">
        <f t="shared" si="3"/>
        <v>0</v>
      </c>
      <c r="J23" s="206"/>
      <c r="K23" s="51" t="s">
        <v>46</v>
      </c>
      <c r="L23" s="59" t="s">
        <v>1137</v>
      </c>
    </row>
    <row r="24" spans="2:14">
      <c r="B24" s="2">
        <v>13</v>
      </c>
      <c r="C24" s="3" t="s">
        <v>1152</v>
      </c>
      <c r="D24" s="2">
        <f t="shared" si="1"/>
        <v>36</v>
      </c>
      <c r="E24" s="2">
        <f t="shared" si="0"/>
        <v>39</v>
      </c>
      <c r="F24" s="2">
        <v>4</v>
      </c>
      <c r="G24" s="255" t="str">
        <f t="shared" si="2"/>
        <v>00 00 04 c4</v>
      </c>
      <c r="H24" s="255"/>
      <c r="I24" s="205">
        <f t="shared" si="3"/>
        <v>1220</v>
      </c>
      <c r="J24" s="206"/>
      <c r="K24" s="51" t="s">
        <v>46</v>
      </c>
      <c r="L24" s="59" t="s">
        <v>1137</v>
      </c>
    </row>
    <row r="25" spans="2:14">
      <c r="B25" s="2">
        <v>14</v>
      </c>
      <c r="C25" s="3" t="s">
        <v>1153</v>
      </c>
      <c r="D25" s="2">
        <f t="shared" si="1"/>
        <v>40</v>
      </c>
      <c r="E25" s="2">
        <f t="shared" si="0"/>
        <v>43</v>
      </c>
      <c r="F25" s="2">
        <v>4</v>
      </c>
      <c r="G25" s="255" t="str">
        <f t="shared" si="2"/>
        <v/>
      </c>
      <c r="H25" s="255"/>
      <c r="I25" s="205">
        <f t="shared" si="3"/>
        <v>0</v>
      </c>
      <c r="J25" s="206"/>
      <c r="K25" s="51" t="s">
        <v>46</v>
      </c>
      <c r="L25" s="59" t="s">
        <v>1137</v>
      </c>
    </row>
    <row r="26" spans="2:14">
      <c r="B26" s="2">
        <v>15</v>
      </c>
      <c r="C26" s="3" t="s">
        <v>1154</v>
      </c>
      <c r="D26" s="2">
        <f t="shared" si="1"/>
        <v>44</v>
      </c>
      <c r="E26" s="2">
        <f t="shared" si="0"/>
        <v>44</v>
      </c>
      <c r="F26" s="2">
        <v>1</v>
      </c>
      <c r="G26" s="255" t="str">
        <f t="shared" si="2"/>
        <v/>
      </c>
      <c r="H26" s="255"/>
      <c r="I26" s="205">
        <f t="shared" si="3"/>
        <v>0</v>
      </c>
      <c r="J26" s="206"/>
      <c r="K26" s="51" t="s">
        <v>46</v>
      </c>
      <c r="L26" s="59" t="s">
        <v>1138</v>
      </c>
    </row>
    <row r="27" spans="2:14">
      <c r="B27" s="16"/>
      <c r="C27" s="17"/>
      <c r="D27" s="16"/>
      <c r="E27" s="16"/>
      <c r="F27" s="16"/>
      <c r="G27" s="16"/>
      <c r="H27" s="16"/>
      <c r="I27" s="17"/>
      <c r="J27" s="17"/>
    </row>
    <row r="28" spans="2:14">
      <c r="B28" s="16"/>
      <c r="C28" s="17"/>
      <c r="D28" s="16"/>
      <c r="E28" s="16"/>
      <c r="F28" s="16"/>
      <c r="G28" s="16"/>
      <c r="H28" s="16"/>
      <c r="I28" s="17"/>
      <c r="J28" s="17"/>
    </row>
    <row r="29" spans="2:14" ht="18.75">
      <c r="B29" s="14" t="s">
        <v>1155</v>
      </c>
    </row>
    <row r="31" spans="2:14">
      <c r="B31" s="15" t="s">
        <v>1105</v>
      </c>
      <c r="C31" s="15" t="s">
        <v>1106</v>
      </c>
      <c r="D31" s="15" t="s">
        <v>1107</v>
      </c>
      <c r="E31" s="15" t="s">
        <v>1108</v>
      </c>
      <c r="F31" s="15" t="s">
        <v>1109</v>
      </c>
      <c r="G31" s="307" t="s">
        <v>1110</v>
      </c>
      <c r="H31" s="307"/>
      <c r="I31" s="307" t="s">
        <v>1111</v>
      </c>
      <c r="J31" s="307"/>
      <c r="K31" s="328" t="s">
        <v>1156</v>
      </c>
      <c r="L31" s="329"/>
      <c r="M31" s="329"/>
    </row>
    <row r="32" spans="2:14">
      <c r="B32" s="2">
        <v>16</v>
      </c>
      <c r="C32" s="3" t="s">
        <v>1157</v>
      </c>
      <c r="D32" s="2">
        <f>E26+1</f>
        <v>45</v>
      </c>
      <c r="E32" s="2">
        <f>D32+F32-1</f>
        <v>47</v>
      </c>
      <c r="F32" s="2">
        <v>3</v>
      </c>
      <c r="G32" s="255" t="str">
        <f t="shared" ref="G32:G39" si="4">TRIM(MID($C$4,(D32-1)*3+1,F32*3))</f>
        <v/>
      </c>
      <c r="H32" s="255"/>
      <c r="I32" s="231">
        <f t="shared" ref="I32:I39" si="5">HEX2DEC(SUBSTITUTE(G32," ",""))</f>
        <v>0</v>
      </c>
      <c r="J32" s="231"/>
    </row>
    <row r="33" spans="2:12">
      <c r="B33" s="2">
        <v>17</v>
      </c>
      <c r="C33" s="3" t="s">
        <v>1158</v>
      </c>
      <c r="D33" s="2">
        <f>E32+1</f>
        <v>48</v>
      </c>
      <c r="E33" s="2">
        <f t="shared" ref="E33:E61" si="6">D33+F33-1</f>
        <v>50</v>
      </c>
      <c r="F33" s="2">
        <v>3</v>
      </c>
      <c r="G33" s="255" t="str">
        <f t="shared" si="4"/>
        <v/>
      </c>
      <c r="H33" s="255"/>
      <c r="I33" s="231">
        <f t="shared" si="5"/>
        <v>0</v>
      </c>
      <c r="J33" s="231"/>
    </row>
    <row r="34" spans="2:12">
      <c r="B34" s="2">
        <v>18</v>
      </c>
      <c r="C34" s="3" t="s">
        <v>1159</v>
      </c>
      <c r="D34" s="2">
        <f t="shared" ref="D34:D61" si="7">E33+1</f>
        <v>51</v>
      </c>
      <c r="E34" s="2">
        <f t="shared" si="6"/>
        <v>53</v>
      </c>
      <c r="F34" s="2">
        <v>3</v>
      </c>
      <c r="G34" s="255" t="str">
        <f t="shared" si="4"/>
        <v/>
      </c>
      <c r="H34" s="255"/>
      <c r="I34" s="231">
        <f t="shared" si="5"/>
        <v>0</v>
      </c>
      <c r="J34" s="231"/>
    </row>
    <row r="35" spans="2:12">
      <c r="B35" s="2">
        <v>19</v>
      </c>
      <c r="C35" s="3" t="s">
        <v>1160</v>
      </c>
      <c r="D35" s="2">
        <f t="shared" si="7"/>
        <v>54</v>
      </c>
      <c r="E35" s="2">
        <f t="shared" si="6"/>
        <v>56</v>
      </c>
      <c r="F35" s="2">
        <v>3</v>
      </c>
      <c r="G35" s="255" t="str">
        <f t="shared" si="4"/>
        <v/>
      </c>
      <c r="H35" s="255"/>
      <c r="I35" s="231">
        <f t="shared" si="5"/>
        <v>0</v>
      </c>
      <c r="J35" s="231"/>
    </row>
    <row r="36" spans="2:12">
      <c r="B36" s="2">
        <v>20</v>
      </c>
      <c r="C36" s="3" t="s">
        <v>1161</v>
      </c>
      <c r="D36" s="2">
        <f t="shared" si="7"/>
        <v>57</v>
      </c>
      <c r="E36" s="2">
        <f t="shared" si="6"/>
        <v>59</v>
      </c>
      <c r="F36" s="2">
        <v>3</v>
      </c>
      <c r="G36" s="255" t="str">
        <f t="shared" si="4"/>
        <v/>
      </c>
      <c r="H36" s="255"/>
      <c r="I36" s="231">
        <f t="shared" si="5"/>
        <v>0</v>
      </c>
      <c r="J36" s="231"/>
    </row>
    <row r="37" spans="2:12">
      <c r="B37" s="2">
        <v>21</v>
      </c>
      <c r="C37" s="3" t="s">
        <v>1162</v>
      </c>
      <c r="D37" s="2">
        <f t="shared" si="7"/>
        <v>60</v>
      </c>
      <c r="E37" s="2">
        <f t="shared" si="6"/>
        <v>62</v>
      </c>
      <c r="F37" s="2">
        <v>3</v>
      </c>
      <c r="G37" s="255" t="str">
        <f t="shared" si="4"/>
        <v/>
      </c>
      <c r="H37" s="255"/>
      <c r="I37" s="231">
        <f t="shared" si="5"/>
        <v>0</v>
      </c>
      <c r="J37" s="231"/>
    </row>
    <row r="38" spans="2:12">
      <c r="B38" s="2">
        <v>22</v>
      </c>
      <c r="C38" s="3" t="s">
        <v>1163</v>
      </c>
      <c r="D38" s="2">
        <f t="shared" si="7"/>
        <v>63</v>
      </c>
      <c r="E38" s="2">
        <f t="shared" si="6"/>
        <v>65</v>
      </c>
      <c r="F38" s="2">
        <v>3</v>
      </c>
      <c r="G38" s="255" t="str">
        <f t="shared" si="4"/>
        <v/>
      </c>
      <c r="H38" s="255"/>
      <c r="I38" s="231">
        <f t="shared" si="5"/>
        <v>0</v>
      </c>
      <c r="J38" s="231"/>
      <c r="K38" s="51" t="s">
        <v>46</v>
      </c>
      <c r="L38" s="59" t="s">
        <v>1137</v>
      </c>
    </row>
    <row r="39" spans="2:12">
      <c r="B39" s="2">
        <v>23</v>
      </c>
      <c r="C39" s="3" t="s">
        <v>1164</v>
      </c>
      <c r="D39" s="2">
        <f t="shared" si="7"/>
        <v>66</v>
      </c>
      <c r="E39" s="2">
        <f t="shared" si="6"/>
        <v>67</v>
      </c>
      <c r="F39" s="2">
        <v>2</v>
      </c>
      <c r="G39" s="255" t="str">
        <f t="shared" si="4"/>
        <v/>
      </c>
      <c r="H39" s="255"/>
      <c r="I39" s="231">
        <f t="shared" si="5"/>
        <v>0</v>
      </c>
      <c r="J39" s="231"/>
    </row>
    <row r="40" spans="2:12">
      <c r="B40" s="18">
        <v>24</v>
      </c>
      <c r="C40" s="19" t="s">
        <v>1157</v>
      </c>
      <c r="D40" s="18">
        <f t="shared" si="7"/>
        <v>68</v>
      </c>
      <c r="E40" s="18">
        <f t="shared" si="6"/>
        <v>70</v>
      </c>
      <c r="F40" s="18">
        <v>3</v>
      </c>
      <c r="G40" s="301" t="str">
        <f t="shared" ref="G40:G95" si="8">TRIM(MID($C$4,(D40-1)*3+1,F40*3))</f>
        <v/>
      </c>
      <c r="H40" s="301"/>
      <c r="I40" s="302">
        <f t="shared" ref="I40:I95" si="9">HEX2DEC(SUBSTITUTE(G40," ",""))</f>
        <v>0</v>
      </c>
      <c r="J40" s="302"/>
    </row>
    <row r="41" spans="2:12">
      <c r="B41" s="18">
        <v>25</v>
      </c>
      <c r="C41" s="19" t="s">
        <v>1158</v>
      </c>
      <c r="D41" s="18">
        <f t="shared" si="7"/>
        <v>71</v>
      </c>
      <c r="E41" s="18">
        <f t="shared" si="6"/>
        <v>73</v>
      </c>
      <c r="F41" s="18">
        <v>3</v>
      </c>
      <c r="G41" s="301" t="str">
        <f t="shared" si="8"/>
        <v/>
      </c>
      <c r="H41" s="301"/>
      <c r="I41" s="302">
        <f t="shared" si="9"/>
        <v>0</v>
      </c>
      <c r="J41" s="302"/>
    </row>
    <row r="42" spans="2:12">
      <c r="B42" s="18">
        <v>26</v>
      </c>
      <c r="C42" s="19" t="s">
        <v>1159</v>
      </c>
      <c r="D42" s="18">
        <f t="shared" si="7"/>
        <v>74</v>
      </c>
      <c r="E42" s="18">
        <f t="shared" si="6"/>
        <v>76</v>
      </c>
      <c r="F42" s="18">
        <v>3</v>
      </c>
      <c r="G42" s="301" t="str">
        <f t="shared" si="8"/>
        <v/>
      </c>
      <c r="H42" s="301"/>
      <c r="I42" s="302">
        <f t="shared" si="9"/>
        <v>0</v>
      </c>
      <c r="J42" s="302"/>
    </row>
    <row r="43" spans="2:12">
      <c r="B43" s="18">
        <v>27</v>
      </c>
      <c r="C43" s="19" t="s">
        <v>1160</v>
      </c>
      <c r="D43" s="18">
        <f t="shared" si="7"/>
        <v>77</v>
      </c>
      <c r="E43" s="18">
        <f t="shared" si="6"/>
        <v>79</v>
      </c>
      <c r="F43" s="18">
        <v>3</v>
      </c>
      <c r="G43" s="301" t="str">
        <f t="shared" si="8"/>
        <v/>
      </c>
      <c r="H43" s="301"/>
      <c r="I43" s="302">
        <f t="shared" si="9"/>
        <v>0</v>
      </c>
      <c r="J43" s="302"/>
    </row>
    <row r="44" spans="2:12">
      <c r="B44" s="18">
        <v>28</v>
      </c>
      <c r="C44" s="19" t="s">
        <v>1161</v>
      </c>
      <c r="D44" s="18">
        <f t="shared" si="7"/>
        <v>80</v>
      </c>
      <c r="E44" s="18">
        <f t="shared" si="6"/>
        <v>82</v>
      </c>
      <c r="F44" s="18">
        <v>3</v>
      </c>
      <c r="G44" s="301" t="str">
        <f t="shared" si="8"/>
        <v/>
      </c>
      <c r="H44" s="301"/>
      <c r="I44" s="302">
        <f t="shared" si="9"/>
        <v>0</v>
      </c>
      <c r="J44" s="302"/>
    </row>
    <row r="45" spans="2:12">
      <c r="B45" s="18">
        <v>29</v>
      </c>
      <c r="C45" s="19" t="s">
        <v>1162</v>
      </c>
      <c r="D45" s="18">
        <f t="shared" si="7"/>
        <v>83</v>
      </c>
      <c r="E45" s="18">
        <f t="shared" si="6"/>
        <v>85</v>
      </c>
      <c r="F45" s="18">
        <v>3</v>
      </c>
      <c r="G45" s="301" t="str">
        <f t="shared" si="8"/>
        <v/>
      </c>
      <c r="H45" s="301"/>
      <c r="I45" s="302">
        <f t="shared" si="9"/>
        <v>0</v>
      </c>
      <c r="J45" s="302"/>
    </row>
    <row r="46" spans="2:12">
      <c r="B46" s="18">
        <v>30</v>
      </c>
      <c r="C46" s="19" t="s">
        <v>1163</v>
      </c>
      <c r="D46" s="18">
        <f t="shared" si="7"/>
        <v>86</v>
      </c>
      <c r="E46" s="18">
        <f t="shared" si="6"/>
        <v>88</v>
      </c>
      <c r="F46" s="18">
        <v>3</v>
      </c>
      <c r="G46" s="301" t="str">
        <f t="shared" si="8"/>
        <v/>
      </c>
      <c r="H46" s="301"/>
      <c r="I46" s="302">
        <f t="shared" si="9"/>
        <v>0</v>
      </c>
      <c r="J46" s="302"/>
    </row>
    <row r="47" spans="2:12">
      <c r="B47" s="18">
        <v>31</v>
      </c>
      <c r="C47" s="19" t="s">
        <v>1164</v>
      </c>
      <c r="D47" s="18">
        <f t="shared" si="7"/>
        <v>89</v>
      </c>
      <c r="E47" s="18">
        <f t="shared" si="6"/>
        <v>90</v>
      </c>
      <c r="F47" s="18">
        <v>2</v>
      </c>
      <c r="G47" s="301" t="str">
        <f t="shared" si="8"/>
        <v/>
      </c>
      <c r="H47" s="301"/>
      <c r="I47" s="302">
        <f t="shared" si="9"/>
        <v>0</v>
      </c>
      <c r="J47" s="302"/>
    </row>
    <row r="48" spans="2:12">
      <c r="B48" s="2">
        <v>32</v>
      </c>
      <c r="C48" s="3" t="s">
        <v>1157</v>
      </c>
      <c r="D48" s="2">
        <f t="shared" si="7"/>
        <v>91</v>
      </c>
      <c r="E48" s="2">
        <f t="shared" si="6"/>
        <v>93</v>
      </c>
      <c r="F48" s="2">
        <v>3</v>
      </c>
      <c r="G48" s="255" t="str">
        <f t="shared" si="8"/>
        <v/>
      </c>
      <c r="H48" s="255"/>
      <c r="I48" s="231">
        <f t="shared" si="9"/>
        <v>0</v>
      </c>
      <c r="J48" s="231"/>
    </row>
    <row r="49" spans="2:10">
      <c r="B49" s="2">
        <v>33</v>
      </c>
      <c r="C49" s="3" t="s">
        <v>1158</v>
      </c>
      <c r="D49" s="2">
        <f t="shared" si="7"/>
        <v>94</v>
      </c>
      <c r="E49" s="2">
        <f t="shared" si="6"/>
        <v>96</v>
      </c>
      <c r="F49" s="2">
        <v>3</v>
      </c>
      <c r="G49" s="255" t="str">
        <f t="shared" si="8"/>
        <v/>
      </c>
      <c r="H49" s="255"/>
      <c r="I49" s="231">
        <f t="shared" si="9"/>
        <v>0</v>
      </c>
      <c r="J49" s="231"/>
    </row>
    <row r="50" spans="2:10">
      <c r="B50" s="2">
        <v>34</v>
      </c>
      <c r="C50" s="3" t="s">
        <v>1159</v>
      </c>
      <c r="D50" s="2">
        <f t="shared" si="7"/>
        <v>97</v>
      </c>
      <c r="E50" s="2">
        <f t="shared" si="6"/>
        <v>99</v>
      </c>
      <c r="F50" s="2">
        <v>3</v>
      </c>
      <c r="G50" s="255" t="str">
        <f t="shared" si="8"/>
        <v/>
      </c>
      <c r="H50" s="255"/>
      <c r="I50" s="231">
        <f t="shared" si="9"/>
        <v>0</v>
      </c>
      <c r="J50" s="231"/>
    </row>
    <row r="51" spans="2:10">
      <c r="B51" s="2">
        <v>35</v>
      </c>
      <c r="C51" s="3" t="s">
        <v>1160</v>
      </c>
      <c r="D51" s="2">
        <f t="shared" si="7"/>
        <v>100</v>
      </c>
      <c r="E51" s="2">
        <f t="shared" si="6"/>
        <v>102</v>
      </c>
      <c r="F51" s="2">
        <v>3</v>
      </c>
      <c r="G51" s="255" t="str">
        <f t="shared" si="8"/>
        <v/>
      </c>
      <c r="H51" s="255"/>
      <c r="I51" s="231">
        <f t="shared" si="9"/>
        <v>0</v>
      </c>
      <c r="J51" s="231"/>
    </row>
    <row r="52" spans="2:10">
      <c r="B52" s="2">
        <v>36</v>
      </c>
      <c r="C52" s="3" t="s">
        <v>1161</v>
      </c>
      <c r="D52" s="2">
        <f t="shared" si="7"/>
        <v>103</v>
      </c>
      <c r="E52" s="2">
        <f t="shared" si="6"/>
        <v>105</v>
      </c>
      <c r="F52" s="2">
        <v>3</v>
      </c>
      <c r="G52" s="255" t="str">
        <f t="shared" si="8"/>
        <v/>
      </c>
      <c r="H52" s="255"/>
      <c r="I52" s="231">
        <f t="shared" si="9"/>
        <v>0</v>
      </c>
      <c r="J52" s="231"/>
    </row>
    <row r="53" spans="2:10">
      <c r="B53" s="2">
        <v>37</v>
      </c>
      <c r="C53" s="3" t="s">
        <v>1162</v>
      </c>
      <c r="D53" s="2">
        <f t="shared" si="7"/>
        <v>106</v>
      </c>
      <c r="E53" s="2">
        <f t="shared" si="6"/>
        <v>108</v>
      </c>
      <c r="F53" s="2">
        <v>3</v>
      </c>
      <c r="G53" s="255" t="str">
        <f t="shared" si="8"/>
        <v/>
      </c>
      <c r="H53" s="255"/>
      <c r="I53" s="231">
        <f t="shared" si="9"/>
        <v>0</v>
      </c>
      <c r="J53" s="231"/>
    </row>
    <row r="54" spans="2:10">
      <c r="B54" s="2">
        <v>38</v>
      </c>
      <c r="C54" s="3" t="s">
        <v>1163</v>
      </c>
      <c r="D54" s="2">
        <f t="shared" si="7"/>
        <v>109</v>
      </c>
      <c r="E54" s="2">
        <f t="shared" si="6"/>
        <v>111</v>
      </c>
      <c r="F54" s="2">
        <v>3</v>
      </c>
      <c r="G54" s="255" t="str">
        <f t="shared" si="8"/>
        <v/>
      </c>
      <c r="H54" s="255"/>
      <c r="I54" s="231">
        <f t="shared" si="9"/>
        <v>0</v>
      </c>
      <c r="J54" s="231"/>
    </row>
    <row r="55" spans="2:10">
      <c r="B55" s="2">
        <v>39</v>
      </c>
      <c r="C55" s="3" t="s">
        <v>1164</v>
      </c>
      <c r="D55" s="2">
        <f t="shared" si="7"/>
        <v>112</v>
      </c>
      <c r="E55" s="2">
        <f t="shared" si="6"/>
        <v>113</v>
      </c>
      <c r="F55" s="2">
        <v>2</v>
      </c>
      <c r="G55" s="255" t="str">
        <f t="shared" si="8"/>
        <v/>
      </c>
      <c r="H55" s="255"/>
      <c r="I55" s="231">
        <f t="shared" si="9"/>
        <v>0</v>
      </c>
      <c r="J55" s="231"/>
    </row>
    <row r="56" spans="2:10">
      <c r="B56" s="18">
        <v>40</v>
      </c>
      <c r="C56" s="19" t="s">
        <v>1157</v>
      </c>
      <c r="D56" s="18">
        <f t="shared" si="7"/>
        <v>114</v>
      </c>
      <c r="E56" s="18">
        <f t="shared" si="6"/>
        <v>116</v>
      </c>
      <c r="F56" s="18">
        <v>3</v>
      </c>
      <c r="G56" s="301" t="str">
        <f t="shared" si="8"/>
        <v/>
      </c>
      <c r="H56" s="301"/>
      <c r="I56" s="302">
        <f t="shared" si="9"/>
        <v>0</v>
      </c>
      <c r="J56" s="302"/>
    </row>
    <row r="57" spans="2:10">
      <c r="B57" s="18">
        <v>41</v>
      </c>
      <c r="C57" s="19" t="s">
        <v>1158</v>
      </c>
      <c r="D57" s="18">
        <f t="shared" si="7"/>
        <v>117</v>
      </c>
      <c r="E57" s="18">
        <f t="shared" si="6"/>
        <v>119</v>
      </c>
      <c r="F57" s="18">
        <v>3</v>
      </c>
      <c r="G57" s="301" t="str">
        <f t="shared" si="8"/>
        <v/>
      </c>
      <c r="H57" s="301"/>
      <c r="I57" s="302">
        <f t="shared" si="9"/>
        <v>0</v>
      </c>
      <c r="J57" s="302"/>
    </row>
    <row r="58" spans="2:10">
      <c r="B58" s="18">
        <v>42</v>
      </c>
      <c r="C58" s="19" t="s">
        <v>1159</v>
      </c>
      <c r="D58" s="18">
        <f t="shared" si="7"/>
        <v>120</v>
      </c>
      <c r="E58" s="18">
        <f t="shared" si="6"/>
        <v>122</v>
      </c>
      <c r="F58" s="18">
        <v>3</v>
      </c>
      <c r="G58" s="301" t="str">
        <f t="shared" si="8"/>
        <v/>
      </c>
      <c r="H58" s="301"/>
      <c r="I58" s="302">
        <f t="shared" si="9"/>
        <v>0</v>
      </c>
      <c r="J58" s="302"/>
    </row>
    <row r="59" spans="2:10">
      <c r="B59" s="18">
        <v>43</v>
      </c>
      <c r="C59" s="19" t="s">
        <v>1160</v>
      </c>
      <c r="D59" s="18">
        <f t="shared" si="7"/>
        <v>123</v>
      </c>
      <c r="E59" s="18">
        <f t="shared" si="6"/>
        <v>125</v>
      </c>
      <c r="F59" s="18">
        <v>3</v>
      </c>
      <c r="G59" s="301" t="str">
        <f t="shared" si="8"/>
        <v/>
      </c>
      <c r="H59" s="301"/>
      <c r="I59" s="302">
        <f t="shared" si="9"/>
        <v>0</v>
      </c>
      <c r="J59" s="302"/>
    </row>
    <row r="60" spans="2:10">
      <c r="B60" s="18">
        <v>44</v>
      </c>
      <c r="C60" s="19" t="s">
        <v>1161</v>
      </c>
      <c r="D60" s="18">
        <f t="shared" si="7"/>
        <v>126</v>
      </c>
      <c r="E60" s="18">
        <f t="shared" si="6"/>
        <v>128</v>
      </c>
      <c r="F60" s="18">
        <v>3</v>
      </c>
      <c r="G60" s="301" t="str">
        <f t="shared" si="8"/>
        <v/>
      </c>
      <c r="H60" s="301"/>
      <c r="I60" s="302">
        <f t="shared" si="9"/>
        <v>0</v>
      </c>
      <c r="J60" s="302"/>
    </row>
    <row r="61" spans="2:10">
      <c r="B61" s="18">
        <v>45</v>
      </c>
      <c r="C61" s="19" t="s">
        <v>1162</v>
      </c>
      <c r="D61" s="18">
        <f t="shared" si="7"/>
        <v>129</v>
      </c>
      <c r="E61" s="18">
        <f t="shared" si="6"/>
        <v>131</v>
      </c>
      <c r="F61" s="18">
        <v>3</v>
      </c>
      <c r="G61" s="301" t="str">
        <f t="shared" si="8"/>
        <v/>
      </c>
      <c r="H61" s="301"/>
      <c r="I61" s="302">
        <f t="shared" si="9"/>
        <v>0</v>
      </c>
      <c r="J61" s="302"/>
    </row>
    <row r="62" spans="2:10">
      <c r="B62" s="18">
        <v>46</v>
      </c>
      <c r="C62" s="19" t="s">
        <v>1163</v>
      </c>
      <c r="D62" s="18">
        <f t="shared" ref="D62:D79" si="10">E61+1</f>
        <v>132</v>
      </c>
      <c r="E62" s="18">
        <f t="shared" ref="E62:E79" si="11">D62+F62-1</f>
        <v>134</v>
      </c>
      <c r="F62" s="18">
        <v>3</v>
      </c>
      <c r="G62" s="301" t="str">
        <f t="shared" si="8"/>
        <v/>
      </c>
      <c r="H62" s="301"/>
      <c r="I62" s="302">
        <f t="shared" si="9"/>
        <v>0</v>
      </c>
      <c r="J62" s="302"/>
    </row>
    <row r="63" spans="2:10">
      <c r="B63" s="18">
        <v>47</v>
      </c>
      <c r="C63" s="19" t="s">
        <v>1164</v>
      </c>
      <c r="D63" s="18">
        <f t="shared" si="10"/>
        <v>135</v>
      </c>
      <c r="E63" s="18">
        <f t="shared" si="11"/>
        <v>136</v>
      </c>
      <c r="F63" s="18">
        <v>2</v>
      </c>
      <c r="G63" s="301" t="str">
        <f t="shared" si="8"/>
        <v/>
      </c>
      <c r="H63" s="301"/>
      <c r="I63" s="302">
        <f t="shared" si="9"/>
        <v>0</v>
      </c>
      <c r="J63" s="302"/>
    </row>
    <row r="64" spans="2:10">
      <c r="B64" s="2">
        <v>48</v>
      </c>
      <c r="C64" s="3" t="s">
        <v>1157</v>
      </c>
      <c r="D64" s="2">
        <f t="shared" si="10"/>
        <v>137</v>
      </c>
      <c r="E64" s="2">
        <f t="shared" si="11"/>
        <v>139</v>
      </c>
      <c r="F64" s="2">
        <v>3</v>
      </c>
      <c r="G64" s="255" t="str">
        <f t="shared" si="8"/>
        <v/>
      </c>
      <c r="H64" s="255"/>
      <c r="I64" s="231">
        <f t="shared" si="9"/>
        <v>0</v>
      </c>
      <c r="J64" s="231"/>
    </row>
    <row r="65" spans="2:10">
      <c r="B65" s="2">
        <v>49</v>
      </c>
      <c r="C65" s="3" t="s">
        <v>1158</v>
      </c>
      <c r="D65" s="2">
        <f t="shared" si="10"/>
        <v>140</v>
      </c>
      <c r="E65" s="2">
        <f t="shared" si="11"/>
        <v>142</v>
      </c>
      <c r="F65" s="2">
        <v>3</v>
      </c>
      <c r="G65" s="255" t="str">
        <f t="shared" si="8"/>
        <v/>
      </c>
      <c r="H65" s="255"/>
      <c r="I65" s="231">
        <f t="shared" si="9"/>
        <v>0</v>
      </c>
      <c r="J65" s="231"/>
    </row>
    <row r="66" spans="2:10">
      <c r="B66" s="2">
        <v>50</v>
      </c>
      <c r="C66" s="3" t="s">
        <v>1159</v>
      </c>
      <c r="D66" s="2">
        <f t="shared" si="10"/>
        <v>143</v>
      </c>
      <c r="E66" s="2">
        <f t="shared" si="11"/>
        <v>145</v>
      </c>
      <c r="F66" s="2">
        <v>3</v>
      </c>
      <c r="G66" s="255" t="str">
        <f t="shared" si="8"/>
        <v/>
      </c>
      <c r="H66" s="255"/>
      <c r="I66" s="231">
        <f t="shared" si="9"/>
        <v>0</v>
      </c>
      <c r="J66" s="231"/>
    </row>
    <row r="67" spans="2:10">
      <c r="B67" s="2">
        <v>51</v>
      </c>
      <c r="C67" s="3" t="s">
        <v>1160</v>
      </c>
      <c r="D67" s="2">
        <f t="shared" si="10"/>
        <v>146</v>
      </c>
      <c r="E67" s="2">
        <f t="shared" si="11"/>
        <v>148</v>
      </c>
      <c r="F67" s="2">
        <v>3</v>
      </c>
      <c r="G67" s="255" t="str">
        <f t="shared" si="8"/>
        <v/>
      </c>
      <c r="H67" s="255"/>
      <c r="I67" s="231">
        <f t="shared" si="9"/>
        <v>0</v>
      </c>
      <c r="J67" s="231"/>
    </row>
    <row r="68" spans="2:10">
      <c r="B68" s="2">
        <v>52</v>
      </c>
      <c r="C68" s="3" t="s">
        <v>1161</v>
      </c>
      <c r="D68" s="2">
        <f t="shared" si="10"/>
        <v>149</v>
      </c>
      <c r="E68" s="2">
        <f t="shared" si="11"/>
        <v>151</v>
      </c>
      <c r="F68" s="2">
        <v>3</v>
      </c>
      <c r="G68" s="255" t="str">
        <f t="shared" si="8"/>
        <v/>
      </c>
      <c r="H68" s="255"/>
      <c r="I68" s="231">
        <f t="shared" si="9"/>
        <v>0</v>
      </c>
      <c r="J68" s="231"/>
    </row>
    <row r="69" spans="2:10">
      <c r="B69" s="2">
        <v>53</v>
      </c>
      <c r="C69" s="3" t="s">
        <v>1162</v>
      </c>
      <c r="D69" s="2">
        <f t="shared" si="10"/>
        <v>152</v>
      </c>
      <c r="E69" s="2">
        <f t="shared" si="11"/>
        <v>154</v>
      </c>
      <c r="F69" s="2">
        <v>3</v>
      </c>
      <c r="G69" s="255" t="str">
        <f t="shared" si="8"/>
        <v/>
      </c>
      <c r="H69" s="255"/>
      <c r="I69" s="231">
        <f t="shared" si="9"/>
        <v>0</v>
      </c>
      <c r="J69" s="231"/>
    </row>
    <row r="70" spans="2:10">
      <c r="B70" s="2">
        <v>54</v>
      </c>
      <c r="C70" s="3" t="s">
        <v>1163</v>
      </c>
      <c r="D70" s="2">
        <f t="shared" si="10"/>
        <v>155</v>
      </c>
      <c r="E70" s="2">
        <f t="shared" si="11"/>
        <v>157</v>
      </c>
      <c r="F70" s="2">
        <v>3</v>
      </c>
      <c r="G70" s="255" t="str">
        <f t="shared" si="8"/>
        <v/>
      </c>
      <c r="H70" s="255"/>
      <c r="I70" s="231">
        <f t="shared" si="9"/>
        <v>0</v>
      </c>
      <c r="J70" s="231"/>
    </row>
    <row r="71" spans="2:10">
      <c r="B71" s="2">
        <v>55</v>
      </c>
      <c r="C71" s="3" t="s">
        <v>1164</v>
      </c>
      <c r="D71" s="2">
        <f t="shared" si="10"/>
        <v>158</v>
      </c>
      <c r="E71" s="2">
        <f t="shared" si="11"/>
        <v>159</v>
      </c>
      <c r="F71" s="2">
        <v>2</v>
      </c>
      <c r="G71" s="255" t="str">
        <f t="shared" si="8"/>
        <v/>
      </c>
      <c r="H71" s="255"/>
      <c r="I71" s="231">
        <f t="shared" si="9"/>
        <v>0</v>
      </c>
      <c r="J71" s="231"/>
    </row>
    <row r="72" spans="2:10">
      <c r="B72" s="18">
        <v>56</v>
      </c>
      <c r="C72" s="19" t="s">
        <v>1157</v>
      </c>
      <c r="D72" s="18">
        <f t="shared" si="10"/>
        <v>160</v>
      </c>
      <c r="E72" s="18">
        <f t="shared" si="11"/>
        <v>162</v>
      </c>
      <c r="F72" s="18">
        <v>3</v>
      </c>
      <c r="G72" s="301" t="str">
        <f t="shared" si="8"/>
        <v/>
      </c>
      <c r="H72" s="301"/>
      <c r="I72" s="302">
        <f t="shared" si="9"/>
        <v>0</v>
      </c>
      <c r="J72" s="302"/>
    </row>
    <row r="73" spans="2:10">
      <c r="B73" s="18">
        <v>57</v>
      </c>
      <c r="C73" s="19" t="s">
        <v>1158</v>
      </c>
      <c r="D73" s="18">
        <f t="shared" si="10"/>
        <v>163</v>
      </c>
      <c r="E73" s="18">
        <f t="shared" si="11"/>
        <v>165</v>
      </c>
      <c r="F73" s="18">
        <v>3</v>
      </c>
      <c r="G73" s="301" t="str">
        <f t="shared" si="8"/>
        <v/>
      </c>
      <c r="H73" s="301"/>
      <c r="I73" s="302">
        <f t="shared" si="9"/>
        <v>0</v>
      </c>
      <c r="J73" s="302"/>
    </row>
    <row r="74" spans="2:10">
      <c r="B74" s="18">
        <v>58</v>
      </c>
      <c r="C74" s="19" t="s">
        <v>1159</v>
      </c>
      <c r="D74" s="18">
        <f t="shared" si="10"/>
        <v>166</v>
      </c>
      <c r="E74" s="18">
        <f t="shared" si="11"/>
        <v>168</v>
      </c>
      <c r="F74" s="18">
        <v>3</v>
      </c>
      <c r="G74" s="301" t="str">
        <f t="shared" si="8"/>
        <v/>
      </c>
      <c r="H74" s="301"/>
      <c r="I74" s="302">
        <f t="shared" si="9"/>
        <v>0</v>
      </c>
      <c r="J74" s="302"/>
    </row>
    <row r="75" spans="2:10">
      <c r="B75" s="18">
        <v>59</v>
      </c>
      <c r="C75" s="19" t="s">
        <v>1160</v>
      </c>
      <c r="D75" s="18">
        <f t="shared" si="10"/>
        <v>169</v>
      </c>
      <c r="E75" s="18">
        <f t="shared" si="11"/>
        <v>171</v>
      </c>
      <c r="F75" s="18">
        <v>3</v>
      </c>
      <c r="G75" s="301" t="str">
        <f t="shared" si="8"/>
        <v/>
      </c>
      <c r="H75" s="301"/>
      <c r="I75" s="302">
        <f t="shared" si="9"/>
        <v>0</v>
      </c>
      <c r="J75" s="302"/>
    </row>
    <row r="76" spans="2:10">
      <c r="B76" s="18">
        <v>60</v>
      </c>
      <c r="C76" s="19" t="s">
        <v>1161</v>
      </c>
      <c r="D76" s="18">
        <f t="shared" si="10"/>
        <v>172</v>
      </c>
      <c r="E76" s="18">
        <f t="shared" si="11"/>
        <v>174</v>
      </c>
      <c r="F76" s="18">
        <v>3</v>
      </c>
      <c r="G76" s="301" t="str">
        <f t="shared" si="8"/>
        <v/>
      </c>
      <c r="H76" s="301"/>
      <c r="I76" s="302">
        <f t="shared" si="9"/>
        <v>0</v>
      </c>
      <c r="J76" s="302"/>
    </row>
    <row r="77" spans="2:10">
      <c r="B77" s="18">
        <v>61</v>
      </c>
      <c r="C77" s="19" t="s">
        <v>1162</v>
      </c>
      <c r="D77" s="18">
        <f t="shared" si="10"/>
        <v>175</v>
      </c>
      <c r="E77" s="18">
        <f t="shared" si="11"/>
        <v>177</v>
      </c>
      <c r="F77" s="18">
        <v>3</v>
      </c>
      <c r="G77" s="301" t="str">
        <f t="shared" si="8"/>
        <v/>
      </c>
      <c r="H77" s="301"/>
      <c r="I77" s="302">
        <f t="shared" si="9"/>
        <v>0</v>
      </c>
      <c r="J77" s="302"/>
    </row>
    <row r="78" spans="2:10">
      <c r="B78" s="18">
        <v>62</v>
      </c>
      <c r="C78" s="19" t="s">
        <v>1163</v>
      </c>
      <c r="D78" s="18">
        <f t="shared" si="10"/>
        <v>178</v>
      </c>
      <c r="E78" s="18">
        <f t="shared" si="11"/>
        <v>180</v>
      </c>
      <c r="F78" s="18">
        <v>3</v>
      </c>
      <c r="G78" s="301" t="str">
        <f t="shared" si="8"/>
        <v/>
      </c>
      <c r="H78" s="301"/>
      <c r="I78" s="302">
        <f t="shared" si="9"/>
        <v>0</v>
      </c>
      <c r="J78" s="302"/>
    </row>
    <row r="79" spans="2:10">
      <c r="B79" s="18">
        <v>63</v>
      </c>
      <c r="C79" s="19" t="s">
        <v>1164</v>
      </c>
      <c r="D79" s="18">
        <f t="shared" si="10"/>
        <v>181</v>
      </c>
      <c r="E79" s="18">
        <f t="shared" si="11"/>
        <v>182</v>
      </c>
      <c r="F79" s="18">
        <v>2</v>
      </c>
      <c r="G79" s="301" t="str">
        <f t="shared" si="8"/>
        <v/>
      </c>
      <c r="H79" s="301"/>
      <c r="I79" s="302">
        <f t="shared" si="9"/>
        <v>0</v>
      </c>
      <c r="J79" s="302"/>
    </row>
    <row r="80" spans="2:10">
      <c r="B80" s="2">
        <v>64</v>
      </c>
      <c r="C80" s="3" t="s">
        <v>1157</v>
      </c>
      <c r="D80" s="2">
        <f t="shared" ref="D80:D95" si="12">E79+1</f>
        <v>183</v>
      </c>
      <c r="E80" s="2">
        <f t="shared" ref="E80:E95" si="13">D80+F80-1</f>
        <v>185</v>
      </c>
      <c r="F80" s="2">
        <v>3</v>
      </c>
      <c r="G80" s="255" t="str">
        <f t="shared" si="8"/>
        <v/>
      </c>
      <c r="H80" s="255"/>
      <c r="I80" s="231">
        <f t="shared" si="9"/>
        <v>0</v>
      </c>
      <c r="J80" s="231"/>
    </row>
    <row r="81" spans="2:10">
      <c r="B81" s="2">
        <v>65</v>
      </c>
      <c r="C81" s="3" t="s">
        <v>1158</v>
      </c>
      <c r="D81" s="2">
        <f t="shared" si="12"/>
        <v>186</v>
      </c>
      <c r="E81" s="2">
        <f t="shared" si="13"/>
        <v>188</v>
      </c>
      <c r="F81" s="2">
        <v>3</v>
      </c>
      <c r="G81" s="255" t="str">
        <f t="shared" si="8"/>
        <v/>
      </c>
      <c r="H81" s="255"/>
      <c r="I81" s="231">
        <f t="shared" si="9"/>
        <v>0</v>
      </c>
      <c r="J81" s="231"/>
    </row>
    <row r="82" spans="2:10">
      <c r="B82" s="2">
        <v>66</v>
      </c>
      <c r="C82" s="3" t="s">
        <v>1159</v>
      </c>
      <c r="D82" s="2">
        <f t="shared" si="12"/>
        <v>189</v>
      </c>
      <c r="E82" s="2">
        <f t="shared" si="13"/>
        <v>191</v>
      </c>
      <c r="F82" s="2">
        <v>3</v>
      </c>
      <c r="G82" s="255" t="str">
        <f t="shared" si="8"/>
        <v/>
      </c>
      <c r="H82" s="255"/>
      <c r="I82" s="231">
        <f t="shared" si="9"/>
        <v>0</v>
      </c>
      <c r="J82" s="231"/>
    </row>
    <row r="83" spans="2:10">
      <c r="B83" s="2">
        <v>67</v>
      </c>
      <c r="C83" s="3" t="s">
        <v>1160</v>
      </c>
      <c r="D83" s="2">
        <f t="shared" si="12"/>
        <v>192</v>
      </c>
      <c r="E83" s="2">
        <f t="shared" si="13"/>
        <v>194</v>
      </c>
      <c r="F83" s="2">
        <v>3</v>
      </c>
      <c r="G83" s="255" t="str">
        <f t="shared" si="8"/>
        <v/>
      </c>
      <c r="H83" s="255"/>
      <c r="I83" s="231">
        <f t="shared" si="9"/>
        <v>0</v>
      </c>
      <c r="J83" s="231"/>
    </row>
    <row r="84" spans="2:10">
      <c r="B84" s="2">
        <v>68</v>
      </c>
      <c r="C84" s="3" t="s">
        <v>1161</v>
      </c>
      <c r="D84" s="2">
        <f t="shared" si="12"/>
        <v>195</v>
      </c>
      <c r="E84" s="2">
        <f t="shared" si="13"/>
        <v>197</v>
      </c>
      <c r="F84" s="2">
        <v>3</v>
      </c>
      <c r="G84" s="255" t="str">
        <f t="shared" si="8"/>
        <v/>
      </c>
      <c r="H84" s="255"/>
      <c r="I84" s="231">
        <f t="shared" si="9"/>
        <v>0</v>
      </c>
      <c r="J84" s="231"/>
    </row>
    <row r="85" spans="2:10">
      <c r="B85" s="2">
        <v>69</v>
      </c>
      <c r="C85" s="3" t="s">
        <v>1162</v>
      </c>
      <c r="D85" s="2">
        <f t="shared" si="12"/>
        <v>198</v>
      </c>
      <c r="E85" s="2">
        <f t="shared" si="13"/>
        <v>200</v>
      </c>
      <c r="F85" s="2">
        <v>3</v>
      </c>
      <c r="G85" s="255" t="str">
        <f t="shared" si="8"/>
        <v/>
      </c>
      <c r="H85" s="255"/>
      <c r="I85" s="231">
        <f t="shared" si="9"/>
        <v>0</v>
      </c>
      <c r="J85" s="231"/>
    </row>
    <row r="86" spans="2:10">
      <c r="B86" s="2">
        <v>70</v>
      </c>
      <c r="C86" s="3" t="s">
        <v>1163</v>
      </c>
      <c r="D86" s="2">
        <f t="shared" si="12"/>
        <v>201</v>
      </c>
      <c r="E86" s="2">
        <f t="shared" si="13"/>
        <v>203</v>
      </c>
      <c r="F86" s="2">
        <v>3</v>
      </c>
      <c r="G86" s="255" t="str">
        <f t="shared" si="8"/>
        <v/>
      </c>
      <c r="H86" s="255"/>
      <c r="I86" s="231">
        <f t="shared" si="9"/>
        <v>0</v>
      </c>
      <c r="J86" s="231"/>
    </row>
    <row r="87" spans="2:10">
      <c r="B87" s="2">
        <v>71</v>
      </c>
      <c r="C87" s="3" t="s">
        <v>1164</v>
      </c>
      <c r="D87" s="2">
        <f t="shared" si="12"/>
        <v>204</v>
      </c>
      <c r="E87" s="2">
        <f t="shared" si="13"/>
        <v>205</v>
      </c>
      <c r="F87" s="2">
        <v>2</v>
      </c>
      <c r="G87" s="255" t="str">
        <f t="shared" si="8"/>
        <v/>
      </c>
      <c r="H87" s="255"/>
      <c r="I87" s="231">
        <f t="shared" si="9"/>
        <v>0</v>
      </c>
      <c r="J87" s="231"/>
    </row>
    <row r="88" spans="2:10">
      <c r="B88" s="18">
        <v>72</v>
      </c>
      <c r="C88" s="19" t="s">
        <v>1157</v>
      </c>
      <c r="D88" s="18">
        <f t="shared" si="12"/>
        <v>206</v>
      </c>
      <c r="E88" s="18">
        <f t="shared" si="13"/>
        <v>208</v>
      </c>
      <c r="F88" s="18">
        <v>3</v>
      </c>
      <c r="G88" s="301" t="str">
        <f t="shared" si="8"/>
        <v/>
      </c>
      <c r="H88" s="301"/>
      <c r="I88" s="302">
        <f t="shared" si="9"/>
        <v>0</v>
      </c>
      <c r="J88" s="302"/>
    </row>
    <row r="89" spans="2:10">
      <c r="B89" s="18">
        <v>73</v>
      </c>
      <c r="C89" s="19" t="s">
        <v>1158</v>
      </c>
      <c r="D89" s="18">
        <f t="shared" si="12"/>
        <v>209</v>
      </c>
      <c r="E89" s="18">
        <f t="shared" si="13"/>
        <v>211</v>
      </c>
      <c r="F89" s="18">
        <v>3</v>
      </c>
      <c r="G89" s="301" t="str">
        <f t="shared" si="8"/>
        <v/>
      </c>
      <c r="H89" s="301"/>
      <c r="I89" s="302">
        <f t="shared" si="9"/>
        <v>0</v>
      </c>
      <c r="J89" s="302"/>
    </row>
    <row r="90" spans="2:10">
      <c r="B90" s="18">
        <v>74</v>
      </c>
      <c r="C90" s="19" t="s">
        <v>1159</v>
      </c>
      <c r="D90" s="18">
        <f t="shared" si="12"/>
        <v>212</v>
      </c>
      <c r="E90" s="18">
        <f t="shared" si="13"/>
        <v>214</v>
      </c>
      <c r="F90" s="18">
        <v>3</v>
      </c>
      <c r="G90" s="301" t="str">
        <f t="shared" si="8"/>
        <v/>
      </c>
      <c r="H90" s="301"/>
      <c r="I90" s="302">
        <f t="shared" si="9"/>
        <v>0</v>
      </c>
      <c r="J90" s="302"/>
    </row>
    <row r="91" spans="2:10">
      <c r="B91" s="18">
        <v>75</v>
      </c>
      <c r="C91" s="19" t="s">
        <v>1160</v>
      </c>
      <c r="D91" s="18">
        <f t="shared" si="12"/>
        <v>215</v>
      </c>
      <c r="E91" s="18">
        <f t="shared" si="13"/>
        <v>217</v>
      </c>
      <c r="F91" s="18">
        <v>3</v>
      </c>
      <c r="G91" s="301" t="str">
        <f t="shared" si="8"/>
        <v/>
      </c>
      <c r="H91" s="301"/>
      <c r="I91" s="302">
        <f t="shared" si="9"/>
        <v>0</v>
      </c>
      <c r="J91" s="302"/>
    </row>
    <row r="92" spans="2:10">
      <c r="B92" s="18">
        <v>76</v>
      </c>
      <c r="C92" s="19" t="s">
        <v>1161</v>
      </c>
      <c r="D92" s="18">
        <f t="shared" si="12"/>
        <v>218</v>
      </c>
      <c r="E92" s="18">
        <f t="shared" si="13"/>
        <v>220</v>
      </c>
      <c r="F92" s="18">
        <v>3</v>
      </c>
      <c r="G92" s="301" t="str">
        <f t="shared" si="8"/>
        <v/>
      </c>
      <c r="H92" s="301"/>
      <c r="I92" s="302">
        <f t="shared" si="9"/>
        <v>0</v>
      </c>
      <c r="J92" s="302"/>
    </row>
    <row r="93" spans="2:10">
      <c r="B93" s="18">
        <v>77</v>
      </c>
      <c r="C93" s="19" t="s">
        <v>1162</v>
      </c>
      <c r="D93" s="18">
        <f t="shared" si="12"/>
        <v>221</v>
      </c>
      <c r="E93" s="18">
        <f t="shared" si="13"/>
        <v>223</v>
      </c>
      <c r="F93" s="18">
        <v>3</v>
      </c>
      <c r="G93" s="301" t="str">
        <f t="shared" si="8"/>
        <v/>
      </c>
      <c r="H93" s="301"/>
      <c r="I93" s="302">
        <f t="shared" si="9"/>
        <v>0</v>
      </c>
      <c r="J93" s="302"/>
    </row>
    <row r="94" spans="2:10">
      <c r="B94" s="18">
        <v>78</v>
      </c>
      <c r="C94" s="19" t="s">
        <v>1163</v>
      </c>
      <c r="D94" s="18">
        <f t="shared" si="12"/>
        <v>224</v>
      </c>
      <c r="E94" s="18">
        <f t="shared" si="13"/>
        <v>226</v>
      </c>
      <c r="F94" s="18">
        <v>3</v>
      </c>
      <c r="G94" s="301" t="str">
        <f t="shared" si="8"/>
        <v/>
      </c>
      <c r="H94" s="301"/>
      <c r="I94" s="302">
        <f t="shared" si="9"/>
        <v>0</v>
      </c>
      <c r="J94" s="302"/>
    </row>
    <row r="95" spans="2:10">
      <c r="B95" s="18">
        <v>79</v>
      </c>
      <c r="C95" s="19" t="s">
        <v>1164</v>
      </c>
      <c r="D95" s="18">
        <f t="shared" si="12"/>
        <v>227</v>
      </c>
      <c r="E95" s="18">
        <f t="shared" si="13"/>
        <v>228</v>
      </c>
      <c r="F95" s="18">
        <v>2</v>
      </c>
      <c r="G95" s="301" t="str">
        <f t="shared" si="8"/>
        <v/>
      </c>
      <c r="H95" s="301"/>
      <c r="I95" s="302">
        <f t="shared" si="9"/>
        <v>0</v>
      </c>
      <c r="J95" s="302"/>
    </row>
  </sheetData>
  <mergeCells count="163">
    <mergeCell ref="G10:H10"/>
    <mergeCell ref="G22:H22"/>
    <mergeCell ref="G24:H24"/>
    <mergeCell ref="G25:H25"/>
    <mergeCell ref="G6:H6"/>
    <mergeCell ref="I6:J6"/>
    <mergeCell ref="G9:H9"/>
    <mergeCell ref="I9:J9"/>
    <mergeCell ref="G26:H26"/>
    <mergeCell ref="I23:J23"/>
    <mergeCell ref="G20:H20"/>
    <mergeCell ref="I20:J20"/>
    <mergeCell ref="G21:H21"/>
    <mergeCell ref="I21:J21"/>
    <mergeCell ref="I26:J26"/>
    <mergeCell ref="I10:J10"/>
    <mergeCell ref="G11:H11"/>
    <mergeCell ref="I11:J11"/>
    <mergeCell ref="G16:H16"/>
    <mergeCell ref="I16:J16"/>
    <mergeCell ref="G17:H17"/>
    <mergeCell ref="I17:J17"/>
    <mergeCell ref="I18:J18"/>
    <mergeCell ref="G19:H19"/>
    <mergeCell ref="I19:J19"/>
    <mergeCell ref="G18:H18"/>
    <mergeCell ref="I22:J22"/>
    <mergeCell ref="G31:H31"/>
    <mergeCell ref="I31:J31"/>
    <mergeCell ref="I24:J24"/>
    <mergeCell ref="I25:J25"/>
    <mergeCell ref="G39:H39"/>
    <mergeCell ref="I39:J39"/>
    <mergeCell ref="G32:H32"/>
    <mergeCell ref="I32:J32"/>
    <mergeCell ref="G33:H33"/>
    <mergeCell ref="I33:J33"/>
    <mergeCell ref="G34:H34"/>
    <mergeCell ref="I34:J34"/>
    <mergeCell ref="G23:H23"/>
    <mergeCell ref="G40:H40"/>
    <mergeCell ref="I40:J40"/>
    <mergeCell ref="G36:H36"/>
    <mergeCell ref="I36:J36"/>
    <mergeCell ref="G37:H37"/>
    <mergeCell ref="I37:J37"/>
    <mergeCell ref="G35:H35"/>
    <mergeCell ref="I35:J35"/>
    <mergeCell ref="G38:H38"/>
    <mergeCell ref="I38:J38"/>
    <mergeCell ref="G41:H41"/>
    <mergeCell ref="I41:J41"/>
    <mergeCell ref="G42:H42"/>
    <mergeCell ref="I42:J42"/>
    <mergeCell ref="G43:H43"/>
    <mergeCell ref="I43:J43"/>
    <mergeCell ref="I56:J56"/>
    <mergeCell ref="G57:H57"/>
    <mergeCell ref="I57:J57"/>
    <mergeCell ref="G53:H53"/>
    <mergeCell ref="I53:J53"/>
    <mergeCell ref="G54:H54"/>
    <mergeCell ref="I54:J54"/>
    <mergeCell ref="G55:H55"/>
    <mergeCell ref="I55:J55"/>
    <mergeCell ref="G44:H44"/>
    <mergeCell ref="I44:J44"/>
    <mergeCell ref="G45:H45"/>
    <mergeCell ref="I45:J45"/>
    <mergeCell ref="G46:H46"/>
    <mergeCell ref="I46:J46"/>
    <mergeCell ref="G47:H47"/>
    <mergeCell ref="I47:J47"/>
    <mergeCell ref="G48:H48"/>
    <mergeCell ref="G64:H64"/>
    <mergeCell ref="G65:H65"/>
    <mergeCell ref="G66:H66"/>
    <mergeCell ref="G50:H50"/>
    <mergeCell ref="I50:J50"/>
    <mergeCell ref="G51:H51"/>
    <mergeCell ref="I51:J51"/>
    <mergeCell ref="G52:H52"/>
    <mergeCell ref="I52:J52"/>
    <mergeCell ref="I60:J60"/>
    <mergeCell ref="G58:H58"/>
    <mergeCell ref="I58:J58"/>
    <mergeCell ref="I48:J48"/>
    <mergeCell ref="G49:H49"/>
    <mergeCell ref="I49:J49"/>
    <mergeCell ref="G61:H61"/>
    <mergeCell ref="I61:J61"/>
    <mergeCell ref="G56:H56"/>
    <mergeCell ref="G59:H59"/>
    <mergeCell ref="I59:J59"/>
    <mergeCell ref="G60:H60"/>
    <mergeCell ref="G67:H67"/>
    <mergeCell ref="G68:H68"/>
    <mergeCell ref="G69:H69"/>
    <mergeCell ref="G62:H62"/>
    <mergeCell ref="I62:J62"/>
    <mergeCell ref="G63:H63"/>
    <mergeCell ref="I63:J63"/>
    <mergeCell ref="G87:H87"/>
    <mergeCell ref="I87:J87"/>
    <mergeCell ref="I64:J64"/>
    <mergeCell ref="I65:J65"/>
    <mergeCell ref="I66:J66"/>
    <mergeCell ref="I67:J67"/>
    <mergeCell ref="I68:J68"/>
    <mergeCell ref="G76:H76"/>
    <mergeCell ref="G77:H77"/>
    <mergeCell ref="G78:H78"/>
    <mergeCell ref="G79:H79"/>
    <mergeCell ref="I75:J75"/>
    <mergeCell ref="I76:J76"/>
    <mergeCell ref="I77:J77"/>
    <mergeCell ref="I78:J78"/>
    <mergeCell ref="I79:J79"/>
    <mergeCell ref="G80:H80"/>
    <mergeCell ref="I86:J86"/>
    <mergeCell ref="G82:H82"/>
    <mergeCell ref="G85:H85"/>
    <mergeCell ref="G86:H86"/>
    <mergeCell ref="I80:J80"/>
    <mergeCell ref="I69:J69"/>
    <mergeCell ref="I70:J70"/>
    <mergeCell ref="I71:J71"/>
    <mergeCell ref="I72:J72"/>
    <mergeCell ref="I73:J73"/>
    <mergeCell ref="I74:J74"/>
    <mergeCell ref="G81:H81"/>
    <mergeCell ref="G70:H70"/>
    <mergeCell ref="G71:H71"/>
    <mergeCell ref="G72:H72"/>
    <mergeCell ref="G73:H73"/>
    <mergeCell ref="G74:H74"/>
    <mergeCell ref="G75:H75"/>
    <mergeCell ref="G83:H83"/>
    <mergeCell ref="G84:H84"/>
    <mergeCell ref="L6:N6"/>
    <mergeCell ref="L16:N16"/>
    <mergeCell ref="K31:M31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8:H88"/>
    <mergeCell ref="I88:J88"/>
    <mergeCell ref="G89:H89"/>
    <mergeCell ref="I89:J89"/>
    <mergeCell ref="I81:J81"/>
    <mergeCell ref="I82:J82"/>
    <mergeCell ref="I83:J83"/>
    <mergeCell ref="I84:J84"/>
    <mergeCell ref="I85:J85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lha4">
    <tabColor rgb="FFFF0000"/>
  </sheetPr>
  <dimension ref="A1:N38"/>
  <sheetViews>
    <sheetView workbookViewId="0">
      <selection activeCell="C26" sqref="C26"/>
    </sheetView>
  </sheetViews>
  <sheetFormatPr defaultRowHeight="15"/>
  <cols>
    <col min="1" max="1" width="2.140625" customWidth="1"/>
    <col min="2" max="2" width="17.85546875" customWidth="1"/>
    <col min="3" max="3" width="31" customWidth="1"/>
    <col min="4" max="4" width="5.140625" bestFit="1" customWidth="1"/>
    <col min="5" max="5" width="4.28515625" bestFit="1" customWidth="1"/>
    <col min="6" max="6" width="4.5703125" bestFit="1" customWidth="1"/>
    <col min="7" max="8" width="15.140625" customWidth="1"/>
    <col min="9" max="9" width="21.42578125" bestFit="1" customWidth="1"/>
    <col min="10" max="10" width="24.85546875" bestFit="1" customWidth="1"/>
    <col min="11" max="11" width="5.7109375" customWidth="1"/>
    <col min="12" max="12" width="9.140625" style="29"/>
  </cols>
  <sheetData>
    <row r="1" spans="1:14">
      <c r="A1" s="20"/>
      <c r="B1" s="161" t="s">
        <v>0</v>
      </c>
      <c r="C1" s="20"/>
      <c r="D1" s="20"/>
      <c r="E1" s="20"/>
      <c r="F1" s="20"/>
      <c r="G1" s="20"/>
      <c r="H1" s="20"/>
      <c r="I1" s="20"/>
      <c r="J1" s="20"/>
      <c r="K1" s="20"/>
    </row>
    <row r="2" spans="1:14" ht="18.75">
      <c r="B2" s="14" t="s">
        <v>1165</v>
      </c>
      <c r="L2" s="29" t="s">
        <v>1135</v>
      </c>
      <c r="M2" s="163"/>
    </row>
    <row r="4" spans="1:14">
      <c r="B4" s="7" t="s">
        <v>1104</v>
      </c>
      <c r="C4" s="163"/>
    </row>
    <row r="6" spans="1:14">
      <c r="B6" s="15" t="s">
        <v>1105</v>
      </c>
      <c r="C6" s="15" t="s">
        <v>1106</v>
      </c>
      <c r="D6" s="15" t="s">
        <v>1107</v>
      </c>
      <c r="E6" s="15" t="s">
        <v>1108</v>
      </c>
      <c r="F6" s="15" t="s">
        <v>1109</v>
      </c>
      <c r="G6" s="307" t="s">
        <v>1110</v>
      </c>
      <c r="H6" s="307"/>
      <c r="I6" s="307" t="s">
        <v>1111</v>
      </c>
      <c r="J6" s="307"/>
      <c r="L6" s="293" t="s">
        <v>1112</v>
      </c>
      <c r="M6" s="294"/>
      <c r="N6" s="295"/>
    </row>
    <row r="7" spans="1:14">
      <c r="B7" s="2">
        <v>1</v>
      </c>
      <c r="C7" s="3" t="s">
        <v>1113</v>
      </c>
      <c r="D7" s="2">
        <v>1</v>
      </c>
      <c r="E7" s="2">
        <f t="shared" ref="E7:E12" si="0">D7+F7-1</f>
        <v>1</v>
      </c>
      <c r="F7" s="2">
        <v>1</v>
      </c>
      <c r="G7" s="2" t="str">
        <f>TRIM(MID($C$4,1,1))</f>
        <v/>
      </c>
      <c r="H7" s="2" t="str">
        <f>TRIM(MID($C$4,2,1))</f>
        <v/>
      </c>
      <c r="I7" s="2">
        <f>HEX2DEC(SUBSTITUTE(G7," ",""))</f>
        <v>0</v>
      </c>
      <c r="J7" s="2">
        <f>HEX2DEC(SUBSTITUTE(H7," ",""))</f>
        <v>0</v>
      </c>
      <c r="L7" s="69" t="str">
        <f>IF(MOD(INT(HEX2BIN(G7,4)/(2^(3-1))),2)=1,CONCATENATE("This is a Retry"),CONCATENATE("This is NOT a Retry"))</f>
        <v>This is NOT a Retry</v>
      </c>
      <c r="M7" s="68"/>
      <c r="N7" s="68"/>
    </row>
    <row r="8" spans="1:14">
      <c r="B8" s="2">
        <v>2</v>
      </c>
      <c r="C8" s="3" t="s">
        <v>1166</v>
      </c>
      <c r="D8" s="2">
        <f>E7+1</f>
        <v>2</v>
      </c>
      <c r="E8" s="2">
        <f t="shared" si="0"/>
        <v>2</v>
      </c>
      <c r="F8" s="2">
        <v>1</v>
      </c>
      <c r="G8" s="2" t="str">
        <f>TRIM(MID($C$4,4,1))</f>
        <v/>
      </c>
      <c r="H8" s="2" t="str">
        <f>TRIM(MID($C$4,5,1))</f>
        <v/>
      </c>
      <c r="I8" s="2">
        <f>HEX2DEC(SUBSTITUTE(G8," ",""))</f>
        <v>0</v>
      </c>
      <c r="J8" s="2">
        <f>HEX2DEC(SUBSTITUTE(H8," ",""))</f>
        <v>0</v>
      </c>
      <c r="L8" s="67" t="str">
        <f>IF(ISNA(VLOOKUP(CONCATENATE(G8,H8),'IGS Configuration Values'!$B$22:$D$27,2,FALSE))=TRUE,"Invalid Type/Subtype",VLOOKUP(CONCATENATE(G8,H8),'IGS Configuration Values'!$B$22:$D$27,2,))</f>
        <v>Invalid Type/Subtype</v>
      </c>
      <c r="M8" s="68"/>
      <c r="N8" s="68"/>
    </row>
    <row r="9" spans="1:14">
      <c r="B9" s="2">
        <v>3</v>
      </c>
      <c r="C9" s="3" t="s">
        <v>1115</v>
      </c>
      <c r="D9" s="2">
        <f>E8+1</f>
        <v>3</v>
      </c>
      <c r="E9" s="2">
        <f t="shared" si="0"/>
        <v>4</v>
      </c>
      <c r="F9" s="2">
        <v>2</v>
      </c>
      <c r="G9" s="255" t="str">
        <f>TRIM(MID($C$4,(D9-1)*3+1,F9*3))</f>
        <v/>
      </c>
      <c r="H9" s="255"/>
      <c r="I9" s="231">
        <f>HEX2DEC(SUBSTITUTE(G9," ",""))</f>
        <v>0</v>
      </c>
      <c r="J9" s="231"/>
      <c r="L9" s="58"/>
    </row>
    <row r="10" spans="1:14">
      <c r="B10" s="2">
        <v>4</v>
      </c>
      <c r="C10" s="3" t="s">
        <v>1117</v>
      </c>
      <c r="D10" s="2">
        <f>E9+1</f>
        <v>5</v>
      </c>
      <c r="E10" s="2">
        <f t="shared" si="0"/>
        <v>5</v>
      </c>
      <c r="F10" s="2">
        <v>1</v>
      </c>
      <c r="G10" s="255" t="str">
        <f>TRIM(MID($C$4,(D10-1)*3+1,F10*3))</f>
        <v/>
      </c>
      <c r="H10" s="255"/>
      <c r="I10" s="231">
        <f>HEX2DEC(SUBSTITUTE(G10," ",""))</f>
        <v>0</v>
      </c>
      <c r="J10" s="231"/>
      <c r="L10" s="67" t="str">
        <f>IF(ISNA(VLOOKUP(G10,'IGS Configuration Values'!$B$32:$D$40,2,FALSE))=TRUE,"Invalid Statistics",VLOOKUP(G10,'IGS Configuration Values'!$B$32:$D$40,2,FALSE))</f>
        <v>Invalid Statistics</v>
      </c>
      <c r="M10" s="68"/>
      <c r="N10" s="68"/>
    </row>
    <row r="11" spans="1:14">
      <c r="B11" s="2">
        <v>5</v>
      </c>
      <c r="C11" s="3" t="s">
        <v>1119</v>
      </c>
      <c r="D11" s="2">
        <f>E10+1</f>
        <v>6</v>
      </c>
      <c r="E11" s="2">
        <f t="shared" si="0"/>
        <v>6</v>
      </c>
      <c r="F11" s="2">
        <v>1</v>
      </c>
      <c r="G11" s="255" t="str">
        <f>TRIM(MID($C$4,(D11-1)*3+1,F11*3))</f>
        <v/>
      </c>
      <c r="H11" s="255"/>
      <c r="I11" s="231">
        <f>HEX2DEC(SUBSTITUTE(G11," ",""))</f>
        <v>0</v>
      </c>
      <c r="J11" s="231"/>
      <c r="L11" s="67" t="str">
        <f>IF(ISNA(VLOOKUP(CONCATENATE(G11,G12),'IGS Configuration Values'!$B$4:$C$17,2,FALSE))=TRUE,"Invalid Game Type",VLOOKUP(CONCATENATE(G11,G12),'IGS Configuration Values'!$B$4:$C$17,2,FALSE))</f>
        <v>Invalid Game Type</v>
      </c>
      <c r="M11" s="68"/>
      <c r="N11" s="68"/>
    </row>
    <row r="12" spans="1:14">
      <c r="B12" s="2">
        <v>6</v>
      </c>
      <c r="C12" s="3" t="s">
        <v>1120</v>
      </c>
      <c r="D12" s="2">
        <f>E11+1</f>
        <v>7</v>
      </c>
      <c r="E12" s="2">
        <f t="shared" si="0"/>
        <v>7</v>
      </c>
      <c r="F12" s="2">
        <v>1</v>
      </c>
      <c r="G12" s="255" t="str">
        <f>TRIM(MID($C$4,(D12-1)*3+1,F12*3))</f>
        <v/>
      </c>
      <c r="H12" s="255"/>
      <c r="I12" s="231">
        <f>HEX2DEC(SUBSTITUTE(G12," ",""))</f>
        <v>0</v>
      </c>
      <c r="J12" s="231"/>
    </row>
    <row r="15" spans="1:14" ht="18.75">
      <c r="B15" s="14" t="s">
        <v>1167</v>
      </c>
    </row>
    <row r="17" spans="1:14">
      <c r="B17" s="15" t="s">
        <v>1105</v>
      </c>
      <c r="C17" s="15" t="s">
        <v>1106</v>
      </c>
      <c r="D17" s="15" t="s">
        <v>1107</v>
      </c>
      <c r="E17" s="15" t="s">
        <v>1108</v>
      </c>
      <c r="F17" s="15" t="s">
        <v>1109</v>
      </c>
      <c r="G17" s="307" t="s">
        <v>1110</v>
      </c>
      <c r="H17" s="307"/>
      <c r="I17" s="307" t="s">
        <v>1111</v>
      </c>
      <c r="J17" s="307"/>
      <c r="L17" s="293" t="s">
        <v>1112</v>
      </c>
      <c r="M17" s="294"/>
      <c r="N17" s="295"/>
    </row>
    <row r="18" spans="1:14">
      <c r="B18" s="2">
        <v>7</v>
      </c>
      <c r="C18" s="3" t="s">
        <v>1122</v>
      </c>
      <c r="D18" s="2">
        <f>E12+1</f>
        <v>8</v>
      </c>
      <c r="E18" s="2">
        <f>D18+F18-1</f>
        <v>11</v>
      </c>
      <c r="F18" s="2">
        <v>4</v>
      </c>
      <c r="G18" s="255" t="str">
        <f>TRIM(MID($C$4,(D18-1)*3+1,F18*3))</f>
        <v/>
      </c>
      <c r="H18" s="255"/>
      <c r="I18" s="231">
        <f>HEX2DEC(SUBSTITUTE(G18," ",""))</f>
        <v>0</v>
      </c>
      <c r="J18" s="231"/>
    </row>
    <row r="19" spans="1:14">
      <c r="B19" s="2">
        <v>8</v>
      </c>
      <c r="C19" s="3" t="s">
        <v>1124</v>
      </c>
      <c r="D19" s="2">
        <f>E18+1</f>
        <v>12</v>
      </c>
      <c r="E19" s="2">
        <f>D19+F19-1</f>
        <v>19</v>
      </c>
      <c r="F19" s="2">
        <v>8</v>
      </c>
      <c r="G19" s="2" t="str">
        <f>TRIM(MID($C$4,(D19-1)*3+1,F19*3/2))</f>
        <v/>
      </c>
      <c r="H19" s="2" t="str">
        <f>TRIM(MID($C$4,(D19+4-1)*3+1,F19*3/2))</f>
        <v/>
      </c>
      <c r="I19" s="324">
        <f>(HEX2DEC(SUBSTITUTE(G19," ",""))*2^32+HEX2DEC(SUBSTITUTE(H19," ","")))</f>
        <v>0</v>
      </c>
      <c r="J19" s="325"/>
    </row>
    <row r="20" spans="1:14">
      <c r="B20" s="2">
        <v>9</v>
      </c>
      <c r="C20" s="3" t="s">
        <v>1144</v>
      </c>
      <c r="D20" s="2">
        <f>E19+1</f>
        <v>20</v>
      </c>
      <c r="E20" s="2">
        <f>D20+F20-1</f>
        <v>30</v>
      </c>
      <c r="F20" s="2">
        <v>11</v>
      </c>
      <c r="G20" s="207" t="str">
        <f>TRIM(MID($C$4,(D20-1)*3+1,F20*3))</f>
        <v/>
      </c>
      <c r="H20" s="208"/>
      <c r="I20" s="205" t="str">
        <f>CONCATENATE(TEXT(HEX2DEC(MID(G20,1,2)),"00"),TEXT(HEX2DEC(MID(G20,4,2)),"00"),TEXT(HEX2DEC(MID(G20,7,2)),"00")," - ",TEXT(HEX2DEC(MID(G20,10,2)),"00")," - ",TEXT((HEX2DEC(MID(G20,13,2))*2^32+HEX2DEC(SUBSTITUTE(MID(G20,16,11)," ",""))),"0000000000")," - ",TEXT(HEX2DEC(SUBSTITUTE(MID(G20,28,5)," ","")),"000"))</f>
        <v>000000 - 00 - 0000000000 - 000</v>
      </c>
      <c r="J20" s="206"/>
      <c r="K20" s="51" t="s">
        <v>46</v>
      </c>
      <c r="L20" s="29" t="s">
        <v>1145</v>
      </c>
    </row>
    <row r="23" spans="1:14">
      <c r="A23" s="20"/>
      <c r="B23" s="20"/>
      <c r="C23" s="20"/>
      <c r="D23" s="20"/>
      <c r="E23" s="20"/>
      <c r="F23" s="20"/>
      <c r="G23" s="20"/>
      <c r="H23" s="20"/>
      <c r="I23" s="21"/>
      <c r="J23" s="22"/>
      <c r="K23" s="20"/>
    </row>
    <row r="24" spans="1:14" ht="18.75">
      <c r="B24" s="14" t="s">
        <v>1168</v>
      </c>
      <c r="L24" s="29" t="s">
        <v>1135</v>
      </c>
      <c r="M24" s="163"/>
    </row>
    <row r="26" spans="1:14">
      <c r="B26" s="7" t="s">
        <v>1104</v>
      </c>
      <c r="C26" s="163"/>
    </row>
    <row r="28" spans="1:14">
      <c r="B28" s="15" t="s">
        <v>1105</v>
      </c>
      <c r="C28" s="15" t="s">
        <v>1106</v>
      </c>
      <c r="D28" s="15" t="s">
        <v>1107</v>
      </c>
      <c r="E28" s="15" t="s">
        <v>1108</v>
      </c>
      <c r="F28" s="15" t="s">
        <v>1109</v>
      </c>
      <c r="G28" s="307" t="s">
        <v>1110</v>
      </c>
      <c r="H28" s="307"/>
      <c r="I28" s="307" t="s">
        <v>1111</v>
      </c>
      <c r="J28" s="307"/>
      <c r="L28" s="293" t="s">
        <v>1112</v>
      </c>
      <c r="M28" s="294"/>
      <c r="N28" s="295"/>
    </row>
    <row r="29" spans="1:14">
      <c r="B29" s="2">
        <v>1</v>
      </c>
      <c r="C29" s="3" t="s">
        <v>1113</v>
      </c>
      <c r="D29" s="2">
        <v>1</v>
      </c>
      <c r="E29" s="2">
        <f t="shared" ref="E29:E33" si="1">D29+F29-1</f>
        <v>1</v>
      </c>
      <c r="F29" s="2">
        <v>1</v>
      </c>
      <c r="G29" s="2" t="str">
        <f>TRIM(MID($C$26,1,1))</f>
        <v/>
      </c>
      <c r="H29" s="2" t="str">
        <f>TRIM(MID($C$26,2,1))</f>
        <v/>
      </c>
      <c r="I29" s="2">
        <f>HEX2DEC(SUBSTITUTE(G29," ",""))</f>
        <v>0</v>
      </c>
      <c r="J29" s="2">
        <f>HEX2DEC(SUBSTITUTE(H29," ",""))</f>
        <v>0</v>
      </c>
      <c r="L29" s="69" t="str">
        <f>IF(MOD(INT(HEX2BIN(G29,4)/(2^(3-1))),2)=1,CONCATENATE("This is a Retry"),CONCATENATE("This is NOT a Retry"))</f>
        <v>This is NOT a Retry</v>
      </c>
      <c r="M29" s="68"/>
      <c r="N29" s="68"/>
    </row>
    <row r="30" spans="1:14">
      <c r="B30" s="2">
        <v>2</v>
      </c>
      <c r="C30" s="3" t="s">
        <v>1166</v>
      </c>
      <c r="D30" s="2">
        <f t="shared" ref="D30:D33" si="2">E29+1</f>
        <v>2</v>
      </c>
      <c r="E30" s="2">
        <f t="shared" si="1"/>
        <v>2</v>
      </c>
      <c r="F30" s="2">
        <v>1</v>
      </c>
      <c r="G30" s="2" t="str">
        <f>TRIM(MID($C$26,4,1))</f>
        <v/>
      </c>
      <c r="H30" s="2" t="str">
        <f>TRIM(MID($C$26,5,1))</f>
        <v/>
      </c>
      <c r="I30" s="2">
        <f>HEX2DEC(SUBSTITUTE(G30," ",""))</f>
        <v>0</v>
      </c>
      <c r="J30" s="2">
        <f>HEX2DEC(SUBSTITUTE(H30," ",""))</f>
        <v>0</v>
      </c>
      <c r="L30" s="67" t="str">
        <f>IF(ISNA(VLOOKUP(CONCATENATE(G30,H30),'IGS Configuration Values'!$B$22:$D$27,2,FALSE))=TRUE,"Invalid Type/Subtype",VLOOKUP(CONCATENATE(G30,H30),'IGS Configuration Values'!$B$22:$D$27,2,FALSE))</f>
        <v>Invalid Type/Subtype</v>
      </c>
      <c r="M30" s="68"/>
      <c r="N30" s="68"/>
    </row>
    <row r="31" spans="1:14">
      <c r="B31" s="2">
        <v>3</v>
      </c>
      <c r="C31" s="3" t="s">
        <v>1115</v>
      </c>
      <c r="D31" s="2">
        <f t="shared" si="2"/>
        <v>3</v>
      </c>
      <c r="E31" s="2">
        <f t="shared" si="1"/>
        <v>4</v>
      </c>
      <c r="F31" s="2">
        <v>2</v>
      </c>
      <c r="G31" s="255" t="str">
        <f>TRIM(MID($C$26,(D31-1)*3+1,F31*3))</f>
        <v/>
      </c>
      <c r="H31" s="255"/>
      <c r="I31" s="231">
        <f>HEX2DEC(SUBSTITUTE(G31," ",""))</f>
        <v>0</v>
      </c>
      <c r="J31" s="231"/>
    </row>
    <row r="32" spans="1:14">
      <c r="B32" s="2">
        <v>4</v>
      </c>
      <c r="C32" s="3" t="s">
        <v>1119</v>
      </c>
      <c r="D32" s="2">
        <f t="shared" si="2"/>
        <v>5</v>
      </c>
      <c r="E32" s="2">
        <f t="shared" si="1"/>
        <v>5</v>
      </c>
      <c r="F32" s="2">
        <v>1</v>
      </c>
      <c r="G32" s="255" t="str">
        <f t="shared" ref="G32:G37" si="3">TRIM(MID($C$26,(D32-1)*3+1,F32*3))</f>
        <v/>
      </c>
      <c r="H32" s="255"/>
      <c r="I32" s="231">
        <f>HEX2DEC(SUBSTITUTE(G32," ",""))</f>
        <v>0</v>
      </c>
      <c r="J32" s="231"/>
      <c r="L32" s="67" t="str">
        <f>IF(ISNA(VLOOKUP(CONCATENATE(G32,G33),'IGS Configuration Values'!$B$17:$C$17,2,FALSE))=TRUE,"Invalid Game Type/Index",VLOOKUP(CONCATENATE(G32,G33),'IGS Configuration Values'!$B$17:$C$17,2,FALSE))</f>
        <v>Invalid Game Type/Index</v>
      </c>
      <c r="M32" s="68"/>
      <c r="N32" s="68"/>
    </row>
    <row r="33" spans="2:12">
      <c r="B33" s="2">
        <v>5</v>
      </c>
      <c r="C33" s="3" t="s">
        <v>1120</v>
      </c>
      <c r="D33" s="2">
        <f t="shared" si="2"/>
        <v>6</v>
      </c>
      <c r="E33" s="2">
        <f t="shared" si="1"/>
        <v>6</v>
      </c>
      <c r="F33" s="2">
        <v>1</v>
      </c>
      <c r="G33" s="255" t="str">
        <f t="shared" si="3"/>
        <v/>
      </c>
      <c r="H33" s="255"/>
      <c r="I33" s="231">
        <f>HEX2DEC(SUBSTITUTE(G33," ",""))</f>
        <v>0</v>
      </c>
      <c r="J33" s="231"/>
    </row>
    <row r="34" spans="2:12">
      <c r="B34" s="2">
        <v>7</v>
      </c>
      <c r="C34" s="3" t="s">
        <v>1169</v>
      </c>
      <c r="D34" s="2">
        <f>E33+1</f>
        <v>7</v>
      </c>
      <c r="E34" s="2">
        <f>D34+F34-1</f>
        <v>17</v>
      </c>
      <c r="F34" s="2">
        <v>11</v>
      </c>
      <c r="G34" s="255" t="str">
        <f t="shared" si="3"/>
        <v/>
      </c>
      <c r="H34" s="255"/>
      <c r="I34" s="205" t="str">
        <f>CONCATENATE(TEXT(HEX2DEC(MID(G34,1,2)),"00"),TEXT(HEX2DEC(MID(G34,4,2)),"00"),TEXT(HEX2DEC(MID(G34,7,2)),"00")," - ",TEXT(HEX2DEC(MID(G34,10,2)),"00")," - ",TEXT((HEX2DEC(MID(G34,13,2))*2^32+HEX2DEC(SUBSTITUTE(MID(G34,16,11)," ",""))),"0000000000")," - ",TEXT(HEX2DEC(SUBSTITUTE(MID(G34,28,5)," ","")),"000"))</f>
        <v>000000 - 00 - 0000000000 - 000</v>
      </c>
      <c r="J34" s="206"/>
      <c r="K34" s="51" t="s">
        <v>46</v>
      </c>
      <c r="L34" s="29" t="s">
        <v>1145</v>
      </c>
    </row>
    <row r="35" spans="2:12">
      <c r="B35" s="2">
        <v>8</v>
      </c>
      <c r="C35" s="3" t="s">
        <v>1170</v>
      </c>
      <c r="D35" s="2">
        <f>E34+1</f>
        <v>18</v>
      </c>
      <c r="E35" s="2">
        <f>D35+F35-1</f>
        <v>21</v>
      </c>
      <c r="F35" s="2">
        <v>4</v>
      </c>
      <c r="G35" s="255" t="str">
        <f t="shared" si="3"/>
        <v/>
      </c>
      <c r="H35" s="255"/>
      <c r="I35" s="324" t="str">
        <f>CONCATENATE(TEXT(HEX2DEC(SUBSTITUTE(MID(G35,1,6)," ","")),"0000"),"/",TEXT(HEX2DEC(SUBSTITUTE(MID(G35,7,3)," ","")),"00"),"/",TEXT(HEX2DEC(SUBSTITUTE(MID(G35,10,3)," ","")),"00"))</f>
        <v>0000/00/00</v>
      </c>
      <c r="J35" s="325"/>
      <c r="K35" s="51" t="s">
        <v>46</v>
      </c>
      <c r="L35" s="29" t="s">
        <v>1147</v>
      </c>
    </row>
    <row r="36" spans="2:12">
      <c r="B36" s="2">
        <v>9</v>
      </c>
      <c r="C36" s="3" t="s">
        <v>1171</v>
      </c>
      <c r="D36" s="2">
        <f>E35+1</f>
        <v>22</v>
      </c>
      <c r="E36" s="2">
        <f>D36+F36-1</f>
        <v>24</v>
      </c>
      <c r="F36" s="2">
        <v>3</v>
      </c>
      <c r="G36" s="255" t="str">
        <f t="shared" si="3"/>
        <v/>
      </c>
      <c r="H36" s="255"/>
      <c r="I36" s="324" t="str">
        <f>CONCATENATE(TEXT(HEX2DEC(SUBSTITUTE(MID(G36,1,3)," ","")),"00"),":",TEXT(HEX2DEC(SUBSTITUTE(MID(G36,4,3)," ","")),"00"),":",TEXT(HEX2DEC(SUBSTITUTE(MID(G36,7,3)," ","")),"00"))</f>
        <v>00:00:00</v>
      </c>
      <c r="J36" s="325"/>
      <c r="K36" s="51" t="s">
        <v>46</v>
      </c>
      <c r="L36" s="29" t="s">
        <v>1149</v>
      </c>
    </row>
    <row r="37" spans="2:12">
      <c r="B37" s="2">
        <v>10</v>
      </c>
      <c r="C37" s="3" t="s">
        <v>1172</v>
      </c>
      <c r="D37" s="2">
        <f>E36+1</f>
        <v>25</v>
      </c>
      <c r="E37" s="2">
        <f>D37+F37-1</f>
        <v>28</v>
      </c>
      <c r="F37" s="2">
        <v>4</v>
      </c>
      <c r="G37" s="255" t="str">
        <f t="shared" si="3"/>
        <v/>
      </c>
      <c r="H37" s="255"/>
      <c r="I37" s="231">
        <f>HEX2DEC(SUBSTITUTE(G37," ",""))</f>
        <v>0</v>
      </c>
      <c r="J37" s="231"/>
    </row>
    <row r="38" spans="2:12">
      <c r="C38" s="17"/>
    </row>
  </sheetData>
  <mergeCells count="36">
    <mergeCell ref="G37:H37"/>
    <mergeCell ref="I37:J37"/>
    <mergeCell ref="G31:H31"/>
    <mergeCell ref="I31:J31"/>
    <mergeCell ref="G32:H32"/>
    <mergeCell ref="I32:J32"/>
    <mergeCell ref="G33:H33"/>
    <mergeCell ref="I33:J33"/>
    <mergeCell ref="I34:J34"/>
    <mergeCell ref="G34:H34"/>
    <mergeCell ref="I36:J36"/>
    <mergeCell ref="G36:H36"/>
    <mergeCell ref="I35:J35"/>
    <mergeCell ref="G35:H35"/>
    <mergeCell ref="I18:J18"/>
    <mergeCell ref="I19:J19"/>
    <mergeCell ref="G20:H20"/>
    <mergeCell ref="I20:J20"/>
    <mergeCell ref="G28:H28"/>
    <mergeCell ref="I28:J28"/>
    <mergeCell ref="L6:N6"/>
    <mergeCell ref="L17:N17"/>
    <mergeCell ref="L28:N28"/>
    <mergeCell ref="G11:H11"/>
    <mergeCell ref="I11:J11"/>
    <mergeCell ref="G12:H12"/>
    <mergeCell ref="I12:J12"/>
    <mergeCell ref="G17:H17"/>
    <mergeCell ref="I17:J17"/>
    <mergeCell ref="G6:H6"/>
    <mergeCell ref="I6:J6"/>
    <mergeCell ref="G9:H9"/>
    <mergeCell ref="I9:J9"/>
    <mergeCell ref="G10:H10"/>
    <mergeCell ref="I10:J10"/>
    <mergeCell ref="G18:H18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lha5">
    <tabColor rgb="FF0070C0"/>
  </sheetPr>
  <dimension ref="A1:N42"/>
  <sheetViews>
    <sheetView tabSelected="1" topLeftCell="A13" workbookViewId="0">
      <selection activeCell="I31" sqref="I31:J31"/>
    </sheetView>
  </sheetViews>
  <sheetFormatPr defaultRowHeight="15"/>
  <cols>
    <col min="1" max="1" width="2.140625" customWidth="1"/>
    <col min="2" max="2" width="17.85546875" customWidth="1"/>
    <col min="3" max="3" width="31" customWidth="1"/>
    <col min="4" max="4" width="5.140625" bestFit="1" customWidth="1"/>
    <col min="5" max="5" width="4.28515625" bestFit="1" customWidth="1"/>
    <col min="6" max="6" width="4.5703125" bestFit="1" customWidth="1"/>
    <col min="7" max="8" width="15.140625" customWidth="1"/>
    <col min="9" max="9" width="21.42578125" bestFit="1" customWidth="1"/>
    <col min="10" max="10" width="24.85546875" bestFit="1" customWidth="1"/>
    <col min="11" max="11" width="5.7109375" customWidth="1"/>
    <col min="12" max="12" width="9.140625" style="29"/>
  </cols>
  <sheetData>
    <row r="1" spans="1:14">
      <c r="A1" s="20"/>
      <c r="B1" s="161" t="s">
        <v>0</v>
      </c>
      <c r="C1" s="20"/>
      <c r="D1" s="20"/>
      <c r="E1" s="20"/>
      <c r="F1" s="20"/>
      <c r="G1" s="20"/>
      <c r="H1" s="20"/>
      <c r="I1" s="20"/>
      <c r="J1" s="20"/>
      <c r="K1" s="20"/>
    </row>
    <row r="2" spans="1:14" ht="18.75">
      <c r="B2" s="14" t="s">
        <v>1173</v>
      </c>
      <c r="L2" s="29" t="s">
        <v>1135</v>
      </c>
      <c r="M2" s="163"/>
    </row>
    <row r="4" spans="1:14">
      <c r="B4" s="7" t="s">
        <v>1104</v>
      </c>
      <c r="C4" s="163"/>
    </row>
    <row r="6" spans="1:14">
      <c r="B6" s="15" t="s">
        <v>1105</v>
      </c>
      <c r="C6" s="15" t="s">
        <v>1106</v>
      </c>
      <c r="D6" s="15" t="s">
        <v>1107</v>
      </c>
      <c r="E6" s="15" t="s">
        <v>1108</v>
      </c>
      <c r="F6" s="15" t="s">
        <v>1109</v>
      </c>
      <c r="G6" s="307" t="s">
        <v>1110</v>
      </c>
      <c r="H6" s="307"/>
      <c r="I6" s="307" t="s">
        <v>1111</v>
      </c>
      <c r="J6" s="307"/>
      <c r="L6" s="293" t="s">
        <v>1112</v>
      </c>
      <c r="M6" s="294"/>
      <c r="N6" s="295"/>
    </row>
    <row r="7" spans="1:14">
      <c r="B7" s="2">
        <v>1</v>
      </c>
      <c r="C7" s="3" t="s">
        <v>1113</v>
      </c>
      <c r="D7" s="2">
        <v>1</v>
      </c>
      <c r="E7" s="2">
        <f t="shared" ref="E7:E12" si="0">D7+F7-1</f>
        <v>1</v>
      </c>
      <c r="F7" s="2">
        <v>1</v>
      </c>
      <c r="G7" s="2" t="str">
        <f>TRIM(MID($C$4,1,1))</f>
        <v/>
      </c>
      <c r="H7" s="2" t="str">
        <f>TRIM(MID($C$4,2,1))</f>
        <v/>
      </c>
      <c r="I7" s="2">
        <f>HEX2DEC(SUBSTITUTE(G7," ",""))</f>
        <v>0</v>
      </c>
      <c r="J7" s="2">
        <f>HEX2DEC(SUBSTITUTE(H7," ",""))</f>
        <v>0</v>
      </c>
      <c r="L7" s="69" t="str">
        <f>IF(MOD(INT(HEX2BIN(G7,4)/(2^(3-1))),2)=1,CONCATENATE("This is a Retry"),CONCATENATE("This is NOT a Retry"))</f>
        <v>This is NOT a Retry</v>
      </c>
      <c r="M7" s="68"/>
      <c r="N7" s="68"/>
    </row>
    <row r="8" spans="1:14">
      <c r="B8" s="2">
        <v>2</v>
      </c>
      <c r="C8" s="3" t="s">
        <v>1174</v>
      </c>
      <c r="D8" s="2">
        <f>E7+1</f>
        <v>2</v>
      </c>
      <c r="E8" s="2">
        <f t="shared" si="0"/>
        <v>2</v>
      </c>
      <c r="F8" s="2">
        <v>1</v>
      </c>
      <c r="G8" s="2" t="str">
        <f>TRIM(MID($C$4,4,1))</f>
        <v/>
      </c>
      <c r="H8" s="2" t="str">
        <f>TRIM(MID($C$4,5,1))</f>
        <v/>
      </c>
      <c r="I8" s="2">
        <f>HEX2DEC(SUBSTITUTE(G8," ",""))</f>
        <v>0</v>
      </c>
      <c r="J8" s="2">
        <f>HEX2DEC(SUBSTITUTE(H8," ",""))</f>
        <v>0</v>
      </c>
      <c r="L8" s="67" t="str">
        <f>IF(ISNA(VLOOKUP(CONCATENATE(G8,H8),'IGS Configuration Values'!$B$22:$D$27,2,FALSE))=TRUE,"Invalid Type/Subtype",VLOOKUP(CONCATENATE(G8,H8),'IGS Configuration Values'!$B$22:$D$27,2,FALSE))</f>
        <v>Invalid Type/Subtype</v>
      </c>
      <c r="M8" s="68"/>
      <c r="N8" s="68"/>
    </row>
    <row r="9" spans="1:14">
      <c r="B9" s="2">
        <v>3</v>
      </c>
      <c r="C9" s="3" t="s">
        <v>1115</v>
      </c>
      <c r="D9" s="2">
        <f>E8+1</f>
        <v>3</v>
      </c>
      <c r="E9" s="2">
        <f t="shared" si="0"/>
        <v>4</v>
      </c>
      <c r="F9" s="2">
        <v>2</v>
      </c>
      <c r="G9" s="255" t="str">
        <f>TRIM(MID($C$4,(D9-1)*3+1,F9*3))</f>
        <v/>
      </c>
      <c r="H9" s="255"/>
      <c r="I9" s="231">
        <f>HEX2DEC(SUBSTITUTE(G9," ",""))</f>
        <v>0</v>
      </c>
      <c r="J9" s="231"/>
      <c r="L9" s="58"/>
    </row>
    <row r="10" spans="1:14">
      <c r="B10" s="2">
        <v>4</v>
      </c>
      <c r="C10" s="3" t="s">
        <v>1117</v>
      </c>
      <c r="D10" s="2">
        <f>E9+1</f>
        <v>5</v>
      </c>
      <c r="E10" s="2">
        <f t="shared" si="0"/>
        <v>5</v>
      </c>
      <c r="F10" s="2">
        <v>1</v>
      </c>
      <c r="G10" s="255" t="str">
        <f>TRIM(MID($C$4,(D10-1)*3+1,F10*3))</f>
        <v/>
      </c>
      <c r="H10" s="255"/>
      <c r="I10" s="231">
        <f>HEX2DEC(SUBSTITUTE(G10," ",""))</f>
        <v>0</v>
      </c>
      <c r="J10" s="231"/>
      <c r="L10" s="67" t="str">
        <f>IF(ISNA(VLOOKUP(G10,'IGS Configuration Values'!$B$32:$D$40,2,FALSE))=TRUE,"Invalid Statistics",VLOOKUP(G10,'IGS Configuration Values'!$B$32:$D$40,2,FALSE))</f>
        <v>Invalid Statistics</v>
      </c>
      <c r="M10" s="68"/>
      <c r="N10" s="68"/>
    </row>
    <row r="11" spans="1:14">
      <c r="B11" s="2">
        <v>5</v>
      </c>
      <c r="C11" s="3" t="s">
        <v>1119</v>
      </c>
      <c r="D11" s="2">
        <f>E10+1</f>
        <v>6</v>
      </c>
      <c r="E11" s="2">
        <f t="shared" si="0"/>
        <v>6</v>
      </c>
      <c r="F11" s="2">
        <v>1</v>
      </c>
      <c r="G11" s="255" t="str">
        <f>TRIM(MID($C$4,(D11-1)*3+1,F11*3))</f>
        <v/>
      </c>
      <c r="H11" s="255"/>
      <c r="I11" s="231">
        <f>HEX2DEC(SUBSTITUTE(G11," ",""))</f>
        <v>0</v>
      </c>
      <c r="J11" s="231"/>
      <c r="L11" s="67" t="str">
        <f>IF(ISNA(VLOOKUP(CONCATENATE(G11,G12),'IGS Configuration Values'!$B$4:$C$17,2,FALSE))=TRUE,"Invalid Game Type",VLOOKUP(CONCATENATE(G11,G12),'IGS Configuration Values'!$B$4:$C$17,2,FALSE))</f>
        <v>Invalid Game Type</v>
      </c>
      <c r="M11" s="68"/>
      <c r="N11" s="68"/>
    </row>
    <row r="12" spans="1:14">
      <c r="B12" s="2">
        <v>6</v>
      </c>
      <c r="C12" s="3" t="s">
        <v>1120</v>
      </c>
      <c r="D12" s="2">
        <f>E11+1</f>
        <v>7</v>
      </c>
      <c r="E12" s="2">
        <f t="shared" si="0"/>
        <v>7</v>
      </c>
      <c r="F12" s="2">
        <v>1</v>
      </c>
      <c r="G12" s="255" t="str">
        <f>TRIM(MID($C$4,(D12-1)*3+1,F12*3))</f>
        <v/>
      </c>
      <c r="H12" s="255"/>
      <c r="I12" s="231">
        <f>HEX2DEC(SUBSTITUTE(G12," ",""))</f>
        <v>0</v>
      </c>
      <c r="J12" s="231"/>
    </row>
    <row r="15" spans="1:14" ht="18.75">
      <c r="B15" s="14" t="s">
        <v>1175</v>
      </c>
    </row>
    <row r="17" spans="1:14">
      <c r="B17" s="15" t="s">
        <v>1105</v>
      </c>
      <c r="C17" s="15" t="s">
        <v>1106</v>
      </c>
      <c r="D17" s="15" t="s">
        <v>1107</v>
      </c>
      <c r="E17" s="15" t="s">
        <v>1108</v>
      </c>
      <c r="F17" s="15" t="s">
        <v>1109</v>
      </c>
      <c r="G17" s="307" t="s">
        <v>1110</v>
      </c>
      <c r="H17" s="307"/>
      <c r="I17" s="307" t="s">
        <v>1111</v>
      </c>
      <c r="J17" s="307"/>
      <c r="L17" s="293" t="s">
        <v>1112</v>
      </c>
      <c r="M17" s="294"/>
      <c r="N17" s="295"/>
    </row>
    <row r="18" spans="1:14">
      <c r="B18" s="2">
        <v>7</v>
      </c>
      <c r="C18" s="3" t="s">
        <v>1122</v>
      </c>
      <c r="D18" s="2">
        <f>E12+1</f>
        <v>8</v>
      </c>
      <c r="E18" s="2">
        <f>D18+F18-1</f>
        <v>11</v>
      </c>
      <c r="F18" s="2">
        <v>4</v>
      </c>
      <c r="G18" s="255" t="str">
        <f>TRIM(MID($C$4,(D18-1)*3+1,F18*3))</f>
        <v/>
      </c>
      <c r="H18" s="255"/>
      <c r="I18" s="231">
        <f>HEX2DEC(SUBSTITUTE(G18," ",""))</f>
        <v>0</v>
      </c>
      <c r="J18" s="231"/>
    </row>
    <row r="19" spans="1:14">
      <c r="B19" s="2">
        <v>8</v>
      </c>
      <c r="C19" s="3" t="s">
        <v>1124</v>
      </c>
      <c r="D19" s="2">
        <f>E18+1</f>
        <v>12</v>
      </c>
      <c r="E19" s="2">
        <f>D19+F19-1</f>
        <v>19</v>
      </c>
      <c r="F19" s="2">
        <v>8</v>
      </c>
      <c r="G19" s="2" t="str">
        <f>TRIM(MID($C$4,(D19-1)*3+1,F19*3/2))</f>
        <v/>
      </c>
      <c r="H19" s="2" t="str">
        <f>TRIM(MID($C$4,(D19+4-1)*3+1,F19*3/2))</f>
        <v/>
      </c>
      <c r="I19" s="324">
        <f>(HEX2DEC(SUBSTITUTE(G19," ",""))*2^32+HEX2DEC(SUBSTITUTE(H19," ","")))</f>
        <v>0</v>
      </c>
      <c r="J19" s="325"/>
    </row>
    <row r="20" spans="1:14">
      <c r="B20" s="2">
        <v>9</v>
      </c>
      <c r="C20" s="3" t="s">
        <v>1144</v>
      </c>
      <c r="D20" s="2">
        <f>E19+1</f>
        <v>20</v>
      </c>
      <c r="E20" s="2">
        <f>D20+F20-1</f>
        <v>30</v>
      </c>
      <c r="F20" s="2">
        <v>11</v>
      </c>
      <c r="G20" s="207" t="str">
        <f>TRIM(MID($C$4,(D20-1)*3+1,F20*3))</f>
        <v/>
      </c>
      <c r="H20" s="208"/>
      <c r="I20" s="205" t="str">
        <f>CONCATENATE(TEXT(HEX2DEC(MID(G20,1,2)),"00"),TEXT(HEX2DEC(MID(G20,4,2)),"00"),TEXT(HEX2DEC(MID(G20,7,2)),"00")," - ",TEXT(HEX2DEC(MID(G20,10,2)),"00")," - ",TEXT((HEX2DEC(MID(G20,13,2))*2^32+HEX2DEC(SUBSTITUTE(MID(G20,16,11)," ",""))),"0000000000")," - ",TEXT(HEX2DEC(SUBSTITUTE(MID(G20,28,5)," ","")),"000"))</f>
        <v>000000 - 00 - 0000000000 - 000</v>
      </c>
      <c r="J20" s="206"/>
      <c r="K20" s="51" t="s">
        <v>46</v>
      </c>
      <c r="L20" s="29" t="s">
        <v>1145</v>
      </c>
    </row>
    <row r="23" spans="1:14">
      <c r="A23" s="20"/>
      <c r="B23" s="20"/>
      <c r="C23" s="20"/>
      <c r="D23" s="20"/>
      <c r="E23" s="20"/>
      <c r="F23" s="20"/>
      <c r="G23" s="20"/>
      <c r="H23" s="20"/>
      <c r="I23" s="21"/>
      <c r="J23" s="22"/>
      <c r="K23" s="20"/>
    </row>
    <row r="24" spans="1:14" ht="18.75">
      <c r="B24" s="14" t="s">
        <v>1176</v>
      </c>
      <c r="L24" s="29" t="s">
        <v>1135</v>
      </c>
      <c r="M24" s="163"/>
    </row>
    <row r="26" spans="1:14">
      <c r="B26" s="7" t="s">
        <v>1104</v>
      </c>
      <c r="C26" s="163" t="s">
        <v>1177</v>
      </c>
    </row>
    <row r="28" spans="1:14">
      <c r="B28" s="15" t="s">
        <v>1105</v>
      </c>
      <c r="C28" s="15" t="s">
        <v>1106</v>
      </c>
      <c r="D28" s="15" t="s">
        <v>1107</v>
      </c>
      <c r="E28" s="15" t="s">
        <v>1108</v>
      </c>
      <c r="F28" s="15" t="s">
        <v>1109</v>
      </c>
      <c r="G28" s="307" t="s">
        <v>1110</v>
      </c>
      <c r="H28" s="307"/>
      <c r="I28" s="307" t="s">
        <v>1111</v>
      </c>
      <c r="J28" s="307"/>
      <c r="L28" s="293" t="s">
        <v>1112</v>
      </c>
      <c r="M28" s="294"/>
      <c r="N28" s="295"/>
    </row>
    <row r="29" spans="1:14">
      <c r="B29" s="2">
        <v>1</v>
      </c>
      <c r="C29" s="3" t="s">
        <v>1113</v>
      </c>
      <c r="D29" s="2">
        <v>1</v>
      </c>
      <c r="E29" s="2">
        <f>D29+F29-1</f>
        <v>1</v>
      </c>
      <c r="F29" s="2">
        <v>1</v>
      </c>
      <c r="G29" s="2" t="str">
        <f>TRIM(MID($C$26,1,1))</f>
        <v>2</v>
      </c>
      <c r="H29" s="2" t="str">
        <f>TRIM(MID($C$26,2,1))</f>
        <v>a</v>
      </c>
      <c r="I29" s="2">
        <f>HEX2DEC(SUBSTITUTE(G29," ",""))</f>
        <v>2</v>
      </c>
      <c r="J29" s="2">
        <f>HEX2DEC(SUBSTITUTE(H29," ",""))</f>
        <v>10</v>
      </c>
      <c r="L29" s="69" t="str">
        <f>IF(MOD(INT(HEX2BIN(G29,4)/(2^(3-1))),2)=1,CONCATENATE("This is a Retry"),CONCATENATE("This is NOT a Retry"))</f>
        <v>This is NOT a Retry</v>
      </c>
      <c r="M29" s="68"/>
      <c r="N29" s="68"/>
    </row>
    <row r="30" spans="1:14">
      <c r="B30" s="2">
        <v>2</v>
      </c>
      <c r="C30" s="3" t="s">
        <v>1174</v>
      </c>
      <c r="D30" s="2">
        <f t="shared" ref="D30:D41" si="1">E29+1</f>
        <v>2</v>
      </c>
      <c r="E30" s="2">
        <f>D30+F30-1</f>
        <v>2</v>
      </c>
      <c r="F30" s="2">
        <v>1</v>
      </c>
      <c r="G30" s="2" t="str">
        <f>TRIM(MID($C$26,4,1))</f>
        <v>e</v>
      </c>
      <c r="H30" s="2" t="str">
        <f>TRIM(MID($C$26,5,1))</f>
        <v>f</v>
      </c>
      <c r="I30" s="2">
        <f>HEX2DEC(SUBSTITUTE(G30," ",""))</f>
        <v>14</v>
      </c>
      <c r="J30" s="2">
        <f>HEX2DEC(SUBSTITUTE(H30," ",""))</f>
        <v>15</v>
      </c>
      <c r="L30" s="67" t="str">
        <f>IF(ISNA(VLOOKUP(CONCATENATE(G30,H30),'IGS Configuration Values'!$B$22:$D$27,2,FALSE))=TRUE,"Invalid Type/Subtype",VLOOKUP(CONCATENATE(G30,H30),'IGS Configuration Values'!$B$22:$D$27,2,FALSE))</f>
        <v>IGS Error</v>
      </c>
      <c r="M30" s="68"/>
      <c r="N30" s="68"/>
    </row>
    <row r="31" spans="1:14">
      <c r="B31" s="2">
        <v>3</v>
      </c>
      <c r="C31" s="3" t="s">
        <v>1115</v>
      </c>
      <c r="D31" s="2">
        <f t="shared" si="1"/>
        <v>3</v>
      </c>
      <c r="E31" s="2">
        <f t="shared" ref="E31:E38" si="2">D31+F31-1</f>
        <v>4</v>
      </c>
      <c r="F31" s="2">
        <v>2</v>
      </c>
      <c r="G31" s="255" t="str">
        <f>TRIM(MID($C$26,(D31-1)*3+1,F31*3))</f>
        <v>69 a4</v>
      </c>
      <c r="H31" s="255"/>
      <c r="I31" s="231">
        <f>HEX2DEC(SUBSTITUTE(G31," ",""))</f>
        <v>27044</v>
      </c>
      <c r="J31" s="231"/>
    </row>
    <row r="32" spans="1:14">
      <c r="B32" s="2">
        <v>4</v>
      </c>
      <c r="C32" s="3" t="s">
        <v>1119</v>
      </c>
      <c r="D32" s="2">
        <f t="shared" si="1"/>
        <v>5</v>
      </c>
      <c r="E32" s="2">
        <f t="shared" si="2"/>
        <v>5</v>
      </c>
      <c r="F32" s="2">
        <v>1</v>
      </c>
      <c r="G32" s="255" t="str">
        <f t="shared" ref="G32:G41" si="3">TRIM(MID($C$26,(D32-1)*3+1,F32*3))</f>
        <v>12</v>
      </c>
      <c r="H32" s="255"/>
      <c r="I32" s="231">
        <f>HEX2DEC(SUBSTITUTE(G32," ",""))</f>
        <v>18</v>
      </c>
      <c r="J32" s="231"/>
      <c r="L32" s="67" t="str">
        <f>IF(ISNA(VLOOKUP(CONCATENATE(G32,G33),'IGS Configuration Values'!$B$4:$C$17,2,FALSE))=TRUE,"Invalid Game Type/Index",VLOOKUP(CONCATENATE(G32,G33),'IGS Configuration Values'!$B$4:$C$17,2,FALSE))</f>
        <v>PLACARD</v>
      </c>
      <c r="M32" s="68"/>
      <c r="N32" s="68"/>
    </row>
    <row r="33" spans="2:14">
      <c r="B33" s="2">
        <v>5</v>
      </c>
      <c r="C33" s="3" t="s">
        <v>1120</v>
      </c>
      <c r="D33" s="2">
        <f t="shared" si="1"/>
        <v>6</v>
      </c>
      <c r="E33" s="2">
        <f t="shared" si="2"/>
        <v>6</v>
      </c>
      <c r="F33" s="2">
        <v>1</v>
      </c>
      <c r="G33" s="255" t="str">
        <f t="shared" si="3"/>
        <v>01</v>
      </c>
      <c r="H33" s="255"/>
      <c r="I33" s="231">
        <f>HEX2DEC(SUBSTITUTE(G33," ",""))</f>
        <v>1</v>
      </c>
      <c r="J33" s="231"/>
    </row>
    <row r="34" spans="2:14">
      <c r="B34" s="196">
        <v>6</v>
      </c>
      <c r="C34" s="197" t="s">
        <v>1178</v>
      </c>
      <c r="D34" s="196">
        <f t="shared" si="1"/>
        <v>7</v>
      </c>
      <c r="E34" s="196">
        <f t="shared" si="2"/>
        <v>7</v>
      </c>
      <c r="F34" s="196">
        <v>1</v>
      </c>
      <c r="G34" s="330" t="str">
        <f t="shared" ref="G34:G35" si="4">TRIM(MID($C$26,(D34-1)*3+1,F34*3))</f>
        <v>e2</v>
      </c>
      <c r="H34" s="330"/>
      <c r="I34" s="331">
        <f t="shared" ref="I34:I35" si="5">HEX2DEC(SUBSTITUTE(G34," ",""))</f>
        <v>226</v>
      </c>
      <c r="J34" s="331"/>
      <c r="K34" s="51" t="s">
        <v>46</v>
      </c>
      <c r="L34" s="67" t="str">
        <f>IF(ISNA(VLOOKUP(G34,'IGS Configuration Values'!B509:E510,2,FALSE))=TRUE,"Invalid Confirmation Flag",VLOOKUP(G34,'IGS Configuration Values'!B509:E510,2,FALSE))</f>
        <v>Invalid Confirmation Flag</v>
      </c>
      <c r="M34" s="67"/>
      <c r="N34" s="67"/>
    </row>
    <row r="35" spans="2:14">
      <c r="B35" s="196">
        <v>7</v>
      </c>
      <c r="C35" s="197" t="s">
        <v>1127</v>
      </c>
      <c r="D35" s="196">
        <f t="shared" si="1"/>
        <v>8</v>
      </c>
      <c r="E35" s="196">
        <f t="shared" si="2"/>
        <v>11</v>
      </c>
      <c r="F35" s="196">
        <v>4</v>
      </c>
      <c r="G35" s="330" t="str">
        <f t="shared" si="4"/>
        <v>03 52 50 4d</v>
      </c>
      <c r="H35" s="330"/>
      <c r="I35" s="331">
        <f t="shared" si="5"/>
        <v>55726157</v>
      </c>
      <c r="J35" s="331"/>
    </row>
    <row r="36" spans="2:14">
      <c r="B36" s="2">
        <v>8</v>
      </c>
      <c r="C36" s="3" t="s">
        <v>1179</v>
      </c>
      <c r="D36" s="2">
        <f>E35+1</f>
        <v>12</v>
      </c>
      <c r="E36" s="2">
        <f t="shared" si="2"/>
        <v>15</v>
      </c>
      <c r="F36" s="2">
        <v>4</v>
      </c>
      <c r="G36" s="255" t="str">
        <f t="shared" si="3"/>
        <v>2d 30 30 33</v>
      </c>
      <c r="H36" s="255"/>
      <c r="I36" s="324" t="str">
        <f>CONCATENATE(TEXT(HEX2DEC(SUBSTITUTE(MID(G36,1,6)," ","")),"0000"),"/",TEXT(HEX2DEC(SUBSTITUTE(MID(G36,7,3)," ","")),"00"),"/",TEXT(HEX2DEC(SUBSTITUTE(MID(G36,10,3)," ","")),"00"))</f>
        <v>11568/48/51</v>
      </c>
      <c r="J36" s="325"/>
    </row>
    <row r="37" spans="2:14">
      <c r="B37" s="2">
        <v>9</v>
      </c>
      <c r="C37" s="3" t="s">
        <v>1180</v>
      </c>
      <c r="D37" s="2">
        <f t="shared" si="1"/>
        <v>16</v>
      </c>
      <c r="E37" s="2">
        <f t="shared" si="2"/>
        <v>18</v>
      </c>
      <c r="F37" s="2">
        <v>3</v>
      </c>
      <c r="G37" s="255" t="str">
        <f t="shared" si="3"/>
        <v>30 38 53</v>
      </c>
      <c r="H37" s="255"/>
      <c r="I37" s="324" t="str">
        <f>CONCATENATE(TEXT(HEX2DEC(SUBSTITUTE(MID(G37,1,3)," ","")),"00"),":",TEXT(HEX2DEC(SUBSTITUTE(MID(G37,4,3)," ","")),"00"),":",TEXT(HEX2DEC(SUBSTITUTE(MID(G37,7,3)," ","")),"00"))</f>
        <v>48:56:83</v>
      </c>
      <c r="J37" s="325"/>
    </row>
    <row r="38" spans="2:14">
      <c r="B38" s="2">
        <v>10</v>
      </c>
      <c r="C38" s="3" t="s">
        <v>1181</v>
      </c>
      <c r="D38" s="2">
        <f t="shared" si="1"/>
        <v>19</v>
      </c>
      <c r="E38" s="2">
        <f t="shared" si="2"/>
        <v>22</v>
      </c>
      <c r="F38" s="2">
        <v>4</v>
      </c>
      <c r="G38" s="255" t="str">
        <f t="shared" si="3"/>
        <v>65 6d 20 50</v>
      </c>
      <c r="H38" s="255"/>
      <c r="I38" s="231">
        <f>HEX2DEC(SUBSTITUTE(G38," ",""))</f>
        <v>1701650512</v>
      </c>
      <c r="J38" s="231"/>
      <c r="K38" s="51" t="s">
        <v>46</v>
      </c>
      <c r="L38" s="29" t="s">
        <v>1137</v>
      </c>
    </row>
    <row r="39" spans="2:14">
      <c r="B39" s="2">
        <v>11</v>
      </c>
      <c r="C39" s="3" t="s">
        <v>1182</v>
      </c>
      <c r="D39" s="2">
        <f t="shared" si="1"/>
        <v>23</v>
      </c>
      <c r="E39" s="2">
        <f>D39+F39-1</f>
        <v>26</v>
      </c>
      <c r="F39" s="2">
        <v>4</v>
      </c>
      <c r="G39" s="255" t="str">
        <f t="shared" si="3"/>
        <v>72 c3 a9 6d</v>
      </c>
      <c r="H39" s="255"/>
      <c r="I39" s="231">
        <f>HEX2DEC(SUBSTITUTE(G39," ",""))</f>
        <v>1925425517</v>
      </c>
      <c r="J39" s="231"/>
      <c r="K39" s="51" t="s">
        <v>46</v>
      </c>
      <c r="L39" s="29" t="s">
        <v>1137</v>
      </c>
    </row>
    <row r="40" spans="2:14">
      <c r="B40" s="2">
        <v>12</v>
      </c>
      <c r="C40" s="3" t="s">
        <v>1183</v>
      </c>
      <c r="D40" s="2">
        <f t="shared" si="1"/>
        <v>27</v>
      </c>
      <c r="E40" s="2">
        <f>D40+F40-1</f>
        <v>30</v>
      </c>
      <c r="F40" s="2">
        <v>4</v>
      </c>
      <c r="G40" s="255" t="str">
        <f t="shared" si="3"/>
        <v>69 6f 2e</v>
      </c>
      <c r="H40" s="255"/>
      <c r="I40" s="231">
        <f>HEX2DEC(SUBSTITUTE(G40," ",""))</f>
        <v>6909742</v>
      </c>
      <c r="J40" s="231"/>
      <c r="K40" s="51" t="s">
        <v>46</v>
      </c>
      <c r="L40" s="29" t="s">
        <v>1137</v>
      </c>
    </row>
    <row r="41" spans="2:14">
      <c r="B41" s="2">
        <v>13</v>
      </c>
      <c r="C41" s="3" t="s">
        <v>106</v>
      </c>
      <c r="D41" s="2">
        <f t="shared" si="1"/>
        <v>31</v>
      </c>
      <c r="E41" s="2">
        <f>D41+F41-1</f>
        <v>31</v>
      </c>
      <c r="F41" s="2">
        <v>1</v>
      </c>
      <c r="G41" s="255" t="str">
        <f t="shared" si="3"/>
        <v/>
      </c>
      <c r="H41" s="255"/>
      <c r="I41" s="231">
        <f>HEX2DEC(SUBSTITUTE(G41," ",""))</f>
        <v>0</v>
      </c>
      <c r="J41" s="231"/>
      <c r="L41" s="69" t="str">
        <f>IF(ISNA(VLOOKUP(G41,'IGS Configuration Values'!$B$75:$D$77,2,FALSE))=TRUE,"Invalid Payment Mode",VLOOKUP(G41,'IGS Configuration Values'!$B$75:$D$77,2,FALSE))</f>
        <v>Invalid Payment Mode</v>
      </c>
      <c r="M41" s="68"/>
      <c r="N41" s="68"/>
    </row>
    <row r="42" spans="2:14">
      <c r="C42" s="17"/>
    </row>
  </sheetData>
  <mergeCells count="44">
    <mergeCell ref="G41:H41"/>
    <mergeCell ref="I39:J39"/>
    <mergeCell ref="I40:J40"/>
    <mergeCell ref="I41:J41"/>
    <mergeCell ref="G40:H40"/>
    <mergeCell ref="G37:H37"/>
    <mergeCell ref="I37:J37"/>
    <mergeCell ref="G38:H38"/>
    <mergeCell ref="I38:J38"/>
    <mergeCell ref="G39:H39"/>
    <mergeCell ref="G36:H36"/>
    <mergeCell ref="I36:J36"/>
    <mergeCell ref="G31:H31"/>
    <mergeCell ref="I31:J31"/>
    <mergeCell ref="G32:H32"/>
    <mergeCell ref="I32:J32"/>
    <mergeCell ref="G33:H33"/>
    <mergeCell ref="I33:J33"/>
    <mergeCell ref="G34:H34"/>
    <mergeCell ref="G35:H35"/>
    <mergeCell ref="I34:J34"/>
    <mergeCell ref="I35:J35"/>
    <mergeCell ref="I17:J17"/>
    <mergeCell ref="G18:H18"/>
    <mergeCell ref="I18:J18"/>
    <mergeCell ref="I19:J19"/>
    <mergeCell ref="G20:H20"/>
    <mergeCell ref="I20:J20"/>
    <mergeCell ref="L6:N6"/>
    <mergeCell ref="L17:N17"/>
    <mergeCell ref="L28:N28"/>
    <mergeCell ref="G6:H6"/>
    <mergeCell ref="I6:J6"/>
    <mergeCell ref="G9:H9"/>
    <mergeCell ref="I9:J9"/>
    <mergeCell ref="G10:H10"/>
    <mergeCell ref="I10:J10"/>
    <mergeCell ref="G28:H28"/>
    <mergeCell ref="I28:J28"/>
    <mergeCell ref="G11:H11"/>
    <mergeCell ref="I11:J11"/>
    <mergeCell ref="G12:H12"/>
    <mergeCell ref="I12:J12"/>
    <mergeCell ref="G17:H17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lha6">
    <tabColor rgb="FF0070C0"/>
  </sheetPr>
  <dimension ref="A1:N52"/>
  <sheetViews>
    <sheetView topLeftCell="A22" workbookViewId="0">
      <selection activeCell="I50" sqref="I50:J50"/>
    </sheetView>
  </sheetViews>
  <sheetFormatPr defaultRowHeight="15"/>
  <cols>
    <col min="1" max="1" width="2.140625" customWidth="1"/>
    <col min="2" max="2" width="17.85546875" customWidth="1"/>
    <col min="3" max="3" width="31" customWidth="1"/>
    <col min="4" max="4" width="5.140625" bestFit="1" customWidth="1"/>
    <col min="5" max="5" width="4.28515625" bestFit="1" customWidth="1"/>
    <col min="6" max="6" width="4.5703125" bestFit="1" customWidth="1"/>
    <col min="7" max="8" width="15.140625" customWidth="1"/>
    <col min="9" max="9" width="21.42578125" bestFit="1" customWidth="1"/>
    <col min="10" max="10" width="24.85546875" bestFit="1" customWidth="1"/>
    <col min="11" max="11" width="5.7109375" style="30" customWidth="1"/>
  </cols>
  <sheetData>
    <row r="1" spans="1:14">
      <c r="A1" s="20"/>
      <c r="B1" s="161" t="s">
        <v>0</v>
      </c>
      <c r="C1" s="20"/>
      <c r="D1" s="20"/>
      <c r="E1" s="20"/>
      <c r="F1" s="20"/>
      <c r="G1" s="20"/>
      <c r="H1" s="20"/>
      <c r="I1" s="20"/>
      <c r="J1" s="20"/>
      <c r="K1" s="157"/>
    </row>
    <row r="2" spans="1:14" ht="18.75">
      <c r="B2" s="14" t="s">
        <v>1184</v>
      </c>
      <c r="L2" t="s">
        <v>1135</v>
      </c>
      <c r="M2" s="164"/>
    </row>
    <row r="4" spans="1:14">
      <c r="B4" s="7" t="s">
        <v>1104</v>
      </c>
      <c r="C4" s="163" t="s">
        <v>1185</v>
      </c>
    </row>
    <row r="6" spans="1:14">
      <c r="B6" s="15" t="s">
        <v>1105</v>
      </c>
      <c r="C6" s="15" t="s">
        <v>1106</v>
      </c>
      <c r="D6" s="15" t="s">
        <v>1107</v>
      </c>
      <c r="E6" s="15" t="s">
        <v>1108</v>
      </c>
      <c r="F6" s="15" t="s">
        <v>1109</v>
      </c>
      <c r="G6" s="307" t="s">
        <v>1110</v>
      </c>
      <c r="H6" s="307"/>
      <c r="I6" s="307" t="s">
        <v>1111</v>
      </c>
      <c r="J6" s="307"/>
      <c r="L6" s="293" t="s">
        <v>1112</v>
      </c>
      <c r="M6" s="294"/>
      <c r="N6" s="295"/>
    </row>
    <row r="7" spans="1:14">
      <c r="B7" s="2">
        <v>1</v>
      </c>
      <c r="C7" s="3" t="s">
        <v>1113</v>
      </c>
      <c r="D7" s="2">
        <v>1</v>
      </c>
      <c r="E7" s="2">
        <f t="shared" ref="E7:E12" si="0">D7+F7-1</f>
        <v>1</v>
      </c>
      <c r="F7" s="2">
        <v>1</v>
      </c>
      <c r="G7" s="2" t="str">
        <f>TRIM(MID($C$4,1,1))</f>
        <v>8</v>
      </c>
      <c r="H7" s="2" t="str">
        <f>TRIM(MID($C$4,2,1))</f>
        <v>a</v>
      </c>
      <c r="I7" s="2">
        <f>HEX2DEC(SUBSTITUTE(G7," ",""))</f>
        <v>8</v>
      </c>
      <c r="J7" s="2">
        <f>HEX2DEC(SUBSTITUTE(H7," ",""))</f>
        <v>10</v>
      </c>
      <c r="L7" s="68" t="str">
        <f>IF(MOD(INT(HEX2BIN(G7,4)/(2^(3-1))),2)=1,CONCATENATE("This is a Retry"),CONCATENATE("This is NOT a Retry"))</f>
        <v>This is NOT a Retry</v>
      </c>
      <c r="M7" s="68"/>
      <c r="N7" s="68"/>
    </row>
    <row r="8" spans="1:14">
      <c r="B8" s="2">
        <v>2</v>
      </c>
      <c r="C8" s="3" t="s">
        <v>1186</v>
      </c>
      <c r="D8" s="2">
        <f>E7+1</f>
        <v>2</v>
      </c>
      <c r="E8" s="2">
        <f t="shared" si="0"/>
        <v>2</v>
      </c>
      <c r="F8" s="2">
        <v>1</v>
      </c>
      <c r="G8" s="2" t="str">
        <f>TRIM(MID($C$4,4,1))</f>
        <v>2</v>
      </c>
      <c r="H8" s="2" t="str">
        <f>TRIM(MID($C$4,5,1))</f>
        <v>9</v>
      </c>
      <c r="I8" s="2">
        <f>HEX2DEC(SUBSTITUTE(G8," ",""))</f>
        <v>2</v>
      </c>
      <c r="J8" s="2">
        <f>HEX2DEC(SUBSTITUTE(H8," ",""))</f>
        <v>9</v>
      </c>
      <c r="L8" s="92" t="str">
        <f>IF(ISNA(VLOOKUP(CONCATENATE(G8,H8),'IGS Configuration Values'!$B$22:$D$27,2,FALSE))=TRUE,"Invalid Type/Subtype",VLOOKUP(CONCATENATE(G8,H8),'IGS Configuration Values'!$B$22:$D$27,2,FALSE))</f>
        <v>Invalid Type/Subtype</v>
      </c>
      <c r="M8" s="68"/>
      <c r="N8" s="68"/>
    </row>
    <row r="9" spans="1:14">
      <c r="B9" s="2">
        <v>3</v>
      </c>
      <c r="C9" s="3" t="s">
        <v>1115</v>
      </c>
      <c r="D9" s="2">
        <f>E8+1</f>
        <v>3</v>
      </c>
      <c r="E9" s="2">
        <f t="shared" si="0"/>
        <v>4</v>
      </c>
      <c r="F9" s="2">
        <v>2</v>
      </c>
      <c r="G9" s="255" t="str">
        <f>TRIM(MID($C$4,(D9-1)*3+1,F9*3))</f>
        <v>e3 cb</v>
      </c>
      <c r="H9" s="255"/>
      <c r="I9" s="231">
        <f>HEX2DEC(SUBSTITUTE(G9," ",""))</f>
        <v>58315</v>
      </c>
      <c r="J9" s="231"/>
      <c r="L9" s="23"/>
    </row>
    <row r="10" spans="1:14">
      <c r="B10" s="2">
        <v>4</v>
      </c>
      <c r="C10" s="3" t="s">
        <v>1117</v>
      </c>
      <c r="D10" s="2">
        <f>E9+1</f>
        <v>5</v>
      </c>
      <c r="E10" s="2">
        <f t="shared" si="0"/>
        <v>5</v>
      </c>
      <c r="F10" s="2">
        <v>1</v>
      </c>
      <c r="G10" s="255" t="str">
        <f>TRIM(MID($C$4,(D10-1)*3+1,F10*3))</f>
        <v>cc</v>
      </c>
      <c r="H10" s="255"/>
      <c r="I10" s="231">
        <f>HEX2DEC(SUBSTITUTE(G10," ",""))</f>
        <v>204</v>
      </c>
      <c r="J10" s="231"/>
      <c r="L10" s="92" t="str">
        <f>IF(ISNA(VLOOKUP(G10,'IGS Configuration Values'!$B$32:$D$40,2,FALSE))=TRUE,"Invalid Statistics",VLOOKUP(G10,'IGS Configuration Values'!$B$32:$D$40,2,FALSE))</f>
        <v>Invalid Statistics</v>
      </c>
      <c r="M10" s="68"/>
      <c r="N10" s="68"/>
    </row>
    <row r="11" spans="1:14">
      <c r="B11" s="2">
        <v>5</v>
      </c>
      <c r="C11" s="3" t="s">
        <v>1119</v>
      </c>
      <c r="D11" s="2">
        <f>E10+1</f>
        <v>6</v>
      </c>
      <c r="E11" s="2">
        <f t="shared" si="0"/>
        <v>6</v>
      </c>
      <c r="F11" s="2">
        <v>1</v>
      </c>
      <c r="G11" s="255" t="str">
        <f>TRIM(MID($C$4,(D11-1)*3+1,F11*3))</f>
        <v>12</v>
      </c>
      <c r="H11" s="255"/>
      <c r="I11" s="231">
        <f>HEX2DEC(SUBSTITUTE(G11," ",""))</f>
        <v>18</v>
      </c>
      <c r="J11" s="231"/>
      <c r="L11" s="92" t="str">
        <f>IF(ISNA(VLOOKUP(CONCATENATE(G11,G12),'IGS Configuration Values'!$B$4:$C$17,2,FALSE))=TRUE,"Invalid Game Type",VLOOKUP(CONCATENATE(G11,G12),'IGS Configuration Values'!$B$4:$C$17,2,FALSE))</f>
        <v>PLACARD</v>
      </c>
      <c r="M11" s="68"/>
      <c r="N11" s="68"/>
    </row>
    <row r="12" spans="1:14">
      <c r="B12" s="2">
        <v>6</v>
      </c>
      <c r="C12" s="3" t="s">
        <v>1120</v>
      </c>
      <c r="D12" s="2">
        <f>E11+1</f>
        <v>7</v>
      </c>
      <c r="E12" s="2">
        <f t="shared" si="0"/>
        <v>7</v>
      </c>
      <c r="F12" s="2">
        <v>1</v>
      </c>
      <c r="G12" s="255" t="str">
        <f>TRIM(MID($C$4,(D12-1)*3+1,F12*3))</f>
        <v>01</v>
      </c>
      <c r="H12" s="255"/>
      <c r="I12" s="231">
        <f>HEX2DEC(SUBSTITUTE(G12," ",""))</f>
        <v>1</v>
      </c>
      <c r="J12" s="231"/>
    </row>
    <row r="15" spans="1:14" ht="18.75">
      <c r="B15" s="14" t="s">
        <v>1187</v>
      </c>
    </row>
    <row r="17" spans="1:14">
      <c r="B17" s="15" t="s">
        <v>1105</v>
      </c>
      <c r="C17" s="15" t="s">
        <v>1106</v>
      </c>
      <c r="D17" s="15" t="s">
        <v>1107</v>
      </c>
      <c r="E17" s="15" t="s">
        <v>1108</v>
      </c>
      <c r="F17" s="15" t="s">
        <v>1109</v>
      </c>
      <c r="G17" s="307" t="s">
        <v>1110</v>
      </c>
      <c r="H17" s="307"/>
      <c r="I17" s="307" t="s">
        <v>1111</v>
      </c>
      <c r="J17" s="307"/>
      <c r="L17" s="293" t="s">
        <v>1112</v>
      </c>
      <c r="M17" s="294"/>
      <c r="N17" s="295"/>
    </row>
    <row r="18" spans="1:14">
      <c r="B18" s="2">
        <v>7</v>
      </c>
      <c r="C18" s="3" t="s">
        <v>1122</v>
      </c>
      <c r="D18" s="2">
        <f>E12+1</f>
        <v>8</v>
      </c>
      <c r="E18" s="2">
        <f>D18+F18-1</f>
        <v>11</v>
      </c>
      <c r="F18" s="2">
        <v>4</v>
      </c>
      <c r="G18" s="255" t="str">
        <f>TRIM(MID($C$4,(D18-1)*3+1,F18*3))</f>
        <v>00 00 00 00</v>
      </c>
      <c r="H18" s="255"/>
      <c r="I18" s="231">
        <f>HEX2DEC(SUBSTITUTE(G18," ",""))</f>
        <v>0</v>
      </c>
      <c r="J18" s="231"/>
    </row>
    <row r="19" spans="1:14">
      <c r="B19" s="2">
        <v>8</v>
      </c>
      <c r="C19" s="3" t="s">
        <v>1124</v>
      </c>
      <c r="D19" s="2">
        <f>E18+1</f>
        <v>12</v>
      </c>
      <c r="E19" s="2">
        <f>D19+F19-1</f>
        <v>19</v>
      </c>
      <c r="F19" s="2">
        <v>8</v>
      </c>
      <c r="G19" s="2" t="str">
        <f>TRIM(MID($C$4,(D19-1)*3+1,F19*3/2))</f>
        <v>12 08 08 0c</v>
      </c>
      <c r="H19" s="2" t="str">
        <f>TRIM(MID($C$4,(D19+4-1)*3+1,F19*3/2))</f>
        <v>01 c5 20 4c</v>
      </c>
      <c r="I19" s="324">
        <f>(HEX2DEC(SUBSTITUTE(G19," ",""))*2^32+HEX2DEC(SUBSTITUTE(H19," ","")))</f>
        <v>1.2992973401587139E+18</v>
      </c>
      <c r="J19" s="325"/>
    </row>
    <row r="20" spans="1:14">
      <c r="B20" s="2">
        <v>9</v>
      </c>
      <c r="C20" s="3" t="s">
        <v>1144</v>
      </c>
      <c r="D20" s="2">
        <f>E19+1</f>
        <v>20</v>
      </c>
      <c r="E20" s="2">
        <f>D20+F20-1</f>
        <v>30</v>
      </c>
      <c r="F20" s="2">
        <v>11</v>
      </c>
      <c r="G20" s="207" t="str">
        <f>TRIM(MID($C$4,(D20-1)*3+1,F20*3))</f>
        <v>65 01 da 07 e2 08 08 0c 1b 05 00</v>
      </c>
      <c r="H20" s="208"/>
      <c r="I20" s="205" t="str">
        <f>CONCATENATE(TEXT(HEX2DEC(MID(G20,1,2)),"00"),TEXT(HEX2DEC(MID(G20,4,2)),"00"),TEXT(HEX2DEC(MID(G20,7,2)),"00")," - ",TEXT(HEX2DEC(MID(G20,10,2)),"00")," - ",TEXT((HEX2DEC(MID(G20,13,2))*2^32+HEX2DEC(SUBSTITUTE(MID(G20,16,11)," ",""))),"0000000000")," - ",TEXT(HEX2DEC(SUBSTITUTE(MID(G20,28,5)," ","")),"000"))</f>
        <v>10101218 - 07 - 970797354011 - 1280</v>
      </c>
      <c r="J20" s="206"/>
      <c r="K20" s="191" t="s">
        <v>46</v>
      </c>
      <c r="L20" t="s">
        <v>1145</v>
      </c>
    </row>
    <row r="21" spans="1:14">
      <c r="B21" s="2">
        <v>10</v>
      </c>
      <c r="C21" s="3" t="s">
        <v>111</v>
      </c>
      <c r="D21" s="2">
        <f>E20+1</f>
        <v>31</v>
      </c>
      <c r="E21" s="2">
        <f>D21+F21-1</f>
        <v>31</v>
      </c>
      <c r="F21" s="2">
        <v>1</v>
      </c>
      <c r="G21" s="207" t="str">
        <f>TRIM(MID($C$4,(D21-1)*3+1,F21*3))</f>
        <v>00</v>
      </c>
      <c r="H21" s="208"/>
      <c r="I21" s="231">
        <f>HEX2DEC(SUBSTITUTE(G21," ",""))</f>
        <v>0</v>
      </c>
      <c r="J21" s="231"/>
      <c r="L21" s="68" t="str">
        <f>IF(ISNA(VLOOKUP(G21,'IGS Configuration Values'!$B$82:$D$83,2,FALSE))=TRUE,"Invalid Payment Mode",VLOOKUP(G21,'IGS Configuration Values'!$B$82:$D$83,2,FALSE))</f>
        <v>Cash Payment</v>
      </c>
      <c r="M21" s="68"/>
      <c r="N21" s="68"/>
    </row>
    <row r="24" spans="1:14" ht="18.75">
      <c r="B24" s="14" t="s">
        <v>1188</v>
      </c>
    </row>
    <row r="25" spans="1:14">
      <c r="D25" s="303" t="s">
        <v>1189</v>
      </c>
      <c r="E25" s="338"/>
      <c r="F25" s="338"/>
      <c r="G25" s="338"/>
      <c r="H25" s="304"/>
    </row>
    <row r="26" spans="1:14">
      <c r="B26" s="15" t="s">
        <v>1105</v>
      </c>
      <c r="C26" s="15" t="s">
        <v>1106</v>
      </c>
      <c r="D26" s="15" t="s">
        <v>1107</v>
      </c>
      <c r="E26" s="15" t="s">
        <v>1108</v>
      </c>
      <c r="F26" s="15" t="s">
        <v>1109</v>
      </c>
      <c r="G26" s="307" t="s">
        <v>1110</v>
      </c>
      <c r="H26" s="307"/>
      <c r="I26" s="307" t="s">
        <v>1111</v>
      </c>
      <c r="J26" s="307"/>
      <c r="L26" s="293" t="s">
        <v>1112</v>
      </c>
      <c r="M26" s="294"/>
      <c r="N26" s="295"/>
    </row>
    <row r="27" spans="1:14">
      <c r="B27" s="2">
        <v>11</v>
      </c>
      <c r="C27" s="3" t="s">
        <v>1190</v>
      </c>
      <c r="D27" s="2">
        <f>E21+1</f>
        <v>32</v>
      </c>
      <c r="E27" s="2">
        <f t="shared" ref="E27:E32" si="1">D27+F27-1</f>
        <v>32</v>
      </c>
      <c r="F27" s="2">
        <v>1</v>
      </c>
      <c r="G27" s="255" t="str">
        <f t="shared" ref="G27:G32" si="2">TRIM(MID($C$4,(D27-1)*3+1,F27*3))</f>
        <v>04</v>
      </c>
      <c r="H27" s="255"/>
      <c r="I27" s="231">
        <f t="shared" ref="I27:I32" si="3">HEX2DEC(SUBSTITUTE(G27," ",""))</f>
        <v>4</v>
      </c>
      <c r="J27" s="231"/>
      <c r="L27" s="68" t="str">
        <f>IF(ISNA(VLOOKUP(G27,'IGS Configuration Values'!$B$88:$D$89,2,FALSE))=TRUE,"Invalid Player Type",VLOOKUP(G27,'IGS Configuration Values'!$B$88:$D$89,2,FALSE))</f>
        <v>Invalid Player Type</v>
      </c>
      <c r="M27" s="68"/>
      <c r="N27" s="68"/>
    </row>
    <row r="28" spans="1:14">
      <c r="B28" s="2">
        <v>12</v>
      </c>
      <c r="C28" s="3" t="s">
        <v>1191</v>
      </c>
      <c r="D28" s="2">
        <f>E27+1</f>
        <v>33</v>
      </c>
      <c r="E28" s="2">
        <f t="shared" si="1"/>
        <v>36</v>
      </c>
      <c r="F28" s="2">
        <v>4</v>
      </c>
      <c r="G28" s="255" t="str">
        <f t="shared" si="2"/>
        <v>c4 00 00 00</v>
      </c>
      <c r="H28" s="255"/>
      <c r="I28" s="231">
        <f t="shared" si="3"/>
        <v>3288334336</v>
      </c>
      <c r="J28" s="231"/>
      <c r="K28" s="191" t="s">
        <v>46</v>
      </c>
      <c r="L28" t="s">
        <v>1192</v>
      </c>
    </row>
    <row r="29" spans="1:14">
      <c r="A29" s="332" t="s">
        <v>1193</v>
      </c>
      <c r="B29" s="2">
        <v>13</v>
      </c>
      <c r="C29" s="3" t="s">
        <v>1194</v>
      </c>
      <c r="D29" s="2">
        <f>E28+1</f>
        <v>37</v>
      </c>
      <c r="E29" s="2">
        <f t="shared" si="1"/>
        <v>38</v>
      </c>
      <c r="F29" s="2">
        <v>2</v>
      </c>
      <c r="G29" s="255" t="str">
        <f t="shared" si="2"/>
        <v>00 00</v>
      </c>
      <c r="H29" s="255"/>
      <c r="I29" s="335">
        <f t="shared" si="3"/>
        <v>0</v>
      </c>
      <c r="J29" s="335"/>
    </row>
    <row r="30" spans="1:14">
      <c r="A30" s="333"/>
      <c r="B30" s="2">
        <v>14</v>
      </c>
      <c r="C30" s="3" t="s">
        <v>1195</v>
      </c>
      <c r="D30" s="2">
        <f>E29+1</f>
        <v>39</v>
      </c>
      <c r="E30" s="2">
        <f t="shared" si="1"/>
        <v>40</v>
      </c>
      <c r="F30" s="2">
        <v>2</v>
      </c>
      <c r="G30" s="255" t="str">
        <f t="shared" si="2"/>
        <v>00 04</v>
      </c>
      <c r="H30" s="255"/>
      <c r="I30" s="335">
        <f t="shared" si="3"/>
        <v>4</v>
      </c>
      <c r="J30" s="335"/>
    </row>
    <row r="31" spans="1:14">
      <c r="A31" s="333"/>
      <c r="B31" s="2">
        <v>15</v>
      </c>
      <c r="C31" s="3" t="s">
        <v>1196</v>
      </c>
      <c r="D31" s="2">
        <f>E30+1</f>
        <v>41</v>
      </c>
      <c r="E31" s="2">
        <f t="shared" si="1"/>
        <v>45</v>
      </c>
      <c r="F31" s="2">
        <v>5</v>
      </c>
      <c r="G31" s="255" t="str">
        <f t="shared" si="2"/>
        <v>c4</v>
      </c>
      <c r="H31" s="255"/>
      <c r="I31" s="336">
        <f t="shared" si="3"/>
        <v>196</v>
      </c>
      <c r="J31" s="336"/>
    </row>
    <row r="32" spans="1:14">
      <c r="A32" s="334"/>
      <c r="B32" s="2">
        <v>16</v>
      </c>
      <c r="C32" s="3" t="s">
        <v>1197</v>
      </c>
      <c r="D32" s="2">
        <f>E31+1</f>
        <v>46</v>
      </c>
      <c r="E32" s="2">
        <f t="shared" si="1"/>
        <v>46</v>
      </c>
      <c r="F32" s="2">
        <v>1</v>
      </c>
      <c r="G32" s="255" t="str">
        <f t="shared" si="2"/>
        <v/>
      </c>
      <c r="H32" s="255"/>
      <c r="I32" s="337">
        <f t="shared" si="3"/>
        <v>0</v>
      </c>
      <c r="J32" s="337"/>
    </row>
    <row r="35" spans="1:14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157"/>
    </row>
    <row r="36" spans="1:14" ht="18.75">
      <c r="B36" s="14" t="s">
        <v>1198</v>
      </c>
    </row>
    <row r="38" spans="1:14">
      <c r="B38" s="7" t="s">
        <v>1104</v>
      </c>
      <c r="C38" s="163" t="s">
        <v>1199</v>
      </c>
    </row>
    <row r="40" spans="1:14">
      <c r="B40" s="15" t="s">
        <v>1105</v>
      </c>
      <c r="C40" s="15" t="s">
        <v>1106</v>
      </c>
      <c r="D40" s="15" t="s">
        <v>1107</v>
      </c>
      <c r="E40" s="15" t="s">
        <v>1108</v>
      </c>
      <c r="F40" s="15" t="s">
        <v>1109</v>
      </c>
      <c r="G40" s="307" t="s">
        <v>1110</v>
      </c>
      <c r="H40" s="307"/>
      <c r="I40" s="307" t="s">
        <v>1111</v>
      </c>
      <c r="J40" s="307"/>
      <c r="L40" s="293" t="s">
        <v>1112</v>
      </c>
      <c r="M40" s="294"/>
      <c r="N40" s="295"/>
    </row>
    <row r="41" spans="1:14">
      <c r="B41" s="2">
        <v>1</v>
      </c>
      <c r="C41" s="3" t="s">
        <v>1113</v>
      </c>
      <c r="D41" s="2">
        <v>1</v>
      </c>
      <c r="E41" s="2">
        <f>D41+F41-1</f>
        <v>1</v>
      </c>
      <c r="F41" s="2">
        <v>1</v>
      </c>
      <c r="G41" s="2" t="str">
        <f>TRIM(MID($C$38,1,1))</f>
        <v>2</v>
      </c>
      <c r="H41" s="2" t="str">
        <f>TRIM(MID($C$38,2,1))</f>
        <v>9</v>
      </c>
      <c r="I41" s="2">
        <f>HEX2DEC(SUBSTITUTE(G41," ",""))</f>
        <v>2</v>
      </c>
      <c r="J41" s="2">
        <f>HEX2DEC(SUBSTITUTE(H41," ",""))</f>
        <v>9</v>
      </c>
      <c r="L41" s="68" t="str">
        <f>IF(MOD(INT(HEX2BIN(G41,4)/(2^(3-1))),2)=1,CONCATENATE("This is a Retry"),CONCATENATE("This is NOT a Retry"))</f>
        <v>This is NOT a Retry</v>
      </c>
      <c r="M41" s="68"/>
      <c r="N41" s="68"/>
    </row>
    <row r="42" spans="1:14">
      <c r="B42" s="2">
        <v>2</v>
      </c>
      <c r="C42" s="3" t="s">
        <v>1186</v>
      </c>
      <c r="D42" s="2">
        <f t="shared" ref="D42:D52" si="4">E41+1</f>
        <v>2</v>
      </c>
      <c r="E42" s="2">
        <f>D42+F42-1</f>
        <v>2</v>
      </c>
      <c r="F42" s="2">
        <v>1</v>
      </c>
      <c r="G42" s="2" t="str">
        <f>TRIM(MID($C$38,4,1))</f>
        <v>e</v>
      </c>
      <c r="H42" s="2" t="str">
        <f>TRIM(MID($C$38,5,1))</f>
        <v>3</v>
      </c>
      <c r="I42" s="2">
        <f>HEX2DEC(SUBSTITUTE(G42," ",""))</f>
        <v>14</v>
      </c>
      <c r="J42" s="2">
        <f>HEX2DEC(SUBSTITUTE(H42," ",""))</f>
        <v>3</v>
      </c>
      <c r="L42" s="92" t="str">
        <f>IF(ISNA(VLOOKUP(CONCATENATE(G42,H42),'IGS Configuration Values'!$B$22:$D$27,2,FALSE))=TRUE,"Invalid Type/Subtype",VLOOKUP(CONCATENATE(G42,H42),'IGS Configuration Values'!$B$22:$D$27,2,FALSE))</f>
        <v>IGS Payment</v>
      </c>
      <c r="M42" s="68"/>
      <c r="N42" s="68"/>
    </row>
    <row r="43" spans="1:14">
      <c r="B43" s="2">
        <v>3</v>
      </c>
      <c r="C43" s="3" t="s">
        <v>1115</v>
      </c>
      <c r="D43" s="2">
        <f t="shared" si="4"/>
        <v>3</v>
      </c>
      <c r="E43" s="2">
        <f t="shared" ref="E43:E52" si="5">D43+F43-1</f>
        <v>4</v>
      </c>
      <c r="F43" s="2">
        <v>2</v>
      </c>
      <c r="G43" s="255" t="str">
        <f>TRIM(MID($C$38,(D43-1)*3+1,F43*3))</f>
        <v>cb cc</v>
      </c>
      <c r="H43" s="255"/>
      <c r="I43" s="231">
        <f>HEX2DEC(SUBSTITUTE(G43," ",""))</f>
        <v>52172</v>
      </c>
      <c r="J43" s="231"/>
    </row>
    <row r="44" spans="1:14">
      <c r="B44" s="2">
        <v>4</v>
      </c>
      <c r="C44" s="3" t="s">
        <v>1119</v>
      </c>
      <c r="D44" s="2">
        <f t="shared" si="4"/>
        <v>5</v>
      </c>
      <c r="E44" s="2">
        <f t="shared" si="5"/>
        <v>5</v>
      </c>
      <c r="F44" s="2">
        <v>1</v>
      </c>
      <c r="G44" s="255" t="str">
        <f t="shared" ref="G44:G52" si="6">TRIM(MID($C$38,(D44-1)*3+1,F44*3))</f>
        <v>12</v>
      </c>
      <c r="H44" s="255"/>
      <c r="I44" s="231">
        <f>HEX2DEC(SUBSTITUTE(G44," ",""))</f>
        <v>18</v>
      </c>
      <c r="J44" s="231"/>
      <c r="L44" s="92" t="str">
        <f>IF(ISNA(VLOOKUP(CONCATENATE(G44,G45),'IGS Configuration Values'!$B$4:$C$17,2,FALSE))=TRUE,"Invalid Game Type",VLOOKUP(CONCATENATE(G44,G45),'IGS Configuration Values'!$B$4:$C$17,2,FALSE))</f>
        <v>PLACARD</v>
      </c>
      <c r="M44" s="68"/>
      <c r="N44" s="68"/>
    </row>
    <row r="45" spans="1:14">
      <c r="B45" s="2">
        <v>5</v>
      </c>
      <c r="C45" s="3" t="s">
        <v>1120</v>
      </c>
      <c r="D45" s="2">
        <f t="shared" si="4"/>
        <v>6</v>
      </c>
      <c r="E45" s="2">
        <f t="shared" si="5"/>
        <v>6</v>
      </c>
      <c r="F45" s="2">
        <v>1</v>
      </c>
      <c r="G45" s="255" t="str">
        <f t="shared" si="6"/>
        <v>01</v>
      </c>
      <c r="H45" s="255"/>
      <c r="I45" s="205">
        <f>HEX2DEC(SUBSTITUTE(G45," ",""))</f>
        <v>1</v>
      </c>
      <c r="J45" s="206"/>
    </row>
    <row r="46" spans="1:14">
      <c r="B46" s="196">
        <v>6</v>
      </c>
      <c r="C46" s="197" t="s">
        <v>1127</v>
      </c>
      <c r="D46" s="196">
        <f t="shared" si="4"/>
        <v>7</v>
      </c>
      <c r="E46" s="196">
        <f t="shared" si="5"/>
        <v>10</v>
      </c>
      <c r="F46" s="196">
        <v>4</v>
      </c>
      <c r="G46" s="308"/>
      <c r="H46" s="309"/>
      <c r="I46" s="326">
        <f>HEX2DEC(SUBSTITUTE(G46," ",""))</f>
        <v>0</v>
      </c>
      <c r="J46" s="327"/>
    </row>
    <row r="47" spans="1:14">
      <c r="B47" s="2">
        <v>7</v>
      </c>
      <c r="C47" s="3" t="s">
        <v>1200</v>
      </c>
      <c r="D47" s="2">
        <f t="shared" si="4"/>
        <v>11</v>
      </c>
      <c r="E47" s="2">
        <f t="shared" si="5"/>
        <v>21</v>
      </c>
      <c r="F47" s="2">
        <v>11</v>
      </c>
      <c r="G47" s="255" t="str">
        <f t="shared" si="6"/>
        <v>12 08 08 0c 01 c5 20 4c 65 01 da</v>
      </c>
      <c r="H47" s="255"/>
      <c r="I47" s="205" t="str">
        <f>CONCATENATE(TEXT(HEX2DEC(MID(G47,1,2)),"00"),TEXT(HEX2DEC(MID(G47,4,2)),"00"),TEXT(HEX2DEC(MID(G47,7,2)),"00")," - ",TEXT(HEX2DEC(MID(G47,10,2)),"00")," - ",TEXT((HEX2DEC(MID(G47,13,2))*2^32+HEX2DEC(SUBSTITUTE(MID(G47,16,11)," ",""))),"0000000000")," - ",TEXT(HEX2DEC(SUBSTITUTE(MID(G47,28,5)," ","")),"000"))</f>
        <v>180808 - 12 - 7602195557 - 474</v>
      </c>
      <c r="J47" s="206"/>
      <c r="K47" s="191" t="s">
        <v>46</v>
      </c>
      <c r="L47" t="s">
        <v>1145</v>
      </c>
    </row>
    <row r="48" spans="1:14">
      <c r="B48" s="2">
        <v>8</v>
      </c>
      <c r="C48" s="3" t="s">
        <v>1201</v>
      </c>
      <c r="D48" s="2">
        <f t="shared" si="4"/>
        <v>22</v>
      </c>
      <c r="E48" s="2">
        <f t="shared" si="5"/>
        <v>25</v>
      </c>
      <c r="F48" s="2">
        <v>4</v>
      </c>
      <c r="G48" s="255" t="str">
        <f t="shared" si="6"/>
        <v>07 e2 08 08</v>
      </c>
      <c r="H48" s="255"/>
      <c r="I48" s="324" t="str">
        <f>CONCATENATE(TEXT(HEX2DEC(SUBSTITUTE(MID(G48,1,6)," ","")),"0000"),"/",TEXT(HEX2DEC(SUBSTITUTE(MID(G48,7,3)," ","")),"00"),"/",TEXT(HEX2DEC(SUBSTITUTE(MID(G48,10,3)," ","")),"00"))</f>
        <v>2018/08/08</v>
      </c>
      <c r="J48" s="325"/>
      <c r="K48" s="191" t="s">
        <v>46</v>
      </c>
      <c r="L48" t="s">
        <v>1147</v>
      </c>
    </row>
    <row r="49" spans="2:12">
      <c r="B49" s="2">
        <v>9</v>
      </c>
      <c r="C49" s="3" t="s">
        <v>1202</v>
      </c>
      <c r="D49" s="2">
        <f t="shared" si="4"/>
        <v>26</v>
      </c>
      <c r="E49" s="2">
        <f t="shared" si="5"/>
        <v>28</v>
      </c>
      <c r="F49" s="2">
        <v>3</v>
      </c>
      <c r="G49" s="255" t="str">
        <f t="shared" si="6"/>
        <v>0c 1b 05</v>
      </c>
      <c r="H49" s="255"/>
      <c r="I49" s="324" t="str">
        <f>CONCATENATE(TEXT(HEX2DEC(SUBSTITUTE(MID(G49,1,3)," ","")),"00"),":",TEXT(HEX2DEC(SUBSTITUTE(MID(G49,4,3)," ","")),"00"),":",TEXT(HEX2DEC(SUBSTITUTE(MID(G49,7,3)," ","")),"00"))</f>
        <v>12:27:05</v>
      </c>
      <c r="J49" s="325"/>
      <c r="K49" s="191" t="s">
        <v>46</v>
      </c>
      <c r="L49" t="s">
        <v>1149</v>
      </c>
    </row>
    <row r="50" spans="2:12">
      <c r="B50" s="2">
        <v>10</v>
      </c>
      <c r="C50" s="3" t="s">
        <v>1181</v>
      </c>
      <c r="D50" s="2">
        <f t="shared" si="4"/>
        <v>29</v>
      </c>
      <c r="E50" s="2">
        <f t="shared" si="5"/>
        <v>32</v>
      </c>
      <c r="F50" s="2">
        <v>4</v>
      </c>
      <c r="G50" s="255" t="str">
        <f t="shared" si="6"/>
        <v>00 00 04 c4</v>
      </c>
      <c r="H50" s="255"/>
      <c r="I50" s="231">
        <f>HEX2DEC(SUBSTITUTE(G50," ",""))</f>
        <v>1220</v>
      </c>
      <c r="J50" s="231"/>
    </row>
    <row r="51" spans="2:12">
      <c r="B51" s="2">
        <v>11</v>
      </c>
      <c r="C51" s="3" t="s">
        <v>1203</v>
      </c>
      <c r="D51" s="2">
        <f t="shared" si="4"/>
        <v>33</v>
      </c>
      <c r="E51" s="2">
        <f t="shared" si="5"/>
        <v>36</v>
      </c>
      <c r="F51" s="2">
        <v>4</v>
      </c>
      <c r="G51" s="255" t="str">
        <f t="shared" si="6"/>
        <v>00 00 00 00</v>
      </c>
      <c r="H51" s="255"/>
      <c r="I51" s="231">
        <f>HEX2DEC(SUBSTITUTE(G51," ",""))</f>
        <v>0</v>
      </c>
      <c r="J51" s="231"/>
    </row>
    <row r="52" spans="2:12">
      <c r="B52" s="2">
        <v>12</v>
      </c>
      <c r="C52" s="3" t="s">
        <v>1183</v>
      </c>
      <c r="D52" s="2">
        <f t="shared" si="4"/>
        <v>37</v>
      </c>
      <c r="E52" s="2">
        <f t="shared" si="5"/>
        <v>40</v>
      </c>
      <c r="F52" s="2">
        <v>4</v>
      </c>
      <c r="G52" s="255" t="str">
        <f t="shared" si="6"/>
        <v>00 00 04 c4</v>
      </c>
      <c r="H52" s="255"/>
      <c r="I52" s="231">
        <f>HEX2DEC(SUBSTITUTE(G52," ",""))</f>
        <v>1220</v>
      </c>
      <c r="J52" s="231"/>
    </row>
  </sheetData>
  <mergeCells count="61">
    <mergeCell ref="G46:H46"/>
    <mergeCell ref="I46:J46"/>
    <mergeCell ref="L6:N6"/>
    <mergeCell ref="L17:N17"/>
    <mergeCell ref="L40:N40"/>
    <mergeCell ref="L26:N26"/>
    <mergeCell ref="G28:H28"/>
    <mergeCell ref="G29:H29"/>
    <mergeCell ref="I21:J21"/>
    <mergeCell ref="G18:H18"/>
    <mergeCell ref="I18:J18"/>
    <mergeCell ref="I19:J19"/>
    <mergeCell ref="G20:H20"/>
    <mergeCell ref="I20:J20"/>
    <mergeCell ref="G21:H21"/>
    <mergeCell ref="G26:H26"/>
    <mergeCell ref="I26:J26"/>
    <mergeCell ref="G27:H27"/>
    <mergeCell ref="I27:J27"/>
    <mergeCell ref="I28:J28"/>
    <mergeCell ref="D25:H25"/>
    <mergeCell ref="G11:H11"/>
    <mergeCell ref="I11:J11"/>
    <mergeCell ref="G12:H12"/>
    <mergeCell ref="I12:J12"/>
    <mergeCell ref="G17:H17"/>
    <mergeCell ref="I17:J17"/>
    <mergeCell ref="G6:H6"/>
    <mergeCell ref="I6:J6"/>
    <mergeCell ref="G9:H9"/>
    <mergeCell ref="I9:J9"/>
    <mergeCell ref="G10:H10"/>
    <mergeCell ref="I10:J10"/>
    <mergeCell ref="G44:H44"/>
    <mergeCell ref="I44:J44"/>
    <mergeCell ref="G45:H45"/>
    <mergeCell ref="I45:J45"/>
    <mergeCell ref="A29:A32"/>
    <mergeCell ref="G40:H40"/>
    <mergeCell ref="I40:J40"/>
    <mergeCell ref="G43:H43"/>
    <mergeCell ref="I43:J43"/>
    <mergeCell ref="I29:J29"/>
    <mergeCell ref="G30:H30"/>
    <mergeCell ref="G31:H31"/>
    <mergeCell ref="G32:H32"/>
    <mergeCell ref="I30:J30"/>
    <mergeCell ref="I31:J31"/>
    <mergeCell ref="I32:J32"/>
    <mergeCell ref="G47:H47"/>
    <mergeCell ref="I47:J47"/>
    <mergeCell ref="G48:H48"/>
    <mergeCell ref="I48:J48"/>
    <mergeCell ref="G49:H49"/>
    <mergeCell ref="I49:J49"/>
    <mergeCell ref="G52:H52"/>
    <mergeCell ref="I52:J52"/>
    <mergeCell ref="G50:H50"/>
    <mergeCell ref="I50:J50"/>
    <mergeCell ref="G51:H51"/>
    <mergeCell ref="I51:J51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lha7">
    <tabColor rgb="FF7030A0"/>
  </sheetPr>
  <dimension ref="A1:N74"/>
  <sheetViews>
    <sheetView workbookViewId="0">
      <selection activeCell="C16" sqref="C16"/>
    </sheetView>
  </sheetViews>
  <sheetFormatPr defaultRowHeight="15"/>
  <cols>
    <col min="1" max="1" width="2.140625" customWidth="1"/>
    <col min="2" max="2" width="17.85546875" customWidth="1"/>
    <col min="3" max="3" width="31" customWidth="1"/>
    <col min="4" max="4" width="5.140625" bestFit="1" customWidth="1"/>
    <col min="5" max="5" width="4.28515625" bestFit="1" customWidth="1"/>
    <col min="6" max="6" width="4.5703125" bestFit="1" customWidth="1"/>
    <col min="7" max="8" width="15.140625" customWidth="1"/>
    <col min="9" max="10" width="21.42578125" customWidth="1"/>
    <col min="11" max="11" width="5.7109375" customWidth="1"/>
    <col min="12" max="12" width="9.140625" style="29"/>
  </cols>
  <sheetData>
    <row r="1" spans="1:14">
      <c r="A1" s="20"/>
      <c r="B1" s="161" t="s">
        <v>0</v>
      </c>
      <c r="C1" s="20"/>
      <c r="D1" s="20"/>
      <c r="E1" s="20"/>
      <c r="F1" s="20"/>
      <c r="G1" s="20"/>
      <c r="H1" s="20"/>
      <c r="I1" s="20"/>
      <c r="J1" s="20"/>
      <c r="K1" s="20"/>
    </row>
    <row r="2" spans="1:14" ht="18.75">
      <c r="B2" s="14" t="s">
        <v>1204</v>
      </c>
    </row>
    <row r="4" spans="1:14">
      <c r="B4" s="7" t="s">
        <v>1104</v>
      </c>
      <c r="C4" s="163"/>
    </row>
    <row r="6" spans="1:14">
      <c r="B6" s="15" t="s">
        <v>1105</v>
      </c>
      <c r="C6" s="15" t="s">
        <v>1106</v>
      </c>
      <c r="D6" s="15" t="s">
        <v>1107</v>
      </c>
      <c r="E6" s="15" t="s">
        <v>1108</v>
      </c>
      <c r="F6" s="15" t="s">
        <v>1109</v>
      </c>
      <c r="G6" s="307" t="s">
        <v>1110</v>
      </c>
      <c r="H6" s="307"/>
      <c r="I6" s="307" t="s">
        <v>1111</v>
      </c>
      <c r="J6" s="307"/>
      <c r="L6" s="293" t="s">
        <v>1112</v>
      </c>
      <c r="M6" s="294"/>
      <c r="N6" s="295"/>
    </row>
    <row r="7" spans="1:14">
      <c r="B7" s="2">
        <v>1</v>
      </c>
      <c r="C7" s="3" t="s">
        <v>1113</v>
      </c>
      <c r="D7" s="2">
        <v>1</v>
      </c>
      <c r="E7" s="2">
        <f>D7+F7-1</f>
        <v>1</v>
      </c>
      <c r="F7" s="2">
        <v>1</v>
      </c>
      <c r="G7" s="2" t="str">
        <f>TRIM(MID($C$4,1,1))</f>
        <v/>
      </c>
      <c r="H7" s="2" t="str">
        <f>TRIM(MID($C$4,2,1))</f>
        <v/>
      </c>
      <c r="I7" s="2">
        <f>HEX2DEC(SUBSTITUTE(G7," ",""))</f>
        <v>0</v>
      </c>
      <c r="J7" s="2">
        <f>HEX2DEC(SUBSTITUTE(H7," ",""))</f>
        <v>0</v>
      </c>
      <c r="L7" s="69" t="str">
        <f>IF(MOD(INT(HEX2BIN(G7,4)/(2^(3-1))),2)=1,CONCATENATE("This is a Retry"),CONCATENATE("This is NOT a Retry"))</f>
        <v>This is NOT a Retry</v>
      </c>
      <c r="M7" s="68"/>
      <c r="N7" s="68"/>
    </row>
    <row r="8" spans="1:14">
      <c r="B8" s="2">
        <v>2</v>
      </c>
      <c r="C8" s="3" t="s">
        <v>1205</v>
      </c>
      <c r="D8" s="2">
        <f>E7+1</f>
        <v>2</v>
      </c>
      <c r="E8" s="2">
        <f>D8+F8-1</f>
        <v>2</v>
      </c>
      <c r="F8" s="2">
        <v>1</v>
      </c>
      <c r="G8" s="2" t="str">
        <f>TRIM(MID($C$4,4,1))</f>
        <v/>
      </c>
      <c r="H8" s="2" t="str">
        <f>TRIM(MID($C$4,5,1))</f>
        <v/>
      </c>
      <c r="I8" s="2">
        <f>HEX2DEC(SUBSTITUTE(G8," ",""))</f>
        <v>0</v>
      </c>
      <c r="J8" s="2">
        <f>HEX2DEC(SUBSTITUTE(H8," ",""))</f>
        <v>0</v>
      </c>
      <c r="L8" s="67" t="str">
        <f>IF(ISNA(VLOOKUP(CONCATENATE(G8,H8),'IGS Configuration Values'!$B$108:$D$110,2,FALSE))=TRUE,"Invalid Type/Subtype",VLOOKUP(CONCATENATE(G8,H8),'IGS Configuration Values'!$B$108:$D$110,2,FALSE))</f>
        <v>Invalid Type/Subtype</v>
      </c>
      <c r="M8" s="68"/>
      <c r="N8" s="68"/>
    </row>
    <row r="9" spans="1:14">
      <c r="B9" s="2">
        <v>3</v>
      </c>
      <c r="C9" s="3" t="s">
        <v>1115</v>
      </c>
      <c r="D9" s="2">
        <f>E8+1</f>
        <v>3</v>
      </c>
      <c r="E9" s="2">
        <f>D9+F9-1</f>
        <v>4</v>
      </c>
      <c r="F9" s="2">
        <v>2</v>
      </c>
      <c r="G9" s="255" t="str">
        <f>TRIM(MID($C$4,(D9-1)*3+1,F9*3))</f>
        <v/>
      </c>
      <c r="H9" s="255"/>
      <c r="I9" s="231">
        <f>HEX2DEC(SUBSTITUTE(G9," ",""))</f>
        <v>0</v>
      </c>
      <c r="J9" s="231"/>
    </row>
    <row r="10" spans="1:14">
      <c r="B10" s="2">
        <v>8</v>
      </c>
      <c r="C10" s="3" t="s">
        <v>1124</v>
      </c>
      <c r="D10" s="2">
        <f>E9+1</f>
        <v>5</v>
      </c>
      <c r="E10" s="2">
        <f>D10+F10-1</f>
        <v>12</v>
      </c>
      <c r="F10" s="2">
        <v>8</v>
      </c>
      <c r="G10" s="2" t="str">
        <f>TRIM(MID($C$4,(D10-1)*3+1,F10*3/2))</f>
        <v/>
      </c>
      <c r="H10" s="2" t="str">
        <f>TRIM(MID($C$4,(D10+4-1)*3+1,F10*3/2))</f>
        <v/>
      </c>
      <c r="I10" s="324">
        <f>(HEX2DEC(SUBSTITUTE(G10," ",""))*2^32+HEX2DEC(SUBSTITUTE(H10," ","")))</f>
        <v>0</v>
      </c>
      <c r="J10" s="325"/>
    </row>
    <row r="13" spans="1:14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</row>
    <row r="14" spans="1:14" ht="18.75">
      <c r="B14" s="14" t="s">
        <v>1206</v>
      </c>
    </row>
    <row r="16" spans="1:14">
      <c r="B16" s="7" t="s">
        <v>1104</v>
      </c>
      <c r="C16" s="164"/>
    </row>
    <row r="18" spans="1:14">
      <c r="B18" s="15" t="s">
        <v>1105</v>
      </c>
      <c r="C18" s="15" t="s">
        <v>1106</v>
      </c>
      <c r="D18" s="15" t="s">
        <v>1107</v>
      </c>
      <c r="E18" s="15" t="s">
        <v>1108</v>
      </c>
      <c r="F18" s="15" t="s">
        <v>1109</v>
      </c>
      <c r="G18" s="307" t="s">
        <v>1110</v>
      </c>
      <c r="H18" s="307"/>
      <c r="I18" s="307" t="s">
        <v>1111</v>
      </c>
      <c r="J18" s="307"/>
      <c r="L18" s="293" t="s">
        <v>1112</v>
      </c>
      <c r="M18" s="294"/>
      <c r="N18" s="295"/>
    </row>
    <row r="19" spans="1:14">
      <c r="B19" s="2">
        <v>1</v>
      </c>
      <c r="C19" s="3" t="s">
        <v>1113</v>
      </c>
      <c r="D19" s="2">
        <v>1</v>
      </c>
      <c r="E19" s="2">
        <f t="shared" ref="E19:E24" si="0">D19+F19-1</f>
        <v>1</v>
      </c>
      <c r="F19" s="2">
        <v>1</v>
      </c>
      <c r="G19" s="2" t="str">
        <f>TRIM(MID($C$16,1,1))</f>
        <v/>
      </c>
      <c r="H19" s="2" t="str">
        <f>TRIM(MID($C$16,2,1))</f>
        <v/>
      </c>
      <c r="I19" s="2">
        <f>HEX2DEC(SUBSTITUTE(G19," ",""))</f>
        <v>0</v>
      </c>
      <c r="J19" s="2">
        <f>HEX2DEC(SUBSTITUTE(H19," ",""))</f>
        <v>0</v>
      </c>
      <c r="L19" s="69" t="str">
        <f>IF(MOD(INT(HEX2BIN(G19,4)/(2^(3-1))),2)=1,CONCATENATE("This is a Retry"),CONCATENATE("This is NOT a Retry"))</f>
        <v>This is NOT a Retry</v>
      </c>
      <c r="M19" s="68"/>
      <c r="N19" s="68"/>
    </row>
    <row r="20" spans="1:14">
      <c r="B20" s="2">
        <v>2</v>
      </c>
      <c r="C20" s="3" t="s">
        <v>1207</v>
      </c>
      <c r="D20" s="2">
        <f>E19+1</f>
        <v>2</v>
      </c>
      <c r="E20" s="2">
        <f t="shared" si="0"/>
        <v>2</v>
      </c>
      <c r="F20" s="2">
        <v>1</v>
      </c>
      <c r="G20" s="2" t="str">
        <f>TRIM(MID($C$16,4,1))</f>
        <v/>
      </c>
      <c r="H20" s="2" t="str">
        <f>TRIM(MID($C$16,5,1))</f>
        <v/>
      </c>
      <c r="I20" s="2">
        <f>HEX2DEC(SUBSTITUTE(G20," ",""))</f>
        <v>0</v>
      </c>
      <c r="J20" s="2">
        <f>HEX2DEC(SUBSTITUTE(H20," ",""))</f>
        <v>0</v>
      </c>
      <c r="L20" s="67" t="str">
        <f>IF(ISNA(VLOOKUP(CONCATENATE(G20,H20),'IGS Configuration Values'!$B$115:$D$115,2,FALSE))=TRUE,"Invalid Type/Subtype",VLOOKUP(CONCATENATE(G20,H20),'IGS Configuration Values'!$B$115:$D$115,2,FALSE))</f>
        <v>Invalid Type/Subtype</v>
      </c>
      <c r="M20" s="68"/>
      <c r="N20" s="68"/>
    </row>
    <row r="21" spans="1:14">
      <c r="B21" s="2">
        <v>3</v>
      </c>
      <c r="C21" s="3" t="s">
        <v>1115</v>
      </c>
      <c r="D21" s="2">
        <f>E20+1</f>
        <v>3</v>
      </c>
      <c r="E21" s="2">
        <f t="shared" si="0"/>
        <v>4</v>
      </c>
      <c r="F21" s="2">
        <v>2</v>
      </c>
      <c r="G21" s="255" t="str">
        <f>TRIM(MID($C$16,(D21-1)*3+1,F21*3))</f>
        <v/>
      </c>
      <c r="H21" s="255"/>
      <c r="I21" s="231">
        <f>HEX2DEC(SUBSTITUTE(G21," ",""))</f>
        <v>0</v>
      </c>
      <c r="J21" s="231"/>
    </row>
    <row r="22" spans="1:14">
      <c r="B22" s="2">
        <v>4</v>
      </c>
      <c r="C22" s="3" t="s">
        <v>1119</v>
      </c>
      <c r="D22" s="2">
        <f>E21+1</f>
        <v>5</v>
      </c>
      <c r="E22" s="2">
        <f t="shared" si="0"/>
        <v>5</v>
      </c>
      <c r="F22" s="2">
        <v>1</v>
      </c>
      <c r="G22" s="255" t="str">
        <f>TRIM(MID($C$16,(D22-1)*3+1,F22*3))</f>
        <v/>
      </c>
      <c r="H22" s="255"/>
      <c r="I22" s="231">
        <f>HEX2DEC(SUBSTITUTE(G22," ",""))</f>
        <v>0</v>
      </c>
      <c r="J22" s="231"/>
      <c r="L22" s="67" t="str">
        <f>IF(ISNA(VLOOKUP(CONCATENATE(G22,G23),'IGS Configuration Values'!$B$4:$C$17,2,FALSE))=TRUE,"Invalid Game Type/Index",VLOOKUP(CONCATENATE(G22,G23),'IGS Configuration Values'!$B$4:$C$17,2,FALSE))</f>
        <v>Invalid Game Type/Index</v>
      </c>
      <c r="M22" s="68"/>
      <c r="N22" s="68"/>
    </row>
    <row r="23" spans="1:14">
      <c r="B23" s="2">
        <v>5</v>
      </c>
      <c r="C23" s="3" t="s">
        <v>1120</v>
      </c>
      <c r="D23" s="2">
        <f>E22+1</f>
        <v>6</v>
      </c>
      <c r="E23" s="2">
        <f t="shared" si="0"/>
        <v>6</v>
      </c>
      <c r="F23" s="2">
        <v>1</v>
      </c>
      <c r="G23" s="255" t="str">
        <f>TRIM(MID($C$16,(D23-1)*3+1,F23*3))</f>
        <v/>
      </c>
      <c r="H23" s="255"/>
      <c r="I23" s="231">
        <f>HEX2DEC(SUBSTITUTE(G23," ",""))</f>
        <v>0</v>
      </c>
      <c r="J23" s="231"/>
    </row>
    <row r="24" spans="1:14">
      <c r="B24" s="2">
        <v>6</v>
      </c>
      <c r="C24" s="3" t="s">
        <v>1208</v>
      </c>
      <c r="D24" s="2">
        <f>E23+1</f>
        <v>7</v>
      </c>
      <c r="E24" s="2">
        <f t="shared" si="0"/>
        <v>7</v>
      </c>
      <c r="F24" s="2">
        <v>1</v>
      </c>
      <c r="G24" s="255" t="str">
        <f>TRIM(MID($C$16,(D24-1)*3+1,F24*3))</f>
        <v/>
      </c>
      <c r="H24" s="255"/>
      <c r="I24" s="231">
        <f>HEX2DEC(SUBSTITUTE(G24," ",""))</f>
        <v>0</v>
      </c>
      <c r="J24" s="231"/>
      <c r="L24" s="69" t="str">
        <f>IF(ISNA(VLOOKUP(G24,'IGS Configuration Values'!$B$120:$D$122,2,FALSE))=TRUE,"Invalid Reprint Type",VLOOKUP(G24,'IGS Configuration Values'!$B$120:$D$122,2,FALSE))</f>
        <v>Invalid Reprint Type</v>
      </c>
      <c r="M24" s="68"/>
      <c r="N24" s="68"/>
    </row>
    <row r="27" spans="1:14">
      <c r="A27" s="44"/>
      <c r="B27" s="44"/>
      <c r="C27" s="44"/>
      <c r="D27" s="44"/>
      <c r="E27" s="44"/>
      <c r="F27" s="44"/>
      <c r="G27" s="44"/>
      <c r="H27" s="44"/>
      <c r="I27" s="44"/>
      <c r="J27" s="44"/>
    </row>
    <row r="28" spans="1:14" ht="15.75">
      <c r="B28" s="43" t="s">
        <v>1209</v>
      </c>
    </row>
    <row r="30" spans="1:14">
      <c r="B30" s="15" t="s">
        <v>1105</v>
      </c>
      <c r="C30" s="15" t="s">
        <v>1106</v>
      </c>
      <c r="D30" s="15" t="s">
        <v>1107</v>
      </c>
      <c r="E30" s="15" t="s">
        <v>1108</v>
      </c>
      <c r="F30" s="15" t="s">
        <v>1109</v>
      </c>
      <c r="G30" s="307" t="s">
        <v>1110</v>
      </c>
      <c r="H30" s="307"/>
      <c r="I30" s="307" t="s">
        <v>1111</v>
      </c>
      <c r="J30" s="307"/>
      <c r="L30" s="293" t="s">
        <v>1112</v>
      </c>
      <c r="M30" s="294"/>
      <c r="N30" s="295"/>
    </row>
    <row r="31" spans="1:14">
      <c r="B31" s="2">
        <v>6</v>
      </c>
      <c r="C31" s="3" t="s">
        <v>1144</v>
      </c>
      <c r="D31" s="2">
        <f>E24+1</f>
        <v>8</v>
      </c>
      <c r="E31" s="2">
        <f>D31+F31-1</f>
        <v>18</v>
      </c>
      <c r="F31" s="2">
        <v>11</v>
      </c>
      <c r="G31" s="255" t="str">
        <f t="shared" ref="G31:G40" si="1">IF($I$24=1,TRIM(MID($C$16,(D31-1)*3+1,F31*3)),"")</f>
        <v/>
      </c>
      <c r="H31" s="255"/>
      <c r="I31" s="205" t="str">
        <f>CONCATENATE(TEXT(HEX2DEC(MID(G31,1,2)),"00"),TEXT(HEX2DEC(MID(G31,4,2)),"00"),TEXT(HEX2DEC(MID(G31,7,2)),"00")," - ",TEXT(HEX2DEC(MID(G31,10,2)),"00")," - ",TEXT((HEX2DEC(MID(G31,13,2))*2^32+HEX2DEC(SUBSTITUTE(MID(G31,16,11)," ",""))),"0000000000")," - ",TEXT(HEX2DEC(SUBSTITUTE(MID(G31,28,5)," ","")),"000"))</f>
        <v>000000 - 00 - 0000000000 - 000</v>
      </c>
      <c r="J31" s="206"/>
      <c r="K31" s="51" t="s">
        <v>46</v>
      </c>
      <c r="L31" s="29" t="s">
        <v>1145</v>
      </c>
    </row>
    <row r="32" spans="1:14">
      <c r="B32" s="2">
        <v>7</v>
      </c>
      <c r="C32" s="3" t="s">
        <v>1146</v>
      </c>
      <c r="D32" s="2">
        <f>E31+1</f>
        <v>19</v>
      </c>
      <c r="E32" s="2">
        <f t="shared" ref="E32:E40" si="2">D32+F32-1</f>
        <v>22</v>
      </c>
      <c r="F32" s="2">
        <v>4</v>
      </c>
      <c r="G32" s="255" t="str">
        <f t="shared" si="1"/>
        <v/>
      </c>
      <c r="H32" s="255"/>
      <c r="I32" s="324" t="str">
        <f>CONCATENATE(TEXT(HEX2DEC(SUBSTITUTE(MID(G32,1,6)," ","")),"0000"),"/",TEXT(HEX2DEC(SUBSTITUTE(MID(G32,7,3)," ","")),"00"),"/",TEXT(HEX2DEC(SUBSTITUTE(MID(G32,10,3)," ","")),"00"))</f>
        <v>0000/00/00</v>
      </c>
      <c r="J32" s="325"/>
      <c r="K32" s="51" t="s">
        <v>46</v>
      </c>
      <c r="L32" s="29" t="s">
        <v>1147</v>
      </c>
    </row>
    <row r="33" spans="1:14">
      <c r="B33" s="2">
        <v>8</v>
      </c>
      <c r="C33" s="3" t="s">
        <v>1148</v>
      </c>
      <c r="D33" s="2">
        <f t="shared" ref="D33:D40" si="3">E32+1</f>
        <v>23</v>
      </c>
      <c r="E33" s="2">
        <f t="shared" si="2"/>
        <v>25</v>
      </c>
      <c r="F33" s="2">
        <v>3</v>
      </c>
      <c r="G33" s="255" t="str">
        <f t="shared" si="1"/>
        <v/>
      </c>
      <c r="H33" s="255"/>
      <c r="I33" s="324" t="str">
        <f>CONCATENATE(TEXT(HEX2DEC(SUBSTITUTE(MID(G33,1,3)," ","")),"00"),":",TEXT(HEX2DEC(SUBSTITUTE(MID(G33,4,3)," ","")),"00"),":",TEXT(HEX2DEC(SUBSTITUTE(MID(G33,7,3)," ","")),"00"))</f>
        <v>00:00:00</v>
      </c>
      <c r="J33" s="325"/>
      <c r="K33" s="51" t="s">
        <v>46</v>
      </c>
      <c r="L33" s="29" t="s">
        <v>1149</v>
      </c>
    </row>
    <row r="34" spans="1:14">
      <c r="B34" s="2">
        <v>9</v>
      </c>
      <c r="C34" s="3" t="s">
        <v>1150</v>
      </c>
      <c r="D34" s="2">
        <f t="shared" si="3"/>
        <v>26</v>
      </c>
      <c r="E34" s="2">
        <f t="shared" si="2"/>
        <v>29</v>
      </c>
      <c r="F34" s="2">
        <v>4</v>
      </c>
      <c r="G34" s="255" t="str">
        <f t="shared" si="1"/>
        <v/>
      </c>
      <c r="H34" s="255"/>
      <c r="I34" s="324" t="str">
        <f>CONCATENATE(TEXT(HEX2DEC(SUBSTITUTE(MID(G34,1,6)," ","")),"0000"),"/",TEXT(HEX2DEC(SUBSTITUTE(MID(G34,7,3)," ","")),"00"),"/",TEXT(HEX2DEC(SUBSTITUTE(MID(G34,10,3)," ","")),"00"))</f>
        <v>0000/00/00</v>
      </c>
      <c r="J34" s="325"/>
      <c r="K34" s="51" t="s">
        <v>46</v>
      </c>
      <c r="L34" s="29" t="s">
        <v>1147</v>
      </c>
    </row>
    <row r="35" spans="1:14">
      <c r="B35" s="2">
        <v>10</v>
      </c>
      <c r="C35" s="3" t="s">
        <v>1057</v>
      </c>
      <c r="D35" s="2">
        <f t="shared" si="3"/>
        <v>30</v>
      </c>
      <c r="E35" s="2">
        <f t="shared" si="2"/>
        <v>30</v>
      </c>
      <c r="F35" s="2">
        <v>1</v>
      </c>
      <c r="G35" s="255" t="str">
        <f t="shared" si="1"/>
        <v/>
      </c>
      <c r="H35" s="255"/>
      <c r="I35" s="205">
        <f t="shared" ref="I35:I40" si="4">HEX2DEC(SUBSTITUTE(G35," ",""))</f>
        <v>0</v>
      </c>
      <c r="J35" s="206"/>
      <c r="L35" s="69" t="str">
        <f>IF(ISNA(VLOOKUP(G35,'IGS Configuration Values'!$B$45:$D$46,2,FALSE))=TRUE,"Invalid ABP Game ID",VLOOKUP(G35,'IGS Configuration Values'!$B$45:$D$46,2,FALSE))</f>
        <v>Invalid ABP Game ID</v>
      </c>
      <c r="M35" s="68"/>
      <c r="N35" s="68"/>
    </row>
    <row r="36" spans="1:14">
      <c r="B36" s="2">
        <v>11</v>
      </c>
      <c r="C36" s="3" t="s">
        <v>1069</v>
      </c>
      <c r="D36" s="2">
        <f>E35+1</f>
        <v>31</v>
      </c>
      <c r="E36" s="2">
        <f t="shared" si="2"/>
        <v>32</v>
      </c>
      <c r="F36" s="2">
        <v>2</v>
      </c>
      <c r="G36" s="255" t="str">
        <f t="shared" si="1"/>
        <v/>
      </c>
      <c r="H36" s="255"/>
      <c r="I36" s="205">
        <f t="shared" si="4"/>
        <v>0</v>
      </c>
      <c r="J36" s="206"/>
      <c r="L36" s="69" t="str">
        <f>IF(I36=1,"Simple Bet",IF(AND(I36=I40,I36&gt;1),"Combined Bet",IF(I40&gt;I36,"Multiple Bet","Invalid Bet Type")))</f>
        <v>Invalid Bet Type</v>
      </c>
      <c r="M36" s="68"/>
      <c r="N36" s="68"/>
    </row>
    <row r="37" spans="1:14">
      <c r="B37" s="2">
        <v>12</v>
      </c>
      <c r="C37" s="3" t="s">
        <v>1151</v>
      </c>
      <c r="D37" s="2">
        <f>E36+1</f>
        <v>33</v>
      </c>
      <c r="E37" s="2">
        <f t="shared" si="2"/>
        <v>36</v>
      </c>
      <c r="F37" s="2">
        <v>4</v>
      </c>
      <c r="G37" s="255" t="str">
        <f t="shared" si="1"/>
        <v/>
      </c>
      <c r="H37" s="255"/>
      <c r="I37" s="205">
        <f t="shared" si="4"/>
        <v>0</v>
      </c>
      <c r="J37" s="206"/>
    </row>
    <row r="38" spans="1:14">
      <c r="B38" s="2">
        <v>13</v>
      </c>
      <c r="C38" s="3" t="s">
        <v>1152</v>
      </c>
      <c r="D38" s="2">
        <f t="shared" si="3"/>
        <v>37</v>
      </c>
      <c r="E38" s="2">
        <f t="shared" si="2"/>
        <v>40</v>
      </c>
      <c r="F38" s="2">
        <v>4</v>
      </c>
      <c r="G38" s="255" t="str">
        <f t="shared" si="1"/>
        <v/>
      </c>
      <c r="H38" s="255"/>
      <c r="I38" s="205">
        <f t="shared" si="4"/>
        <v>0</v>
      </c>
      <c r="J38" s="206"/>
    </row>
    <row r="39" spans="1:14">
      <c r="B39" s="2">
        <v>14</v>
      </c>
      <c r="C39" s="3" t="s">
        <v>1153</v>
      </c>
      <c r="D39" s="2">
        <f t="shared" si="3"/>
        <v>41</v>
      </c>
      <c r="E39" s="2">
        <f t="shared" si="2"/>
        <v>44</v>
      </c>
      <c r="F39" s="2">
        <v>4</v>
      </c>
      <c r="G39" s="255" t="str">
        <f t="shared" si="1"/>
        <v/>
      </c>
      <c r="H39" s="255"/>
      <c r="I39" s="205">
        <f t="shared" si="4"/>
        <v>0</v>
      </c>
      <c r="J39" s="206"/>
    </row>
    <row r="40" spans="1:14">
      <c r="B40" s="2">
        <v>15</v>
      </c>
      <c r="C40" s="3" t="s">
        <v>1154</v>
      </c>
      <c r="D40" s="2">
        <f t="shared" si="3"/>
        <v>45</v>
      </c>
      <c r="E40" s="2">
        <f t="shared" si="2"/>
        <v>45</v>
      </c>
      <c r="F40" s="2">
        <v>1</v>
      </c>
      <c r="G40" s="255" t="str">
        <f t="shared" si="1"/>
        <v/>
      </c>
      <c r="H40" s="255"/>
      <c r="I40" s="205">
        <f t="shared" si="4"/>
        <v>0</v>
      </c>
      <c r="J40" s="206"/>
    </row>
    <row r="43" spans="1:14">
      <c r="A43" s="44"/>
      <c r="B43" s="44"/>
      <c r="C43" s="44"/>
      <c r="D43" s="44"/>
      <c r="E43" s="44"/>
      <c r="F43" s="44"/>
      <c r="G43" s="44"/>
      <c r="H43" s="44"/>
      <c r="I43" s="44"/>
      <c r="J43" s="44"/>
    </row>
    <row r="44" spans="1:14" ht="15.75">
      <c r="B44" s="43" t="s">
        <v>1210</v>
      </c>
    </row>
    <row r="45" spans="1:14" ht="15.75">
      <c r="B45" s="43"/>
    </row>
    <row r="46" spans="1:14">
      <c r="B46" s="15" t="s">
        <v>1105</v>
      </c>
      <c r="C46" s="15" t="s">
        <v>1106</v>
      </c>
      <c r="D46" s="15" t="s">
        <v>1107</v>
      </c>
      <c r="E46" s="15" t="s">
        <v>1108</v>
      </c>
      <c r="F46" s="15" t="s">
        <v>1109</v>
      </c>
      <c r="G46" s="307" t="s">
        <v>1110</v>
      </c>
      <c r="H46" s="307"/>
      <c r="I46" s="307" t="s">
        <v>1111</v>
      </c>
      <c r="J46" s="307"/>
      <c r="L46" s="293" t="s">
        <v>1112</v>
      </c>
      <c r="M46" s="294"/>
      <c r="N46" s="295"/>
    </row>
    <row r="47" spans="1:14">
      <c r="B47" s="196">
        <v>7</v>
      </c>
      <c r="C47" s="197" t="s">
        <v>1127</v>
      </c>
      <c r="D47" s="196">
        <f>E24+1</f>
        <v>8</v>
      </c>
      <c r="E47" s="196">
        <f>D47+F47-1</f>
        <v>11</v>
      </c>
      <c r="F47" s="196">
        <v>4</v>
      </c>
      <c r="G47" s="330" t="str">
        <f>IF($I$24=2,TRIM(MID($C$16,(D47-1)*3+1,F47*3)),"")</f>
        <v/>
      </c>
      <c r="H47" s="330"/>
      <c r="I47" s="326">
        <f t="shared" ref="I47" si="5">HEX2DEC(SUBSTITUTE(G47," ",""))</f>
        <v>0</v>
      </c>
      <c r="J47" s="327"/>
      <c r="L47" s="117"/>
      <c r="M47" s="17"/>
      <c r="N47" s="17"/>
    </row>
    <row r="48" spans="1:14">
      <c r="B48" s="2">
        <v>8</v>
      </c>
      <c r="C48" s="3" t="s">
        <v>1200</v>
      </c>
      <c r="D48" s="2">
        <f>E47+1</f>
        <v>12</v>
      </c>
      <c r="E48" s="2">
        <f t="shared" ref="E48:E53" si="6">D48+F48-1</f>
        <v>22</v>
      </c>
      <c r="F48" s="2">
        <v>11</v>
      </c>
      <c r="G48" s="255" t="str">
        <f t="shared" ref="G48:G53" si="7">IF($I$24=2,TRIM(MID($C$16,(D48-1)*3+1,F48*3)),"")</f>
        <v/>
      </c>
      <c r="H48" s="255"/>
      <c r="I48" s="205" t="str">
        <f>CONCATENATE(TEXT(HEX2DEC(MID(G48,1,2)),"00"),TEXT(HEX2DEC(MID(G48,4,2)),"00"),TEXT(HEX2DEC(MID(G48,7,2)),"00")," - ",TEXT(HEX2DEC(MID(G48,10,2)),"00")," - ",TEXT((HEX2DEC(MID(G48,13,2))*2^32+HEX2DEC(SUBSTITUTE(MID(G48,16,11)," ",""))),"0000000000")," - ",TEXT(HEX2DEC(SUBSTITUTE(MID(G48,28,5)," ","")),"000"))</f>
        <v>000000 - 00 - 0000000000 - 000</v>
      </c>
      <c r="J48" s="206"/>
      <c r="K48" s="51" t="s">
        <v>46</v>
      </c>
      <c r="L48" s="29" t="s">
        <v>1145</v>
      </c>
    </row>
    <row r="49" spans="1:14">
      <c r="B49" s="2">
        <v>9</v>
      </c>
      <c r="C49" s="3" t="s">
        <v>1201</v>
      </c>
      <c r="D49" s="2">
        <f t="shared" ref="D49:D53" si="8">E48+1</f>
        <v>23</v>
      </c>
      <c r="E49" s="2">
        <f t="shared" si="6"/>
        <v>26</v>
      </c>
      <c r="F49" s="2">
        <v>4</v>
      </c>
      <c r="G49" s="255" t="str">
        <f t="shared" si="7"/>
        <v/>
      </c>
      <c r="H49" s="255"/>
      <c r="I49" s="324" t="str">
        <f>CONCATENATE(TEXT(HEX2DEC(SUBSTITUTE(MID(G49,1,6)," ","")),"0000"),"/",TEXT(HEX2DEC(SUBSTITUTE(MID(G49,7,3)," ","")),"00"),"/",TEXT(HEX2DEC(SUBSTITUTE(MID(G49,10,3)," ","")),"00"))</f>
        <v>0000/00/00</v>
      </c>
      <c r="J49" s="325"/>
      <c r="K49" s="51" t="s">
        <v>46</v>
      </c>
      <c r="L49" s="29" t="s">
        <v>1149</v>
      </c>
    </row>
    <row r="50" spans="1:14">
      <c r="B50" s="2">
        <v>10</v>
      </c>
      <c r="C50" s="3" t="s">
        <v>1202</v>
      </c>
      <c r="D50" s="2">
        <f t="shared" si="8"/>
        <v>27</v>
      </c>
      <c r="E50" s="2">
        <f t="shared" si="6"/>
        <v>29</v>
      </c>
      <c r="F50" s="2">
        <v>3</v>
      </c>
      <c r="G50" s="255" t="str">
        <f t="shared" si="7"/>
        <v/>
      </c>
      <c r="H50" s="255"/>
      <c r="I50" s="324" t="str">
        <f>CONCATENATE(TEXT(HEX2DEC(SUBSTITUTE(MID(G50,1,3)," ","")),"00"),":",TEXT(HEX2DEC(SUBSTITUTE(MID(G50,4,3)," ","")),"00"),":",TEXT(HEX2DEC(SUBSTITUTE(MID(G50,7,3)," ","")),"00"))</f>
        <v>00:00:00</v>
      </c>
      <c r="J50" s="325"/>
      <c r="K50" s="51" t="s">
        <v>46</v>
      </c>
      <c r="L50" s="29" t="s">
        <v>1147</v>
      </c>
    </row>
    <row r="51" spans="1:14">
      <c r="B51" s="2">
        <v>11</v>
      </c>
      <c r="C51" s="3" t="s">
        <v>1181</v>
      </c>
      <c r="D51" s="2">
        <f t="shared" si="8"/>
        <v>30</v>
      </c>
      <c r="E51" s="2">
        <f t="shared" si="6"/>
        <v>33</v>
      </c>
      <c r="F51" s="2">
        <v>4</v>
      </c>
      <c r="G51" s="255" t="str">
        <f t="shared" si="7"/>
        <v/>
      </c>
      <c r="H51" s="255"/>
      <c r="I51" s="231">
        <f>HEX2DEC(SUBSTITUTE(G51," ",""))</f>
        <v>0</v>
      </c>
      <c r="J51" s="231"/>
    </row>
    <row r="52" spans="1:14">
      <c r="B52" s="2">
        <v>12</v>
      </c>
      <c r="C52" s="3" t="s">
        <v>1203</v>
      </c>
      <c r="D52" s="2">
        <f t="shared" si="8"/>
        <v>34</v>
      </c>
      <c r="E52" s="2">
        <f t="shared" si="6"/>
        <v>37</v>
      </c>
      <c r="F52" s="2">
        <v>4</v>
      </c>
      <c r="G52" s="255" t="str">
        <f t="shared" si="7"/>
        <v/>
      </c>
      <c r="H52" s="255"/>
      <c r="I52" s="231">
        <f>HEX2DEC(SUBSTITUTE(G52," ",""))</f>
        <v>0</v>
      </c>
      <c r="J52" s="231"/>
    </row>
    <row r="53" spans="1:14">
      <c r="B53" s="2">
        <v>13</v>
      </c>
      <c r="C53" s="3" t="s">
        <v>1183</v>
      </c>
      <c r="D53" s="2">
        <f t="shared" si="8"/>
        <v>38</v>
      </c>
      <c r="E53" s="2">
        <f t="shared" si="6"/>
        <v>41</v>
      </c>
      <c r="F53" s="2">
        <v>4</v>
      </c>
      <c r="G53" s="255" t="str">
        <f t="shared" si="7"/>
        <v/>
      </c>
      <c r="H53" s="255"/>
      <c r="I53" s="231">
        <f>HEX2DEC(SUBSTITUTE(G53," ",""))</f>
        <v>0</v>
      </c>
      <c r="J53" s="231"/>
    </row>
    <row r="55" spans="1:14">
      <c r="B55" s="2">
        <v>14</v>
      </c>
      <c r="C55" s="3" t="s">
        <v>1144</v>
      </c>
      <c r="D55" s="2">
        <f>E53+1</f>
        <v>42</v>
      </c>
      <c r="E55" s="2">
        <f>D55+F55-1</f>
        <v>52</v>
      </c>
      <c r="F55" s="2">
        <v>11</v>
      </c>
      <c r="G55" s="255" t="str">
        <f>IF($I$24=2,TRIM(MID($C$16,(D55-1)*3+1,F55*3)),"")</f>
        <v/>
      </c>
      <c r="H55" s="255"/>
      <c r="I55" s="205" t="str">
        <f>CONCATENATE(TEXT(HEX2DEC(MID(G55,1,2)),"00"),TEXT(HEX2DEC(MID(G55,4,2)),"00"),TEXT(HEX2DEC(MID(G55,7,2)),"00")," - ",TEXT(HEX2DEC(MID(G55,10,2)),"00")," - ",TEXT((HEX2DEC(MID(G55,13,2))*2^32+HEX2DEC(SUBSTITUTE(MID(G55,16,11)," ",""))),"0000000000")," - ",TEXT(HEX2DEC(SUBSTITUTE(MID(G55,28,5)," ","")),"000"))</f>
        <v>000000 - 00 - 0000000000 - 000</v>
      </c>
      <c r="J55" s="206"/>
      <c r="K55" s="51" t="s">
        <v>46</v>
      </c>
      <c r="L55" s="29" t="s">
        <v>1145</v>
      </c>
    </row>
    <row r="56" spans="1:14">
      <c r="B56" s="2">
        <v>15</v>
      </c>
      <c r="C56" s="3" t="s">
        <v>111</v>
      </c>
      <c r="D56" s="2">
        <f>E55+1</f>
        <v>53</v>
      </c>
      <c r="E56" s="2">
        <f>D56+F56-1</f>
        <v>53</v>
      </c>
      <c r="F56" s="2">
        <v>1</v>
      </c>
      <c r="G56" s="255" t="str">
        <f t="shared" ref="G56:G62" si="9">IF($I$24=2,TRIM(MID($C$16,(D56-1)*3+1,F56*3)),"")</f>
        <v/>
      </c>
      <c r="H56" s="255"/>
      <c r="I56" s="231">
        <f>HEX2DEC(SUBSTITUTE(G56," ",""))</f>
        <v>0</v>
      </c>
      <c r="J56" s="231"/>
      <c r="L56" s="69" t="str">
        <f>IF(ISNA(VLOOKUP(G56,'IGS Configuration Values'!$B$82:$D$83,2,FALSE))=TRUE,"Invalid Payment Mode",VLOOKUP(G56,'IGS Configuration Values'!$B$82:$D$83,2,FALSE))</f>
        <v>Invalid Payment Mode</v>
      </c>
      <c r="M56" s="68"/>
      <c r="N56" s="68"/>
    </row>
    <row r="57" spans="1:14">
      <c r="B57" s="2">
        <v>16</v>
      </c>
      <c r="C57" s="3" t="s">
        <v>1190</v>
      </c>
      <c r="D57" s="2">
        <f t="shared" ref="D57:D62" si="10">E56+1</f>
        <v>54</v>
      </c>
      <c r="E57" s="2">
        <f t="shared" ref="E57:E62" si="11">D57+F57-1</f>
        <v>54</v>
      </c>
      <c r="F57" s="2">
        <v>1</v>
      </c>
      <c r="G57" s="255" t="str">
        <f t="shared" si="9"/>
        <v/>
      </c>
      <c r="H57" s="255"/>
      <c r="I57" s="231">
        <f t="shared" ref="I57:I62" si="12">HEX2DEC(SUBSTITUTE(G57," ",""))</f>
        <v>0</v>
      </c>
      <c r="J57" s="231"/>
      <c r="L57" s="69" t="str">
        <f>IF(ISNA(VLOOKUP(G57,'IGS Configuration Values'!$B$88:$D$89,2,FALSE))=TRUE,"Invalid Player Type",VLOOKUP(G57,'IGS Configuration Values'!$B$88:$D$89,2,FALSE))</f>
        <v>Invalid Player Type</v>
      </c>
      <c r="M57" s="68"/>
      <c r="N57" s="68"/>
    </row>
    <row r="58" spans="1:14">
      <c r="B58" s="2">
        <v>17</v>
      </c>
      <c r="C58" s="3" t="s">
        <v>1191</v>
      </c>
      <c r="D58" s="2">
        <f t="shared" si="10"/>
        <v>55</v>
      </c>
      <c r="E58" s="2">
        <f t="shared" si="11"/>
        <v>58</v>
      </c>
      <c r="F58" s="2">
        <v>4</v>
      </c>
      <c r="G58" s="255" t="str">
        <f t="shared" si="9"/>
        <v/>
      </c>
      <c r="H58" s="255"/>
      <c r="I58" s="231">
        <f t="shared" si="12"/>
        <v>0</v>
      </c>
      <c r="J58" s="231"/>
      <c r="K58" s="51" t="s">
        <v>46</v>
      </c>
      <c r="L58" s="29" t="s">
        <v>1192</v>
      </c>
    </row>
    <row r="59" spans="1:14">
      <c r="A59" s="332" t="s">
        <v>1193</v>
      </c>
      <c r="B59" s="2">
        <v>18</v>
      </c>
      <c r="C59" s="3" t="s">
        <v>1194</v>
      </c>
      <c r="D59" s="2">
        <f t="shared" si="10"/>
        <v>59</v>
      </c>
      <c r="E59" s="2">
        <f t="shared" si="11"/>
        <v>60</v>
      </c>
      <c r="F59" s="2">
        <v>2</v>
      </c>
      <c r="G59" s="255" t="str">
        <f t="shared" si="9"/>
        <v/>
      </c>
      <c r="H59" s="255"/>
      <c r="I59" s="335">
        <f t="shared" si="12"/>
        <v>0</v>
      </c>
      <c r="J59" s="335"/>
    </row>
    <row r="60" spans="1:14">
      <c r="A60" s="333"/>
      <c r="B60" s="2">
        <v>19</v>
      </c>
      <c r="C60" s="3" t="s">
        <v>1195</v>
      </c>
      <c r="D60" s="2">
        <f t="shared" si="10"/>
        <v>61</v>
      </c>
      <c r="E60" s="2">
        <f t="shared" si="11"/>
        <v>62</v>
      </c>
      <c r="F60" s="2">
        <v>2</v>
      </c>
      <c r="G60" s="255" t="str">
        <f t="shared" si="9"/>
        <v/>
      </c>
      <c r="H60" s="255"/>
      <c r="I60" s="335">
        <f t="shared" si="12"/>
        <v>0</v>
      </c>
      <c r="J60" s="335"/>
    </row>
    <row r="61" spans="1:14">
      <c r="A61" s="333"/>
      <c r="B61" s="2">
        <v>20</v>
      </c>
      <c r="C61" s="3" t="s">
        <v>1196</v>
      </c>
      <c r="D61" s="2">
        <f t="shared" si="10"/>
        <v>63</v>
      </c>
      <c r="E61" s="2">
        <f t="shared" si="11"/>
        <v>67</v>
      </c>
      <c r="F61" s="2">
        <v>5</v>
      </c>
      <c r="G61" s="255" t="str">
        <f t="shared" si="9"/>
        <v/>
      </c>
      <c r="H61" s="255"/>
      <c r="I61" s="336">
        <f t="shared" si="12"/>
        <v>0</v>
      </c>
      <c r="J61" s="336"/>
    </row>
    <row r="62" spans="1:14">
      <c r="A62" s="334"/>
      <c r="B62" s="2">
        <v>21</v>
      </c>
      <c r="C62" s="3" t="s">
        <v>1197</v>
      </c>
      <c r="D62" s="2">
        <f t="shared" si="10"/>
        <v>68</v>
      </c>
      <c r="E62" s="2">
        <f t="shared" si="11"/>
        <v>68</v>
      </c>
      <c r="F62" s="2">
        <v>1</v>
      </c>
      <c r="G62" s="255" t="str">
        <f t="shared" si="9"/>
        <v/>
      </c>
      <c r="H62" s="255"/>
      <c r="I62" s="337">
        <f t="shared" si="12"/>
        <v>0</v>
      </c>
      <c r="J62" s="337"/>
    </row>
    <row r="65" spans="1:14">
      <c r="A65" s="44"/>
      <c r="B65" s="44"/>
      <c r="C65" s="44"/>
      <c r="D65" s="44"/>
      <c r="E65" s="44"/>
      <c r="F65" s="44"/>
      <c r="G65" s="44"/>
      <c r="H65" s="44"/>
      <c r="I65" s="44"/>
      <c r="J65" s="44"/>
    </row>
    <row r="66" spans="1:14" ht="15.75">
      <c r="B66" s="43" t="s">
        <v>1211</v>
      </c>
    </row>
    <row r="67" spans="1:14" ht="15.75">
      <c r="B67" s="43"/>
    </row>
    <row r="68" spans="1:14">
      <c r="B68" s="15" t="s">
        <v>1105</v>
      </c>
      <c r="C68" s="15" t="s">
        <v>1106</v>
      </c>
      <c r="D68" s="15" t="s">
        <v>1107</v>
      </c>
      <c r="E68" s="15" t="s">
        <v>1108</v>
      </c>
      <c r="F68" s="15" t="s">
        <v>1109</v>
      </c>
      <c r="G68" s="307" t="s">
        <v>1110</v>
      </c>
      <c r="H68" s="307"/>
      <c r="I68" s="307" t="s">
        <v>1111</v>
      </c>
      <c r="J68" s="307"/>
      <c r="L68" s="293" t="s">
        <v>1112</v>
      </c>
      <c r="M68" s="294"/>
      <c r="N68" s="295"/>
    </row>
    <row r="69" spans="1:14">
      <c r="B69" s="2">
        <v>7</v>
      </c>
      <c r="C69" s="3" t="s">
        <v>1169</v>
      </c>
      <c r="D69" s="2">
        <f>E24+1</f>
        <v>8</v>
      </c>
      <c r="E69" s="2">
        <f>D69+F69-1</f>
        <v>18</v>
      </c>
      <c r="F69" s="2">
        <v>11</v>
      </c>
      <c r="G69" s="255" t="str">
        <f>IF($I$24=3,TRIM(MID($C$16,(D69-1)*3+1,F69*3)),"")</f>
        <v/>
      </c>
      <c r="H69" s="255"/>
      <c r="I69" s="205" t="str">
        <f>CONCATENATE(TEXT(HEX2DEC(MID(G69,1,2)),"00"),TEXT(HEX2DEC(MID(G69,4,2)),"00"),TEXT(HEX2DEC(MID(G69,7,2)),"00")," - ",TEXT(HEX2DEC(MID(G69,10,2)),"00")," - ",TEXT((HEX2DEC(MID(G69,13,2))*2^32+HEX2DEC(SUBSTITUTE(MID(G69,16,11)," ",""))),"0000000000")," - ",TEXT(HEX2DEC(SUBSTITUTE(MID(G69,28,5)," ","")),"000"))</f>
        <v>000000 - 00 - 0000000000 - 000</v>
      </c>
      <c r="J69" s="206"/>
      <c r="K69" s="51" t="s">
        <v>46</v>
      </c>
      <c r="L69" s="29" t="s">
        <v>1145</v>
      </c>
    </row>
    <row r="70" spans="1:14">
      <c r="B70" s="2">
        <v>8</v>
      </c>
      <c r="C70" s="3" t="s">
        <v>1170</v>
      </c>
      <c r="D70" s="2">
        <f>E69+1</f>
        <v>19</v>
      </c>
      <c r="E70" s="2">
        <f>D70+F70-1</f>
        <v>22</v>
      </c>
      <c r="F70" s="2">
        <v>4</v>
      </c>
      <c r="G70" s="255" t="str">
        <f>IF($I$24=3,TRIM(MID($C$16,(D70-1)*3+1,F70*3)),"")</f>
        <v/>
      </c>
      <c r="H70" s="255"/>
      <c r="I70" s="324" t="str">
        <f>CONCATENATE(TEXT(HEX2DEC(SUBSTITUTE(MID(G70,1,6)," ","")),"0000"),"/",TEXT(HEX2DEC(SUBSTITUTE(MID(G70,7,3)," ","")),"00"),"/",TEXT(HEX2DEC(SUBSTITUTE(MID(G70,10,3)," ","")),"00"))</f>
        <v>0000/00/00</v>
      </c>
      <c r="J70" s="325"/>
      <c r="K70" s="51" t="s">
        <v>46</v>
      </c>
      <c r="L70" s="29" t="s">
        <v>1149</v>
      </c>
    </row>
    <row r="71" spans="1:14">
      <c r="B71" s="2">
        <v>9</v>
      </c>
      <c r="C71" s="3" t="s">
        <v>1171</v>
      </c>
      <c r="D71" s="2">
        <f>E70+1</f>
        <v>23</v>
      </c>
      <c r="E71" s="2">
        <f>D71+F71-1</f>
        <v>25</v>
      </c>
      <c r="F71" s="2">
        <v>3</v>
      </c>
      <c r="G71" s="255" t="str">
        <f>IF($I$24=3,TRIM(MID($C$16,(D71-1)*3+1,F71*3)),"")</f>
        <v/>
      </c>
      <c r="H71" s="255"/>
      <c r="I71" s="324" t="str">
        <f>CONCATENATE(TEXT(HEX2DEC(SUBSTITUTE(MID(G71,1,3)," ","")),"00"),":",TEXT(HEX2DEC(SUBSTITUTE(MID(G71,4,3)," ","")),"00"),":",TEXT(HEX2DEC(SUBSTITUTE(MID(G71,7,3)," ","")),"00"))</f>
        <v>00:00:00</v>
      </c>
      <c r="J71" s="325"/>
      <c r="K71" s="51" t="s">
        <v>46</v>
      </c>
      <c r="L71" s="29" t="s">
        <v>1147</v>
      </c>
    </row>
    <row r="72" spans="1:14">
      <c r="B72" s="2">
        <v>10</v>
      </c>
      <c r="C72" s="3" t="s">
        <v>1172</v>
      </c>
      <c r="D72" s="2">
        <f>E71+1</f>
        <v>26</v>
      </c>
      <c r="E72" s="2">
        <f>D72+F72-1</f>
        <v>29</v>
      </c>
      <c r="F72" s="2">
        <v>4</v>
      </c>
      <c r="G72" s="255" t="str">
        <f>IF($I$24=3,TRIM(MID($C$16,(D72-1)*3+1,F72*3)),"")</f>
        <v/>
      </c>
      <c r="H72" s="255"/>
      <c r="I72" s="231">
        <f>HEX2DEC(SUBSTITUTE(G72," ",""))</f>
        <v>0</v>
      </c>
      <c r="J72" s="231"/>
    </row>
    <row r="74" spans="1:14">
      <c r="B74" s="2">
        <v>11</v>
      </c>
      <c r="C74" s="3" t="s">
        <v>1144</v>
      </c>
      <c r="D74" s="2">
        <f>E72+1</f>
        <v>30</v>
      </c>
      <c r="E74" s="2">
        <f>D74+F74-1</f>
        <v>40</v>
      </c>
      <c r="F74" s="2">
        <v>11</v>
      </c>
      <c r="G74" s="207" t="str">
        <f>IF($I$24=3,TRIM(MID($C$16,(D74-1)*3+1,F74*3)),"")</f>
        <v/>
      </c>
      <c r="H74" s="208"/>
      <c r="I74" s="205" t="str">
        <f>CONCATENATE(TEXT(HEX2DEC(MID(G74,1,2)),"00"),TEXT(HEX2DEC(MID(G74,4,2)),"00"),TEXT(HEX2DEC(MID(G74,7,2)),"00")," - ",TEXT(HEX2DEC(MID(G74,10,2)),"00")," - ",TEXT((HEX2DEC(MID(G74,13,2))*2^32+HEX2DEC(SUBSTITUTE(MID(G74,16,11)," ",""))),"0000000000")," - ",TEXT(HEX2DEC(SUBSTITUTE(MID(G74,28,5)," ","")),"000"))</f>
        <v>000000 - 00 - 0000000000 - 000</v>
      </c>
      <c r="J74" s="206"/>
      <c r="K74" s="51" t="s">
        <v>46</v>
      </c>
      <c r="L74" s="29" t="s">
        <v>1145</v>
      </c>
    </row>
  </sheetData>
  <mergeCells count="87">
    <mergeCell ref="L6:N6"/>
    <mergeCell ref="L18:N18"/>
    <mergeCell ref="L30:N30"/>
    <mergeCell ref="G46:H46"/>
    <mergeCell ref="I46:J46"/>
    <mergeCell ref="L46:N46"/>
    <mergeCell ref="G39:H39"/>
    <mergeCell ref="I39:J39"/>
    <mergeCell ref="G40:H40"/>
    <mergeCell ref="I40:J40"/>
    <mergeCell ref="G33:H33"/>
    <mergeCell ref="I33:J33"/>
    <mergeCell ref="G34:H34"/>
    <mergeCell ref="I34:J34"/>
    <mergeCell ref="G36:H36"/>
    <mergeCell ref="I36:J36"/>
    <mergeCell ref="G47:H47"/>
    <mergeCell ref="I47:J47"/>
    <mergeCell ref="G69:H69"/>
    <mergeCell ref="I69:J69"/>
    <mergeCell ref="G74:H74"/>
    <mergeCell ref="I74:J74"/>
    <mergeCell ref="G70:H70"/>
    <mergeCell ref="I70:J70"/>
    <mergeCell ref="G71:H71"/>
    <mergeCell ref="I71:J71"/>
    <mergeCell ref="G72:H72"/>
    <mergeCell ref="I72:J72"/>
    <mergeCell ref="G56:H56"/>
    <mergeCell ref="I56:J56"/>
    <mergeCell ref="G51:H51"/>
    <mergeCell ref="I51:J51"/>
    <mergeCell ref="G52:H52"/>
    <mergeCell ref="I52:J52"/>
    <mergeCell ref="G57:H57"/>
    <mergeCell ref="I57:J57"/>
    <mergeCell ref="G58:H58"/>
    <mergeCell ref="I58:J58"/>
    <mergeCell ref="G55:H55"/>
    <mergeCell ref="I55:J55"/>
    <mergeCell ref="G68:H68"/>
    <mergeCell ref="I68:J68"/>
    <mergeCell ref="L68:N68"/>
    <mergeCell ref="A59:A62"/>
    <mergeCell ref="G59:H59"/>
    <mergeCell ref="I59:J59"/>
    <mergeCell ref="G60:H60"/>
    <mergeCell ref="I60:J60"/>
    <mergeCell ref="G62:H62"/>
    <mergeCell ref="I62:J62"/>
    <mergeCell ref="G61:H61"/>
    <mergeCell ref="I61:J61"/>
    <mergeCell ref="G53:H53"/>
    <mergeCell ref="I53:J53"/>
    <mergeCell ref="G48:H48"/>
    <mergeCell ref="I48:J48"/>
    <mergeCell ref="G49:H49"/>
    <mergeCell ref="I49:J49"/>
    <mergeCell ref="G50:H50"/>
    <mergeCell ref="I50:J50"/>
    <mergeCell ref="G37:H37"/>
    <mergeCell ref="I37:J37"/>
    <mergeCell ref="G38:H38"/>
    <mergeCell ref="I38:J38"/>
    <mergeCell ref="G30:H30"/>
    <mergeCell ref="I30:J30"/>
    <mergeCell ref="G31:H31"/>
    <mergeCell ref="I31:J31"/>
    <mergeCell ref="G32:H32"/>
    <mergeCell ref="I32:J32"/>
    <mergeCell ref="G35:H35"/>
    <mergeCell ref="I35:J35"/>
    <mergeCell ref="G18:H18"/>
    <mergeCell ref="I18:J18"/>
    <mergeCell ref="G21:H21"/>
    <mergeCell ref="I21:J21"/>
    <mergeCell ref="G24:H24"/>
    <mergeCell ref="I24:J24"/>
    <mergeCell ref="G22:H22"/>
    <mergeCell ref="G23:H23"/>
    <mergeCell ref="I22:J22"/>
    <mergeCell ref="I23:J23"/>
    <mergeCell ref="G6:H6"/>
    <mergeCell ref="I6:J6"/>
    <mergeCell ref="G9:H9"/>
    <mergeCell ref="I9:J9"/>
    <mergeCell ref="I10:J10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lha8">
    <tabColor rgb="FF7030A0"/>
  </sheetPr>
  <dimension ref="A1:N109"/>
  <sheetViews>
    <sheetView workbookViewId="0">
      <selection activeCell="C91" sqref="C91"/>
    </sheetView>
  </sheetViews>
  <sheetFormatPr defaultRowHeight="15"/>
  <cols>
    <col min="1" max="1" width="2.140625" customWidth="1"/>
    <col min="2" max="2" width="17.85546875" customWidth="1"/>
    <col min="3" max="3" width="31" customWidth="1"/>
    <col min="4" max="4" width="5.140625" bestFit="1" customWidth="1"/>
    <col min="5" max="5" width="4.28515625" bestFit="1" customWidth="1"/>
    <col min="6" max="6" width="4.5703125" bestFit="1" customWidth="1"/>
    <col min="7" max="8" width="15.140625" customWidth="1"/>
    <col min="9" max="10" width="21.42578125" customWidth="1"/>
    <col min="11" max="11" width="5.7109375" customWidth="1"/>
    <col min="12" max="12" width="9.140625" style="29"/>
  </cols>
  <sheetData>
    <row r="1" spans="1:14">
      <c r="A1" s="20"/>
      <c r="B1" s="161" t="s">
        <v>0</v>
      </c>
      <c r="C1" s="20"/>
      <c r="D1" s="20"/>
      <c r="E1" s="20"/>
      <c r="F1" s="20"/>
      <c r="G1" s="20"/>
      <c r="H1" s="20"/>
      <c r="I1" s="20"/>
      <c r="J1" s="20"/>
      <c r="K1" s="20"/>
    </row>
    <row r="2" spans="1:14" ht="18.75">
      <c r="B2" s="14" t="s">
        <v>1212</v>
      </c>
    </row>
    <row r="4" spans="1:14">
      <c r="B4" s="7" t="s">
        <v>1104</v>
      </c>
      <c r="C4" s="163"/>
    </row>
    <row r="6" spans="1:14">
      <c r="B6" s="15" t="s">
        <v>1105</v>
      </c>
      <c r="C6" s="15" t="s">
        <v>1106</v>
      </c>
      <c r="D6" s="15" t="s">
        <v>1107</v>
      </c>
      <c r="E6" s="15" t="s">
        <v>1108</v>
      </c>
      <c r="F6" s="15" t="s">
        <v>1109</v>
      </c>
      <c r="G6" s="307" t="s">
        <v>1110</v>
      </c>
      <c r="H6" s="307"/>
      <c r="I6" s="307" t="s">
        <v>1111</v>
      </c>
      <c r="J6" s="307"/>
      <c r="L6" s="293" t="s">
        <v>1112</v>
      </c>
      <c r="M6" s="294"/>
      <c r="N6" s="295"/>
    </row>
    <row r="7" spans="1:14">
      <c r="A7" s="341" t="s">
        <v>1213</v>
      </c>
      <c r="B7" s="47">
        <v>1</v>
      </c>
      <c r="C7" s="53" t="s">
        <v>1122</v>
      </c>
      <c r="D7" s="47">
        <v>1</v>
      </c>
      <c r="E7" s="47">
        <f>D7+F7-1</f>
        <v>4</v>
      </c>
      <c r="F7" s="47">
        <v>4</v>
      </c>
      <c r="G7" s="339" t="str">
        <f t="shared" ref="G7:G11" si="0">TRIM(MID($C$4,(D7-1)*3+1,F7*3))</f>
        <v/>
      </c>
      <c r="H7" s="340"/>
      <c r="I7" s="339">
        <f t="shared" ref="I7:I17" si="1">HEX2DEC(SUBSTITUTE(G7," ",""))</f>
        <v>0</v>
      </c>
      <c r="J7" s="340"/>
      <c r="L7" s="48" t="s">
        <v>1214</v>
      </c>
      <c r="M7" s="50"/>
    </row>
    <row r="8" spans="1:14">
      <c r="A8" s="342"/>
      <c r="B8" s="47">
        <v>2</v>
      </c>
      <c r="C8" s="53" t="s">
        <v>1215</v>
      </c>
      <c r="D8" s="47">
        <f>E7+1</f>
        <v>5</v>
      </c>
      <c r="E8" s="47">
        <f>D8+F8-1</f>
        <v>8</v>
      </c>
      <c r="F8" s="47">
        <v>4</v>
      </c>
      <c r="G8" s="339" t="str">
        <f t="shared" si="0"/>
        <v/>
      </c>
      <c r="H8" s="340"/>
      <c r="I8" s="339">
        <f t="shared" si="1"/>
        <v>0</v>
      </c>
      <c r="J8" s="340"/>
      <c r="L8" s="29" t="s">
        <v>1216</v>
      </c>
      <c r="M8" s="30"/>
    </row>
    <row r="9" spans="1:14">
      <c r="A9" s="342"/>
      <c r="B9" s="47">
        <v>3</v>
      </c>
      <c r="C9" s="53" t="s">
        <v>1217</v>
      </c>
      <c r="D9" s="47">
        <f t="shared" ref="D9:D18" si="2">E8+1</f>
        <v>9</v>
      </c>
      <c r="E9" s="47">
        <f t="shared" ref="E9:E18" si="3">D9+F9-1</f>
        <v>10</v>
      </c>
      <c r="F9" s="47">
        <v>2</v>
      </c>
      <c r="G9" s="339" t="str">
        <f t="shared" si="0"/>
        <v/>
      </c>
      <c r="H9" s="340"/>
      <c r="I9" s="339">
        <f t="shared" si="1"/>
        <v>0</v>
      </c>
      <c r="J9" s="340"/>
      <c r="L9" s="29" t="s">
        <v>1218</v>
      </c>
      <c r="M9" s="30"/>
    </row>
    <row r="10" spans="1:14">
      <c r="A10" s="342"/>
      <c r="B10" s="47">
        <v>4</v>
      </c>
      <c r="C10" s="53" t="s">
        <v>1219</v>
      </c>
      <c r="D10" s="47">
        <f t="shared" si="2"/>
        <v>11</v>
      </c>
      <c r="E10" s="47">
        <f t="shared" si="3"/>
        <v>12</v>
      </c>
      <c r="F10" s="47">
        <v>2</v>
      </c>
      <c r="G10" s="339" t="str">
        <f t="shared" si="0"/>
        <v/>
      </c>
      <c r="H10" s="340"/>
      <c r="I10" s="339">
        <f t="shared" si="1"/>
        <v>0</v>
      </c>
      <c r="J10" s="340"/>
      <c r="L10" s="31" t="s">
        <v>1220</v>
      </c>
      <c r="M10" s="33"/>
    </row>
    <row r="11" spans="1:14">
      <c r="A11" s="343"/>
      <c r="B11" s="47">
        <v>5</v>
      </c>
      <c r="C11" s="53" t="s">
        <v>1221</v>
      </c>
      <c r="D11" s="47">
        <f t="shared" si="2"/>
        <v>13</v>
      </c>
      <c r="E11" s="47">
        <f t="shared" si="3"/>
        <v>14</v>
      </c>
      <c r="F11" s="47">
        <v>2</v>
      </c>
      <c r="G11" s="339" t="str">
        <f t="shared" si="0"/>
        <v/>
      </c>
      <c r="H11" s="340"/>
      <c r="I11" s="339">
        <f t="shared" si="1"/>
        <v>0</v>
      </c>
      <c r="J11" s="340"/>
    </row>
    <row r="12" spans="1:14">
      <c r="A12" s="16"/>
      <c r="B12" s="2">
        <v>6</v>
      </c>
      <c r="C12" s="3" t="s">
        <v>1222</v>
      </c>
      <c r="D12" s="2">
        <f t="shared" si="2"/>
        <v>15</v>
      </c>
      <c r="E12" s="2">
        <f t="shared" si="3"/>
        <v>15</v>
      </c>
      <c r="F12" s="2">
        <v>1</v>
      </c>
      <c r="G12" s="2" t="str">
        <f>TRIM(MID($C$4,(D12-1)*3+1,1))</f>
        <v/>
      </c>
      <c r="H12" s="103" t="str">
        <f>TRIM(MID($C$4,(D12-1)*3+2,1))</f>
        <v/>
      </c>
      <c r="I12" s="2">
        <f t="shared" si="1"/>
        <v>0</v>
      </c>
      <c r="J12" s="103">
        <f>HEX2DEC(SUBSTITUTE(H12," ",""))</f>
        <v>0</v>
      </c>
      <c r="L12" s="69" t="str">
        <f>IF(MOD(INT(HEX2BIN(G12,4)/(2^(3-1))),2)=1,CONCATENATE("This is a Retry"),CONCATENATE("This is NOT a Retry"))</f>
        <v>This is NOT a Retry</v>
      </c>
      <c r="M12" s="68"/>
      <c r="N12" s="68"/>
    </row>
    <row r="13" spans="1:14">
      <c r="B13" s="2">
        <v>7</v>
      </c>
      <c r="C13" s="3" t="s">
        <v>1205</v>
      </c>
      <c r="D13" s="2">
        <f t="shared" si="2"/>
        <v>16</v>
      </c>
      <c r="E13" s="2">
        <f t="shared" si="3"/>
        <v>16</v>
      </c>
      <c r="F13" s="2">
        <v>1</v>
      </c>
      <c r="G13" s="2" t="str">
        <f>TRIM(MID($C$4,(D13-1)*3+1,1))</f>
        <v/>
      </c>
      <c r="H13" s="2" t="str">
        <f>TRIM(MID($C$4,D13*3-1,1))</f>
        <v/>
      </c>
      <c r="I13" s="2">
        <f t="shared" si="1"/>
        <v>0</v>
      </c>
      <c r="J13" s="2">
        <f>HEX2DEC(SUBSTITUTE(H13," ",""))</f>
        <v>0</v>
      </c>
      <c r="L13" s="67" t="str">
        <f>IF(ISNA(VLOOKUP(CONCATENATE(G13,H13),'IGS Configuration Values'!$B$108:$D$110,2,FALSE))=TRUE,"Invalid Type/Subtype",VLOOKUP(CONCATENATE(G13,H13),'IGS Configuration Values'!$B$108:$D$110,2,FALSE))</f>
        <v>Invalid Type/Subtype</v>
      </c>
      <c r="M13" s="68"/>
      <c r="N13" s="68"/>
    </row>
    <row r="14" spans="1:14">
      <c r="B14" s="2">
        <v>8</v>
      </c>
      <c r="C14" s="3" t="s">
        <v>1115</v>
      </c>
      <c r="D14" s="2">
        <f t="shared" si="2"/>
        <v>17</v>
      </c>
      <c r="E14" s="2">
        <f t="shared" si="3"/>
        <v>18</v>
      </c>
      <c r="F14" s="2">
        <v>2</v>
      </c>
      <c r="G14" s="207" t="str">
        <f>TRIM(MID($C$4,(D14-1)*3+1,F14*3))</f>
        <v/>
      </c>
      <c r="H14" s="208"/>
      <c r="I14" s="207">
        <f t="shared" si="1"/>
        <v>0</v>
      </c>
      <c r="J14" s="208"/>
    </row>
    <row r="15" spans="1:14">
      <c r="B15" s="2">
        <v>9</v>
      </c>
      <c r="C15" s="3" t="s">
        <v>1223</v>
      </c>
      <c r="D15" s="2">
        <f t="shared" si="2"/>
        <v>19</v>
      </c>
      <c r="E15" s="2">
        <f t="shared" si="3"/>
        <v>19</v>
      </c>
      <c r="F15" s="2">
        <v>1</v>
      </c>
      <c r="G15" s="207" t="str">
        <f>TRIM(MID($C$4,(D15-1)*3+1,F15*3))</f>
        <v/>
      </c>
      <c r="H15" s="208"/>
      <c r="I15" s="207">
        <f t="shared" si="1"/>
        <v>0</v>
      </c>
      <c r="J15" s="208"/>
      <c r="L15" s="67" t="str">
        <f>IF(ISNA(VLOOKUP(CONCATENATE(G15,G16),'IGS Configuration Values'!$B$4:$C$17,2,FALSE))=TRUE,"Invalid Game Type/Index",VLOOKUP(CONCATENATE(G15,G16),'IGS Configuration Values'!$B$4:$C$17,2,FALSE))</f>
        <v>Invalid Game Type/Index</v>
      </c>
      <c r="M15" s="68"/>
      <c r="N15" s="68"/>
    </row>
    <row r="16" spans="1:14">
      <c r="B16" s="2">
        <v>10</v>
      </c>
      <c r="C16" s="3" t="s">
        <v>1224</v>
      </c>
      <c r="D16" s="2">
        <f t="shared" si="2"/>
        <v>20</v>
      </c>
      <c r="E16" s="2">
        <f t="shared" si="3"/>
        <v>20</v>
      </c>
      <c r="F16" s="2">
        <v>1</v>
      </c>
      <c r="G16" s="207" t="str">
        <f>TRIM(MID($C$4,(D16-1)*3+1,F16*3))</f>
        <v/>
      </c>
      <c r="H16" s="208"/>
      <c r="I16" s="207">
        <f t="shared" si="1"/>
        <v>0</v>
      </c>
      <c r="J16" s="208"/>
    </row>
    <row r="17" spans="1:14">
      <c r="B17" s="2">
        <v>11</v>
      </c>
      <c r="C17" s="3" t="s">
        <v>1122</v>
      </c>
      <c r="D17" s="2">
        <f t="shared" si="2"/>
        <v>21</v>
      </c>
      <c r="E17" s="2">
        <f t="shared" si="3"/>
        <v>24</v>
      </c>
      <c r="F17" s="2">
        <v>4</v>
      </c>
      <c r="G17" s="207" t="str">
        <f>TRIM(MID($C$4,(D17-1)*3+1,F17*3))</f>
        <v/>
      </c>
      <c r="H17" s="208"/>
      <c r="I17" s="207">
        <f t="shared" si="1"/>
        <v>0</v>
      </c>
      <c r="J17" s="208"/>
    </row>
    <row r="18" spans="1:14">
      <c r="B18" s="2">
        <v>12</v>
      </c>
      <c r="C18" s="3" t="s">
        <v>1225</v>
      </c>
      <c r="D18" s="2">
        <f t="shared" si="2"/>
        <v>25</v>
      </c>
      <c r="E18" s="2">
        <f t="shared" si="3"/>
        <v>32</v>
      </c>
      <c r="F18" s="2">
        <v>8</v>
      </c>
      <c r="G18" s="2" t="str">
        <f>TRIM(MID($C$4,(D18-1)*3+1,F18*3/2))</f>
        <v/>
      </c>
      <c r="H18" s="2" t="str">
        <f>TRIM(MID($C$4,(D18+4-1)*3+1,F18*3/2))</f>
        <v/>
      </c>
      <c r="I18" s="324">
        <f>(HEX2DEC(SUBSTITUTE(G18," ",""))*2^32+HEX2DEC(SUBSTITUTE(H18," ","")))</f>
        <v>0</v>
      </c>
      <c r="J18" s="325"/>
    </row>
    <row r="21" spans="1:14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</row>
    <row r="22" spans="1:14" ht="18.75">
      <c r="B22" s="14" t="s">
        <v>1226</v>
      </c>
    </row>
    <row r="24" spans="1:14">
      <c r="B24" s="7" t="s">
        <v>1104</v>
      </c>
      <c r="C24" s="163"/>
    </row>
    <row r="26" spans="1:14">
      <c r="B26" s="15" t="s">
        <v>1105</v>
      </c>
      <c r="C26" s="15" t="s">
        <v>1106</v>
      </c>
      <c r="D26" s="15" t="s">
        <v>1107</v>
      </c>
      <c r="E26" s="15" t="s">
        <v>1108</v>
      </c>
      <c r="F26" s="15" t="s">
        <v>1109</v>
      </c>
      <c r="G26" s="307" t="s">
        <v>1110</v>
      </c>
      <c r="H26" s="307"/>
      <c r="I26" s="307" t="s">
        <v>1111</v>
      </c>
      <c r="J26" s="307"/>
      <c r="L26" s="293" t="s">
        <v>1112</v>
      </c>
      <c r="M26" s="294"/>
      <c r="N26" s="295"/>
    </row>
    <row r="27" spans="1:14">
      <c r="A27" s="341" t="s">
        <v>1213</v>
      </c>
      <c r="B27" s="47">
        <v>1</v>
      </c>
      <c r="C27" s="53" t="s">
        <v>1122</v>
      </c>
      <c r="D27" s="47">
        <v>1</v>
      </c>
      <c r="E27" s="47">
        <f>D27+F27-1</f>
        <v>4</v>
      </c>
      <c r="F27" s="47">
        <v>4</v>
      </c>
      <c r="G27" s="339" t="str">
        <f t="shared" ref="G27:G31" si="4">TRIM(MID($C$24,(D27-1)*3+1,F27*3))</f>
        <v/>
      </c>
      <c r="H27" s="340"/>
      <c r="I27" s="339">
        <f t="shared" ref="I27:I37" si="5">HEX2DEC(SUBSTITUTE(G27," ",""))</f>
        <v>0</v>
      </c>
      <c r="J27" s="340"/>
    </row>
    <row r="28" spans="1:14">
      <c r="A28" s="342"/>
      <c r="B28" s="47">
        <v>2</v>
      </c>
      <c r="C28" s="53" t="s">
        <v>1215</v>
      </c>
      <c r="D28" s="47">
        <f>E27+1</f>
        <v>5</v>
      </c>
      <c r="E28" s="47">
        <f>D28+F28-1</f>
        <v>8</v>
      </c>
      <c r="F28" s="47">
        <v>4</v>
      </c>
      <c r="G28" s="339" t="str">
        <f t="shared" si="4"/>
        <v/>
      </c>
      <c r="H28" s="340"/>
      <c r="I28" s="339">
        <f t="shared" si="5"/>
        <v>0</v>
      </c>
      <c r="J28" s="340"/>
    </row>
    <row r="29" spans="1:14">
      <c r="A29" s="342"/>
      <c r="B29" s="47">
        <v>3</v>
      </c>
      <c r="C29" s="53" t="s">
        <v>1217</v>
      </c>
      <c r="D29" s="47">
        <f t="shared" ref="D29:D47" si="6">E28+1</f>
        <v>9</v>
      </c>
      <c r="E29" s="47">
        <f t="shared" ref="E29:E47" si="7">D29+F29-1</f>
        <v>10</v>
      </c>
      <c r="F29" s="47">
        <v>2</v>
      </c>
      <c r="G29" s="339" t="str">
        <f t="shared" si="4"/>
        <v/>
      </c>
      <c r="H29" s="340"/>
      <c r="I29" s="339">
        <f t="shared" si="5"/>
        <v>0</v>
      </c>
      <c r="J29" s="340"/>
    </row>
    <row r="30" spans="1:14">
      <c r="A30" s="342"/>
      <c r="B30" s="47">
        <v>4</v>
      </c>
      <c r="C30" s="53" t="s">
        <v>1219</v>
      </c>
      <c r="D30" s="47">
        <f t="shared" si="6"/>
        <v>11</v>
      </c>
      <c r="E30" s="47">
        <f t="shared" si="7"/>
        <v>12</v>
      </c>
      <c r="F30" s="47">
        <v>2</v>
      </c>
      <c r="G30" s="339" t="str">
        <f t="shared" si="4"/>
        <v/>
      </c>
      <c r="H30" s="340"/>
      <c r="I30" s="339">
        <f t="shared" si="5"/>
        <v>0</v>
      </c>
      <c r="J30" s="340"/>
    </row>
    <row r="31" spans="1:14">
      <c r="A31" s="343"/>
      <c r="B31" s="47">
        <v>5</v>
      </c>
      <c r="C31" s="53" t="s">
        <v>1221</v>
      </c>
      <c r="D31" s="47">
        <f t="shared" si="6"/>
        <v>13</v>
      </c>
      <c r="E31" s="47">
        <f t="shared" si="7"/>
        <v>14</v>
      </c>
      <c r="F31" s="47">
        <v>2</v>
      </c>
      <c r="G31" s="339" t="str">
        <f t="shared" si="4"/>
        <v/>
      </c>
      <c r="H31" s="340"/>
      <c r="I31" s="339">
        <f t="shared" si="5"/>
        <v>0</v>
      </c>
      <c r="J31" s="340"/>
    </row>
    <row r="32" spans="1:14">
      <c r="B32" s="2">
        <v>6</v>
      </c>
      <c r="C32" s="3" t="s">
        <v>1222</v>
      </c>
      <c r="D32" s="2">
        <f t="shared" si="6"/>
        <v>15</v>
      </c>
      <c r="E32" s="2">
        <f t="shared" si="7"/>
        <v>15</v>
      </c>
      <c r="F32" s="2">
        <v>1</v>
      </c>
      <c r="G32" s="2" t="str">
        <f>TRIM(MID($C$24,(D32-1)*3+1,1))</f>
        <v/>
      </c>
      <c r="H32" s="103" t="str">
        <f>TRIM(MID($C$24,(D32-1)*3+2,1))</f>
        <v/>
      </c>
      <c r="I32" s="2">
        <f t="shared" si="5"/>
        <v>0</v>
      </c>
      <c r="J32" s="103">
        <f>HEX2DEC(SUBSTITUTE(H32," ",""))</f>
        <v>0</v>
      </c>
      <c r="L32" s="69" t="str">
        <f>IF(MOD(INT(HEX2BIN(G32,4)/(2^(3-1))),2)=1,CONCATENATE("This is a Retry"),CONCATENATE("This is NOT a Retry"))</f>
        <v>This is NOT a Retry</v>
      </c>
      <c r="M32" s="68"/>
      <c r="N32" s="68"/>
    </row>
    <row r="33" spans="2:14">
      <c r="B33" s="2">
        <v>7</v>
      </c>
      <c r="C33" s="3" t="s">
        <v>1207</v>
      </c>
      <c r="D33" s="2">
        <f t="shared" si="6"/>
        <v>16</v>
      </c>
      <c r="E33" s="2">
        <f t="shared" si="7"/>
        <v>16</v>
      </c>
      <c r="F33" s="2">
        <v>1</v>
      </c>
      <c r="G33" s="2" t="str">
        <f>TRIM(MID($C$24,(D33-1)*3+1,1))</f>
        <v/>
      </c>
      <c r="H33" s="2" t="str">
        <f>TRIM(MID($C$24,D33*3-1,1))</f>
        <v/>
      </c>
      <c r="I33" s="2">
        <f t="shared" si="5"/>
        <v>0</v>
      </c>
      <c r="J33" s="2">
        <f>HEX2DEC(SUBSTITUTE(H33," ",""))</f>
        <v>0</v>
      </c>
      <c r="L33" s="67" t="str">
        <f>IF(ISNA(VLOOKUP(CONCATENATE(G33,H33),'IGS Configuration Values'!$B$115:$D$115,2,FALSE))=TRUE,"Invalid Type/Subtype",VLOOKUP(CONCATENATE(G33,H33),'IGS Configuration Values'!$B$115:$D$115,2,FALSE))</f>
        <v>Invalid Type/Subtype</v>
      </c>
      <c r="M33" s="68"/>
      <c r="N33" s="68"/>
    </row>
    <row r="34" spans="2:14">
      <c r="B34" s="2">
        <v>8</v>
      </c>
      <c r="C34" s="3" t="s">
        <v>1115</v>
      </c>
      <c r="D34" s="2">
        <f t="shared" si="6"/>
        <v>17</v>
      </c>
      <c r="E34" s="2">
        <f t="shared" si="7"/>
        <v>18</v>
      </c>
      <c r="F34" s="2">
        <v>2</v>
      </c>
      <c r="G34" s="207" t="str">
        <f t="shared" ref="G34:G47" si="8">TRIM(MID($C$24,(D34-1)*3+1,F34*3))</f>
        <v/>
      </c>
      <c r="H34" s="208"/>
      <c r="I34" s="207">
        <f t="shared" si="5"/>
        <v>0</v>
      </c>
      <c r="J34" s="208"/>
    </row>
    <row r="35" spans="2:14">
      <c r="B35" s="2">
        <v>9</v>
      </c>
      <c r="C35" s="3" t="s">
        <v>1223</v>
      </c>
      <c r="D35" s="2">
        <f t="shared" si="6"/>
        <v>19</v>
      </c>
      <c r="E35" s="2">
        <f t="shared" si="7"/>
        <v>19</v>
      </c>
      <c r="F35" s="2">
        <v>1</v>
      </c>
      <c r="G35" s="207" t="str">
        <f t="shared" si="8"/>
        <v/>
      </c>
      <c r="H35" s="208"/>
      <c r="I35" s="207">
        <f t="shared" si="5"/>
        <v>0</v>
      </c>
      <c r="J35" s="208"/>
      <c r="L35" s="67" t="str">
        <f>IF(ISNA(VLOOKUP(CONCATENATE(G35,G36),'IGS Configuration Values'!$B$4:$C$17,2,FALSE))=TRUE,"Invalid Game Type/Index",VLOOKUP(CONCATENATE(G35,G36),'IGS Configuration Values'!$B$4:$C$17,2,FALSE))</f>
        <v>Invalid Game Type/Index</v>
      </c>
      <c r="M35" s="68"/>
      <c r="N35" s="68"/>
    </row>
    <row r="36" spans="2:14">
      <c r="B36" s="2">
        <v>10</v>
      </c>
      <c r="C36" s="3" t="s">
        <v>1224</v>
      </c>
      <c r="D36" s="2">
        <f t="shared" si="6"/>
        <v>20</v>
      </c>
      <c r="E36" s="2">
        <f t="shared" si="7"/>
        <v>20</v>
      </c>
      <c r="F36" s="2">
        <v>1</v>
      </c>
      <c r="G36" s="207" t="str">
        <f t="shared" si="8"/>
        <v/>
      </c>
      <c r="H36" s="208"/>
      <c r="I36" s="207">
        <f t="shared" si="5"/>
        <v>0</v>
      </c>
      <c r="J36" s="208"/>
    </row>
    <row r="37" spans="2:14">
      <c r="B37" s="2">
        <v>11</v>
      </c>
      <c r="C37" s="3" t="s">
        <v>1227</v>
      </c>
      <c r="D37" s="2">
        <f t="shared" si="6"/>
        <v>21</v>
      </c>
      <c r="E37" s="2">
        <f t="shared" si="7"/>
        <v>21</v>
      </c>
      <c r="F37" s="2">
        <v>1</v>
      </c>
      <c r="G37" s="207" t="str">
        <f t="shared" si="8"/>
        <v/>
      </c>
      <c r="H37" s="208"/>
      <c r="I37" s="207">
        <f t="shared" si="5"/>
        <v>0</v>
      </c>
      <c r="J37" s="208"/>
      <c r="K37" s="51"/>
      <c r="L37" s="69" t="str">
        <f>IF(ISNA(VLOOKUP(G37,'IGS Configuration Values'!$B$120:$D$122,2,FALSE))=TRUE,"Invalid Reprint Type",VLOOKUP(G37,'IGS Configuration Values'!$B$120:$D$122,2,FALSE))</f>
        <v>Invalid Reprint Type</v>
      </c>
      <c r="M37" s="68"/>
      <c r="N37" s="68"/>
    </row>
    <row r="38" spans="2:14">
      <c r="B38" s="2">
        <v>12</v>
      </c>
      <c r="C38" s="3" t="s">
        <v>1144</v>
      </c>
      <c r="D38" s="2">
        <f t="shared" si="6"/>
        <v>22</v>
      </c>
      <c r="E38" s="2">
        <f t="shared" si="7"/>
        <v>32</v>
      </c>
      <c r="F38" s="2">
        <v>11</v>
      </c>
      <c r="G38" s="207" t="str">
        <f t="shared" si="8"/>
        <v/>
      </c>
      <c r="H38" s="208"/>
      <c r="I38" s="205" t="str">
        <f>CONCATENATE(TEXT(HEX2DEC(MID(G38,1,2)),"00"),TEXT(HEX2DEC(MID(G38,4,2)),"00"),TEXT(HEX2DEC(MID(G38,7,2)),"00")," - ",TEXT(HEX2DEC(MID(G38,10,2)),"00")," - ",TEXT((HEX2DEC(MID(G38,13,2))*2^32+HEX2DEC(SUBSTITUTE(MID(G38,16,11)," ",""))),"0000000000")," - ",TEXT(HEX2DEC(SUBSTITUTE(MID(G38,28,5)," ","")),"000"))</f>
        <v>000000 - 00 - 0000000000 - 000</v>
      </c>
      <c r="J38" s="206"/>
      <c r="K38" s="51" t="s">
        <v>46</v>
      </c>
      <c r="L38" s="29" t="s">
        <v>1145</v>
      </c>
    </row>
    <row r="39" spans="2:14">
      <c r="B39" s="2">
        <v>13</v>
      </c>
      <c r="C39" s="3" t="s">
        <v>1146</v>
      </c>
      <c r="D39" s="2">
        <f t="shared" si="6"/>
        <v>33</v>
      </c>
      <c r="E39" s="2">
        <f t="shared" si="7"/>
        <v>36</v>
      </c>
      <c r="F39" s="2">
        <v>4</v>
      </c>
      <c r="G39" s="207" t="str">
        <f t="shared" si="8"/>
        <v/>
      </c>
      <c r="H39" s="208"/>
      <c r="I39" s="324" t="str">
        <f>CONCATENATE(TEXT(HEX2DEC(SUBSTITUTE(MID(G39,1,6)," ","")),"0000"),"/",TEXT(HEX2DEC(SUBSTITUTE(MID(G39,7,3)," ","")),"00"),"/",TEXT(HEX2DEC(SUBSTITUTE(MID(G39,10,3)," ","")),"00"))</f>
        <v>0000/00/00</v>
      </c>
      <c r="J39" s="325"/>
      <c r="K39" s="51" t="s">
        <v>46</v>
      </c>
      <c r="L39" s="29" t="s">
        <v>1147</v>
      </c>
    </row>
    <row r="40" spans="2:14">
      <c r="B40" s="2">
        <v>14</v>
      </c>
      <c r="C40" s="3" t="s">
        <v>1148</v>
      </c>
      <c r="D40" s="2">
        <f t="shared" si="6"/>
        <v>37</v>
      </c>
      <c r="E40" s="2">
        <f t="shared" si="7"/>
        <v>39</v>
      </c>
      <c r="F40" s="2">
        <v>3</v>
      </c>
      <c r="G40" s="207" t="str">
        <f t="shared" si="8"/>
        <v/>
      </c>
      <c r="H40" s="208"/>
      <c r="I40" s="324" t="str">
        <f>CONCATENATE(TEXT(HEX2DEC(SUBSTITUTE(MID(G40,1,3)," ","")),"00"),":",TEXT(HEX2DEC(SUBSTITUTE(MID(G40,4,3)," ","")),"00"),":",TEXT(HEX2DEC(SUBSTITUTE(MID(G40,7,3)," ","")),"00"))</f>
        <v>00:00:00</v>
      </c>
      <c r="J40" s="325"/>
      <c r="K40" s="51" t="s">
        <v>46</v>
      </c>
      <c r="L40" s="29" t="s">
        <v>1149</v>
      </c>
    </row>
    <row r="41" spans="2:14">
      <c r="B41" s="2">
        <v>15</v>
      </c>
      <c r="C41" s="3" t="s">
        <v>1150</v>
      </c>
      <c r="D41" s="2">
        <f t="shared" si="6"/>
        <v>40</v>
      </c>
      <c r="E41" s="2">
        <f t="shared" si="7"/>
        <v>43</v>
      </c>
      <c r="F41" s="2">
        <v>4</v>
      </c>
      <c r="G41" s="207" t="str">
        <f t="shared" si="8"/>
        <v/>
      </c>
      <c r="H41" s="208"/>
      <c r="I41" s="324" t="str">
        <f>CONCATENATE(TEXT(HEX2DEC(SUBSTITUTE(MID(G41,1,6)," ","")),"0000"),"/",TEXT(HEX2DEC(SUBSTITUTE(MID(G41,7,3)," ","")),"00"),"/",TEXT(HEX2DEC(SUBSTITUTE(MID(G41,10,3)," ","")),"00"))</f>
        <v>0000/00/00</v>
      </c>
      <c r="J41" s="325"/>
      <c r="K41" s="51" t="s">
        <v>46</v>
      </c>
      <c r="L41" s="29" t="s">
        <v>1147</v>
      </c>
    </row>
    <row r="42" spans="2:14">
      <c r="B42" s="2">
        <v>16</v>
      </c>
      <c r="C42" s="3" t="s">
        <v>1057</v>
      </c>
      <c r="D42" s="2">
        <f t="shared" si="6"/>
        <v>44</v>
      </c>
      <c r="E42" s="2">
        <f t="shared" si="7"/>
        <v>44</v>
      </c>
      <c r="F42" s="2">
        <v>1</v>
      </c>
      <c r="G42" s="207" t="str">
        <f t="shared" si="8"/>
        <v/>
      </c>
      <c r="H42" s="208"/>
      <c r="I42" s="207">
        <f t="shared" ref="I42:I47" si="9">HEX2DEC(SUBSTITUTE(G42," ",""))</f>
        <v>0</v>
      </c>
      <c r="J42" s="208"/>
      <c r="L42" s="69" t="str">
        <f>IF(ISNA(VLOOKUP(G42,'IGS Configuration Values'!$B$45:$D$46,2,FALSE))=TRUE,"Invalid ABP Game ID",VLOOKUP(G42,'IGS Configuration Values'!$B$45:$D$46,2,FALSE))</f>
        <v>Invalid ABP Game ID</v>
      </c>
      <c r="M42" s="68"/>
      <c r="N42" s="68"/>
    </row>
    <row r="43" spans="2:14">
      <c r="B43" s="2">
        <v>17</v>
      </c>
      <c r="C43" s="3" t="s">
        <v>1069</v>
      </c>
      <c r="D43" s="2">
        <f t="shared" si="6"/>
        <v>45</v>
      </c>
      <c r="E43" s="2">
        <f t="shared" si="7"/>
        <v>46</v>
      </c>
      <c r="F43" s="2">
        <v>2</v>
      </c>
      <c r="G43" s="207" t="str">
        <f t="shared" si="8"/>
        <v/>
      </c>
      <c r="H43" s="208"/>
      <c r="I43" s="207">
        <f t="shared" si="9"/>
        <v>0</v>
      </c>
      <c r="J43" s="208"/>
      <c r="L43" s="69" t="str">
        <f>IF(I43=1,"Simple Bet",IF(AND(I43=I47,I43&gt;1),"Combined Bet",IF(I47&gt;I43,"Multiple Bet","Invalid Bet Type")))</f>
        <v>Invalid Bet Type</v>
      </c>
      <c r="M43" s="68"/>
      <c r="N43" s="68"/>
    </row>
    <row r="44" spans="2:14">
      <c r="B44" s="2">
        <v>18</v>
      </c>
      <c r="C44" s="3" t="s">
        <v>1151</v>
      </c>
      <c r="D44" s="2">
        <f t="shared" si="6"/>
        <v>47</v>
      </c>
      <c r="E44" s="2">
        <f t="shared" si="7"/>
        <v>50</v>
      </c>
      <c r="F44" s="2">
        <v>4</v>
      </c>
      <c r="G44" s="207" t="str">
        <f t="shared" si="8"/>
        <v/>
      </c>
      <c r="H44" s="208"/>
      <c r="I44" s="207">
        <f t="shared" si="9"/>
        <v>0</v>
      </c>
      <c r="J44" s="208"/>
    </row>
    <row r="45" spans="2:14">
      <c r="B45" s="2">
        <v>19</v>
      </c>
      <c r="C45" s="3" t="s">
        <v>1152</v>
      </c>
      <c r="D45" s="2">
        <f t="shared" si="6"/>
        <v>51</v>
      </c>
      <c r="E45" s="2">
        <f t="shared" si="7"/>
        <v>54</v>
      </c>
      <c r="F45" s="2">
        <v>4</v>
      </c>
      <c r="G45" s="207" t="str">
        <f t="shared" si="8"/>
        <v/>
      </c>
      <c r="H45" s="208"/>
      <c r="I45" s="207">
        <f t="shared" si="9"/>
        <v>0</v>
      </c>
      <c r="J45" s="208"/>
    </row>
    <row r="46" spans="2:14">
      <c r="B46" s="2">
        <v>20</v>
      </c>
      <c r="C46" s="3" t="s">
        <v>1153</v>
      </c>
      <c r="D46" s="2">
        <f t="shared" si="6"/>
        <v>55</v>
      </c>
      <c r="E46" s="2">
        <f t="shared" si="7"/>
        <v>58</v>
      </c>
      <c r="F46" s="2">
        <v>4</v>
      </c>
      <c r="G46" s="207" t="str">
        <f t="shared" si="8"/>
        <v/>
      </c>
      <c r="H46" s="208"/>
      <c r="I46" s="207">
        <f t="shared" si="9"/>
        <v>0</v>
      </c>
      <c r="J46" s="208"/>
    </row>
    <row r="47" spans="2:14">
      <c r="B47" s="2">
        <v>21</v>
      </c>
      <c r="C47" s="3" t="s">
        <v>1154</v>
      </c>
      <c r="D47" s="2">
        <f t="shared" si="6"/>
        <v>59</v>
      </c>
      <c r="E47" s="2">
        <f t="shared" si="7"/>
        <v>59</v>
      </c>
      <c r="F47" s="2">
        <v>1</v>
      </c>
      <c r="G47" s="207" t="str">
        <f t="shared" si="8"/>
        <v/>
      </c>
      <c r="H47" s="208"/>
      <c r="I47" s="207">
        <f t="shared" si="9"/>
        <v>0</v>
      </c>
      <c r="J47" s="208"/>
    </row>
    <row r="49" spans="1:14">
      <c r="C49" s="52"/>
    </row>
    <row r="50" spans="1:14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</row>
    <row r="51" spans="1:14" ht="18.75">
      <c r="B51" s="14" t="s">
        <v>1228</v>
      </c>
    </row>
    <row r="53" spans="1:14">
      <c r="B53" s="7" t="s">
        <v>1104</v>
      </c>
      <c r="C53" s="163"/>
    </row>
    <row r="55" spans="1:14">
      <c r="B55" s="15" t="s">
        <v>1105</v>
      </c>
      <c r="C55" s="15" t="s">
        <v>1106</v>
      </c>
      <c r="D55" s="15" t="s">
        <v>1107</v>
      </c>
      <c r="E55" s="15" t="s">
        <v>1108</v>
      </c>
      <c r="F55" s="15" t="s">
        <v>1109</v>
      </c>
      <c r="G55" s="307" t="s">
        <v>1110</v>
      </c>
      <c r="H55" s="307"/>
      <c r="I55" s="307" t="s">
        <v>1111</v>
      </c>
      <c r="J55" s="307"/>
      <c r="L55" s="293" t="s">
        <v>1112</v>
      </c>
      <c r="M55" s="294"/>
      <c r="N55" s="295"/>
    </row>
    <row r="56" spans="1:14">
      <c r="A56" s="341" t="s">
        <v>1213</v>
      </c>
      <c r="B56" s="47">
        <v>1</v>
      </c>
      <c r="C56" s="53" t="s">
        <v>1122</v>
      </c>
      <c r="D56" s="47">
        <v>1</v>
      </c>
      <c r="E56" s="47">
        <f>D56+F56-1</f>
        <v>4</v>
      </c>
      <c r="F56" s="47">
        <v>4</v>
      </c>
      <c r="G56" s="339" t="str">
        <f t="shared" ref="G56:G60" si="10">TRIM(MID($C$53,(D56-1)*3+1,F56*3))</f>
        <v/>
      </c>
      <c r="H56" s="340"/>
      <c r="I56" s="339">
        <f t="shared" ref="I56:I66" si="11">HEX2DEC(SUBSTITUTE(G56," ",""))</f>
        <v>0</v>
      </c>
      <c r="J56" s="340"/>
    </row>
    <row r="57" spans="1:14">
      <c r="A57" s="342"/>
      <c r="B57" s="47">
        <v>2</v>
      </c>
      <c r="C57" s="53" t="s">
        <v>1215</v>
      </c>
      <c r="D57" s="47">
        <f>E56+1</f>
        <v>5</v>
      </c>
      <c r="E57" s="47">
        <f>D57+F57-1</f>
        <v>8</v>
      </c>
      <c r="F57" s="47">
        <v>4</v>
      </c>
      <c r="G57" s="339" t="str">
        <f t="shared" si="10"/>
        <v/>
      </c>
      <c r="H57" s="340"/>
      <c r="I57" s="339">
        <f t="shared" si="11"/>
        <v>0</v>
      </c>
      <c r="J57" s="340"/>
    </row>
    <row r="58" spans="1:14">
      <c r="A58" s="342"/>
      <c r="B58" s="47">
        <v>3</v>
      </c>
      <c r="C58" s="53" t="s">
        <v>1217</v>
      </c>
      <c r="D58" s="47">
        <f t="shared" ref="D58:D75" si="12">E57+1</f>
        <v>9</v>
      </c>
      <c r="E58" s="47">
        <f t="shared" ref="E58:E75" si="13">D58+F58-1</f>
        <v>10</v>
      </c>
      <c r="F58" s="47">
        <v>2</v>
      </c>
      <c r="G58" s="339" t="str">
        <f t="shared" si="10"/>
        <v/>
      </c>
      <c r="H58" s="340"/>
      <c r="I58" s="339">
        <f t="shared" si="11"/>
        <v>0</v>
      </c>
      <c r="J58" s="340"/>
    </row>
    <row r="59" spans="1:14">
      <c r="A59" s="342"/>
      <c r="B59" s="47">
        <v>4</v>
      </c>
      <c r="C59" s="53" t="s">
        <v>1219</v>
      </c>
      <c r="D59" s="47">
        <f t="shared" si="12"/>
        <v>11</v>
      </c>
      <c r="E59" s="47">
        <f t="shared" si="13"/>
        <v>12</v>
      </c>
      <c r="F59" s="47">
        <v>2</v>
      </c>
      <c r="G59" s="339" t="str">
        <f t="shared" si="10"/>
        <v/>
      </c>
      <c r="H59" s="340"/>
      <c r="I59" s="339">
        <f t="shared" si="11"/>
        <v>0</v>
      </c>
      <c r="J59" s="340"/>
    </row>
    <row r="60" spans="1:14">
      <c r="A60" s="343"/>
      <c r="B60" s="47">
        <v>5</v>
      </c>
      <c r="C60" s="53" t="s">
        <v>1221</v>
      </c>
      <c r="D60" s="47">
        <f t="shared" si="12"/>
        <v>13</v>
      </c>
      <c r="E60" s="47">
        <f t="shared" si="13"/>
        <v>14</v>
      </c>
      <c r="F60" s="47">
        <v>2</v>
      </c>
      <c r="G60" s="339" t="str">
        <f t="shared" si="10"/>
        <v/>
      </c>
      <c r="H60" s="340"/>
      <c r="I60" s="339">
        <f t="shared" si="11"/>
        <v>0</v>
      </c>
      <c r="J60" s="340"/>
    </row>
    <row r="61" spans="1:14">
      <c r="B61" s="2">
        <v>6</v>
      </c>
      <c r="C61" s="3" t="s">
        <v>1222</v>
      </c>
      <c r="D61" s="2">
        <f t="shared" si="12"/>
        <v>15</v>
      </c>
      <c r="E61" s="2">
        <f t="shared" si="13"/>
        <v>15</v>
      </c>
      <c r="F61" s="2">
        <v>1</v>
      </c>
      <c r="G61" s="2" t="str">
        <f>TRIM(MID($C$53,(D61-1)*3+1,1))</f>
        <v/>
      </c>
      <c r="H61" s="2" t="str">
        <f>TRIM(MID($C$53,(D61-1)*3+2,1))</f>
        <v/>
      </c>
      <c r="I61" s="2">
        <f t="shared" si="11"/>
        <v>0</v>
      </c>
      <c r="J61" s="2">
        <f>HEX2DEC(SUBSTITUTE(H61," ",""))</f>
        <v>0</v>
      </c>
      <c r="L61" s="69" t="str">
        <f>IF(MOD(INT(HEX2BIN(G61,4)/(2^(3-1))),2)=1,CONCATENATE("This is a Retry"),CONCATENATE("This is NOT a Retry"))</f>
        <v>This is NOT a Retry</v>
      </c>
      <c r="M61" s="68"/>
      <c r="N61" s="68"/>
    </row>
    <row r="62" spans="1:14">
      <c r="B62" s="2">
        <v>7</v>
      </c>
      <c r="C62" s="3" t="s">
        <v>1207</v>
      </c>
      <c r="D62" s="2">
        <f t="shared" si="12"/>
        <v>16</v>
      </c>
      <c r="E62" s="2">
        <f t="shared" si="13"/>
        <v>16</v>
      </c>
      <c r="F62" s="2">
        <v>1</v>
      </c>
      <c r="G62" s="2" t="str">
        <f>TRIM(MID($C$53,(D62-1)*3+1,1))</f>
        <v/>
      </c>
      <c r="H62" s="2" t="str">
        <f>TRIM(MID($C$53,D62*3-1,1))</f>
        <v/>
      </c>
      <c r="I62" s="2">
        <f t="shared" si="11"/>
        <v>0</v>
      </c>
      <c r="J62" s="2">
        <f>HEX2DEC(SUBSTITUTE(H62," ",""))</f>
        <v>0</v>
      </c>
      <c r="L62" s="67" t="str">
        <f>IF(ISNA(VLOOKUP(CONCATENATE(G62,H62),'IGS Configuration Values'!$B$115:$D$115,2,FALSE))=TRUE,"Invalid Type/Subtype",VLOOKUP(CONCATENATE(G62,H62),'IGS Configuration Values'!$B$115:$D$115,2,FALSE))</f>
        <v>Invalid Type/Subtype</v>
      </c>
      <c r="M62" s="68"/>
      <c r="N62" s="68"/>
    </row>
    <row r="63" spans="1:14">
      <c r="B63" s="2">
        <v>8</v>
      </c>
      <c r="C63" s="3" t="s">
        <v>1115</v>
      </c>
      <c r="D63" s="2">
        <f t="shared" si="12"/>
        <v>17</v>
      </c>
      <c r="E63" s="2">
        <f t="shared" si="13"/>
        <v>18</v>
      </c>
      <c r="F63" s="2">
        <v>2</v>
      </c>
      <c r="G63" s="207" t="str">
        <f>TRIM(MID($C$53,(D63-1)*3+1,F63*3))</f>
        <v/>
      </c>
      <c r="H63" s="208"/>
      <c r="I63" s="207">
        <f t="shared" si="11"/>
        <v>0</v>
      </c>
      <c r="J63" s="208"/>
    </row>
    <row r="64" spans="1:14">
      <c r="B64" s="2">
        <v>9</v>
      </c>
      <c r="C64" s="3" t="s">
        <v>1119</v>
      </c>
      <c r="D64" s="2">
        <f t="shared" si="12"/>
        <v>19</v>
      </c>
      <c r="E64" s="2">
        <f t="shared" si="13"/>
        <v>19</v>
      </c>
      <c r="F64" s="2">
        <v>1</v>
      </c>
      <c r="G64" s="207" t="str">
        <f>TRIM(MID($C$53,(D64-1)*3+1,F64*3))</f>
        <v/>
      </c>
      <c r="H64" s="208"/>
      <c r="I64" s="207">
        <f t="shared" si="11"/>
        <v>0</v>
      </c>
      <c r="J64" s="208"/>
      <c r="L64" s="67" t="str">
        <f>IF(ISNA(VLOOKUP(CONCATENATE(G64,G65),'IGS Configuration Values'!$B$4:$C$17,2,FALSE))=TRUE,"Invalid Game Type/Index",VLOOKUP(CONCATENATE(G64,G65),'IGS Configuration Values'!$B$4:$C$17,2,FALSE))</f>
        <v>Invalid Game Type/Index</v>
      </c>
      <c r="M64" s="68"/>
      <c r="N64" s="68"/>
    </row>
    <row r="65" spans="2:14">
      <c r="B65" s="2">
        <v>10</v>
      </c>
      <c r="C65" s="3" t="s">
        <v>1120</v>
      </c>
      <c r="D65" s="2">
        <f t="shared" si="12"/>
        <v>20</v>
      </c>
      <c r="E65" s="2">
        <f t="shared" si="13"/>
        <v>20</v>
      </c>
      <c r="F65" s="2">
        <v>1</v>
      </c>
      <c r="G65" s="207" t="str">
        <f>TRIM(MID($C$53,(D65-1)*3+1,F65*3))</f>
        <v/>
      </c>
      <c r="H65" s="208"/>
      <c r="I65" s="207">
        <f t="shared" si="11"/>
        <v>0</v>
      </c>
      <c r="J65" s="208"/>
    </row>
    <row r="66" spans="2:14">
      <c r="B66" s="2">
        <v>11</v>
      </c>
      <c r="C66" s="3" t="s">
        <v>1229</v>
      </c>
      <c r="D66" s="2">
        <f t="shared" si="12"/>
        <v>21</v>
      </c>
      <c r="E66" s="2">
        <f t="shared" si="13"/>
        <v>21</v>
      </c>
      <c r="F66" s="2">
        <v>1</v>
      </c>
      <c r="G66" s="207" t="str">
        <f>TRIM(MID($C$53,(D66-1)*3+1,F66*3))</f>
        <v/>
      </c>
      <c r="H66" s="208"/>
      <c r="I66" s="207">
        <f t="shared" si="11"/>
        <v>0</v>
      </c>
      <c r="J66" s="208"/>
      <c r="K66" s="51"/>
      <c r="L66" s="69" t="str">
        <f>IF(ISNA(VLOOKUP(G66,'IGS Configuration Values'!$B$120:$D$122,2,FALSE))=TRUE,"Invalid Reprint Type",VLOOKUP(G66,'IGS Configuration Values'!$B$120:$D$122,2,FALSE))</f>
        <v>Invalid Reprint Type</v>
      </c>
      <c r="M66" s="68"/>
      <c r="N66" s="68"/>
    </row>
    <row r="67" spans="2:14">
      <c r="B67" s="196">
        <v>12</v>
      </c>
      <c r="C67" s="197" t="s">
        <v>1127</v>
      </c>
      <c r="D67" s="196">
        <f t="shared" si="12"/>
        <v>22</v>
      </c>
      <c r="E67" s="196">
        <f t="shared" si="13"/>
        <v>25</v>
      </c>
      <c r="F67" s="196">
        <v>4</v>
      </c>
      <c r="G67" s="308" t="str">
        <f>TRIM(MID($C$53,(D67-1)*3+1,F67*3))</f>
        <v/>
      </c>
      <c r="H67" s="309"/>
      <c r="I67" s="308">
        <f t="shared" ref="I67" si="14">HEX2DEC(SUBSTITUTE(G67," ",""))</f>
        <v>0</v>
      </c>
      <c r="J67" s="309"/>
      <c r="K67" s="51"/>
    </row>
    <row r="68" spans="2:14">
      <c r="B68" s="2">
        <v>13</v>
      </c>
      <c r="C68" s="3" t="s">
        <v>1200</v>
      </c>
      <c r="D68" s="2">
        <f t="shared" si="12"/>
        <v>26</v>
      </c>
      <c r="E68" s="2">
        <f t="shared" si="13"/>
        <v>36</v>
      </c>
      <c r="F68" s="2">
        <v>11</v>
      </c>
      <c r="G68" s="207" t="str">
        <f t="shared" ref="G68:G75" si="15">TRIM(MID($C$53,(D68-1)*3+1,F68*3))</f>
        <v/>
      </c>
      <c r="H68" s="208"/>
      <c r="I68" s="205" t="str">
        <f>CONCATENATE(TEXT(HEX2DEC(MID(G68,1,2)),"00"),TEXT(HEX2DEC(MID(G68,4,2)),"00"),TEXT(HEX2DEC(MID(G68,7,2)),"00")," - ",TEXT(HEX2DEC(MID(G68,10,2)),"00")," - ",TEXT((HEX2DEC(MID(G68,13,2))*2^32+HEX2DEC(SUBSTITUTE(MID(G68,16,11)," ",""))),"0000000000")," - ",TEXT(HEX2DEC(SUBSTITUTE(MID(G68,28,5)," ","")),"000"))</f>
        <v>000000 - 00 - 0000000000 - 000</v>
      </c>
      <c r="J68" s="206"/>
      <c r="K68" s="51" t="s">
        <v>46</v>
      </c>
      <c r="L68" s="29" t="s">
        <v>1145</v>
      </c>
    </row>
    <row r="69" spans="2:14">
      <c r="B69" s="2">
        <v>14</v>
      </c>
      <c r="C69" s="3" t="s">
        <v>1201</v>
      </c>
      <c r="D69" s="2">
        <f t="shared" si="12"/>
        <v>37</v>
      </c>
      <c r="E69" s="2">
        <f t="shared" si="13"/>
        <v>40</v>
      </c>
      <c r="F69" s="2">
        <v>4</v>
      </c>
      <c r="G69" s="207" t="str">
        <f t="shared" si="15"/>
        <v/>
      </c>
      <c r="H69" s="208"/>
      <c r="I69" s="324" t="str">
        <f>CONCATENATE(TEXT(HEX2DEC(SUBSTITUTE(MID(G69,1,6)," ","")),"0000"),"/",TEXT(HEX2DEC(SUBSTITUTE(MID(G69,7,3)," ","")),"00"),"/",TEXT(HEX2DEC(SUBSTITUTE(MID(G69,10,3)," ","")),"00"))</f>
        <v>0000/00/00</v>
      </c>
      <c r="J69" s="325"/>
      <c r="K69" s="51" t="s">
        <v>46</v>
      </c>
      <c r="L69" s="29" t="s">
        <v>1147</v>
      </c>
    </row>
    <row r="70" spans="2:14">
      <c r="B70" s="2">
        <v>15</v>
      </c>
      <c r="C70" s="3" t="s">
        <v>1202</v>
      </c>
      <c r="D70" s="2">
        <f t="shared" si="12"/>
        <v>41</v>
      </c>
      <c r="E70" s="2">
        <f t="shared" si="13"/>
        <v>43</v>
      </c>
      <c r="F70" s="2">
        <v>3</v>
      </c>
      <c r="G70" s="207" t="str">
        <f t="shared" si="15"/>
        <v/>
      </c>
      <c r="H70" s="208"/>
      <c r="I70" s="324" t="str">
        <f>CONCATENATE(TEXT(HEX2DEC(SUBSTITUTE(MID(G70,1,3)," ","")),"00"),":",TEXT(HEX2DEC(SUBSTITUTE(MID(G70,4,3)," ","")),"00"),":",TEXT(HEX2DEC(SUBSTITUTE(MID(G70,7,3)," ","")),"00"))</f>
        <v>00:00:00</v>
      </c>
      <c r="J70" s="325"/>
      <c r="K70" s="51" t="s">
        <v>46</v>
      </c>
      <c r="L70" s="29" t="s">
        <v>1149</v>
      </c>
    </row>
    <row r="71" spans="2:14">
      <c r="B71" s="2">
        <v>16</v>
      </c>
      <c r="C71" s="3" t="s">
        <v>1181</v>
      </c>
      <c r="D71" s="2">
        <f t="shared" si="12"/>
        <v>44</v>
      </c>
      <c r="E71" s="2">
        <f t="shared" si="13"/>
        <v>47</v>
      </c>
      <c r="F71" s="2">
        <v>4</v>
      </c>
      <c r="G71" s="207" t="str">
        <f t="shared" si="15"/>
        <v/>
      </c>
      <c r="H71" s="208"/>
      <c r="I71" s="207">
        <f t="shared" ref="I71:I75" si="16">HEX2DEC(SUBSTITUTE(G71," ",""))</f>
        <v>0</v>
      </c>
      <c r="J71" s="208"/>
    </row>
    <row r="72" spans="2:14">
      <c r="B72" s="2">
        <v>17</v>
      </c>
      <c r="C72" s="3" t="s">
        <v>1182</v>
      </c>
      <c r="D72" s="2">
        <f t="shared" si="12"/>
        <v>48</v>
      </c>
      <c r="E72" s="2">
        <f t="shared" si="13"/>
        <v>51</v>
      </c>
      <c r="F72" s="2">
        <v>4</v>
      </c>
      <c r="G72" s="207" t="str">
        <f t="shared" si="15"/>
        <v/>
      </c>
      <c r="H72" s="208"/>
      <c r="I72" s="207">
        <f t="shared" si="16"/>
        <v>0</v>
      </c>
      <c r="J72" s="208"/>
    </row>
    <row r="73" spans="2:14">
      <c r="B73" s="2">
        <v>18</v>
      </c>
      <c r="C73" s="3" t="s">
        <v>1183</v>
      </c>
      <c r="D73" s="2">
        <f t="shared" si="12"/>
        <v>52</v>
      </c>
      <c r="E73" s="2">
        <f t="shared" si="13"/>
        <v>55</v>
      </c>
      <c r="F73" s="2">
        <v>4</v>
      </c>
      <c r="G73" s="207" t="str">
        <f t="shared" si="15"/>
        <v/>
      </c>
      <c r="H73" s="208"/>
      <c r="I73" s="207">
        <f t="shared" si="16"/>
        <v>0</v>
      </c>
      <c r="J73" s="208"/>
    </row>
    <row r="74" spans="2:14">
      <c r="B74" s="2">
        <v>19</v>
      </c>
      <c r="C74" s="3" t="s">
        <v>1144</v>
      </c>
      <c r="D74" s="2">
        <f t="shared" si="12"/>
        <v>56</v>
      </c>
      <c r="E74" s="2">
        <f t="shared" si="13"/>
        <v>66</v>
      </c>
      <c r="F74" s="2">
        <v>11</v>
      </c>
      <c r="G74" s="207" t="str">
        <f t="shared" si="15"/>
        <v/>
      </c>
      <c r="H74" s="208"/>
      <c r="I74" s="205" t="str">
        <f>CONCATENATE(TEXT(HEX2DEC(MID(G74,1,2)),"00"),TEXT(HEX2DEC(MID(G74,4,2)),"00"),TEXT(HEX2DEC(MID(G74,7,2)),"00")," - ",TEXT(HEX2DEC(MID(G74,10,2)),"00")," - ",TEXT((HEX2DEC(MID(G74,13,2))*2^32+HEX2DEC(SUBSTITUTE(MID(G74,16,11)," ",""))),"0000000000")," - ",TEXT(HEX2DEC(SUBSTITUTE(MID(G74,28,5)," ","")),"000"))</f>
        <v>000000 - 00 - 0000000000 - 000</v>
      </c>
      <c r="J74" s="206"/>
      <c r="K74" s="51" t="s">
        <v>46</v>
      </c>
      <c r="L74" s="29" t="s">
        <v>1145</v>
      </c>
    </row>
    <row r="75" spans="2:14">
      <c r="B75" s="2">
        <v>20</v>
      </c>
      <c r="C75" s="3" t="s">
        <v>111</v>
      </c>
      <c r="D75" s="2">
        <f t="shared" si="12"/>
        <v>67</v>
      </c>
      <c r="E75" s="2">
        <f t="shared" si="13"/>
        <v>67</v>
      </c>
      <c r="F75" s="2">
        <v>1</v>
      </c>
      <c r="G75" s="207" t="str">
        <f t="shared" si="15"/>
        <v/>
      </c>
      <c r="H75" s="208"/>
      <c r="I75" s="207">
        <f t="shared" si="16"/>
        <v>0</v>
      </c>
      <c r="J75" s="208"/>
      <c r="K75" s="51"/>
      <c r="L75" s="69" t="str">
        <f>IF(ISNA(VLOOKUP(G75,'IGS Configuration Values'!$B$82:$D$83,2,FALSE))=TRUE,"Invalid Payment Mode",VLOOKUP(G75,'IGS Configuration Values'!$B$82:$D$83,2,FALSE))</f>
        <v>Invalid Payment Mode</v>
      </c>
      <c r="M75" s="68"/>
      <c r="N75" s="68"/>
    </row>
    <row r="77" spans="2:14" ht="18.75">
      <c r="B77" s="14" t="s">
        <v>1230</v>
      </c>
    </row>
    <row r="78" spans="2:14">
      <c r="D78" s="303" t="s">
        <v>1189</v>
      </c>
      <c r="E78" s="338"/>
      <c r="F78" s="338"/>
      <c r="G78" s="338"/>
      <c r="H78" s="304"/>
    </row>
    <row r="79" spans="2:14">
      <c r="B79" s="15" t="s">
        <v>1105</v>
      </c>
      <c r="C79" s="15" t="s">
        <v>1106</v>
      </c>
      <c r="D79" s="15" t="s">
        <v>1107</v>
      </c>
      <c r="E79" s="15" t="s">
        <v>1108</v>
      </c>
      <c r="F79" s="15" t="s">
        <v>1109</v>
      </c>
      <c r="G79" s="307" t="s">
        <v>1110</v>
      </c>
      <c r="H79" s="307"/>
      <c r="I79" s="307" t="s">
        <v>1111</v>
      </c>
      <c r="J79" s="307"/>
      <c r="L79" s="293" t="s">
        <v>1112</v>
      </c>
      <c r="M79" s="294"/>
      <c r="N79" s="295"/>
    </row>
    <row r="80" spans="2:14">
      <c r="B80" s="2">
        <v>21</v>
      </c>
      <c r="C80" s="3" t="s">
        <v>1190</v>
      </c>
      <c r="D80" s="2">
        <f>E75+1</f>
        <v>68</v>
      </c>
      <c r="E80" s="2">
        <f t="shared" ref="E80:E85" si="17">D80+F80-1</f>
        <v>68</v>
      </c>
      <c r="F80" s="2">
        <v>1</v>
      </c>
      <c r="G80" s="255" t="str">
        <f t="shared" ref="G80:G85" si="18">TRIM(MID($C$53,(D80-1)*3+1,F80*3))</f>
        <v/>
      </c>
      <c r="H80" s="255"/>
      <c r="I80" s="231">
        <f t="shared" ref="I80:I85" si="19">HEX2DEC(SUBSTITUTE(G80," ",""))</f>
        <v>0</v>
      </c>
      <c r="J80" s="231"/>
      <c r="L80" s="69" t="str">
        <f>IF(ISNA(VLOOKUP(G80,'IGS Configuration Values'!$B$88:$D$89,2,FALSE))=TRUE,"Invalid Player Type",VLOOKUP(G80,'IGS Configuration Values'!$B$88:$D$89,2,FALSE))</f>
        <v>Invalid Player Type</v>
      </c>
      <c r="M80" s="68"/>
      <c r="N80" s="68"/>
    </row>
    <row r="81" spans="1:14">
      <c r="B81" s="2">
        <v>22</v>
      </c>
      <c r="C81" s="3" t="s">
        <v>1191</v>
      </c>
      <c r="D81" s="2">
        <f>E80+1</f>
        <v>69</v>
      </c>
      <c r="E81" s="2">
        <f t="shared" si="17"/>
        <v>72</v>
      </c>
      <c r="F81" s="2">
        <v>4</v>
      </c>
      <c r="G81" s="255" t="str">
        <f t="shared" si="18"/>
        <v/>
      </c>
      <c r="H81" s="255"/>
      <c r="I81" s="231">
        <f t="shared" si="19"/>
        <v>0</v>
      </c>
      <c r="J81" s="231"/>
      <c r="K81" s="51" t="s">
        <v>46</v>
      </c>
      <c r="L81" s="29" t="s">
        <v>1192</v>
      </c>
    </row>
    <row r="82" spans="1:14">
      <c r="A82" s="332" t="s">
        <v>1193</v>
      </c>
      <c r="B82" s="2">
        <v>23</v>
      </c>
      <c r="C82" s="3" t="s">
        <v>1194</v>
      </c>
      <c r="D82" s="2">
        <f>E81+1</f>
        <v>73</v>
      </c>
      <c r="E82" s="2">
        <f t="shared" si="17"/>
        <v>74</v>
      </c>
      <c r="F82" s="2">
        <v>2</v>
      </c>
      <c r="G82" s="255" t="str">
        <f t="shared" si="18"/>
        <v/>
      </c>
      <c r="H82" s="255"/>
      <c r="I82" s="335">
        <f t="shared" si="19"/>
        <v>0</v>
      </c>
      <c r="J82" s="335"/>
    </row>
    <row r="83" spans="1:14">
      <c r="A83" s="333"/>
      <c r="B83" s="2">
        <v>24</v>
      </c>
      <c r="C83" s="3" t="s">
        <v>1195</v>
      </c>
      <c r="D83" s="2">
        <f>E82+1</f>
        <v>75</v>
      </c>
      <c r="E83" s="2">
        <f t="shared" si="17"/>
        <v>76</v>
      </c>
      <c r="F83" s="2">
        <v>2</v>
      </c>
      <c r="G83" s="255" t="str">
        <f t="shared" si="18"/>
        <v/>
      </c>
      <c r="H83" s="255"/>
      <c r="I83" s="335">
        <f t="shared" si="19"/>
        <v>0</v>
      </c>
      <c r="J83" s="335"/>
    </row>
    <row r="84" spans="1:14">
      <c r="A84" s="333"/>
      <c r="B84" s="2">
        <v>25</v>
      </c>
      <c r="C84" s="3" t="s">
        <v>1196</v>
      </c>
      <c r="D84" s="2">
        <f>E83+1</f>
        <v>77</v>
      </c>
      <c r="E84" s="2">
        <f t="shared" si="17"/>
        <v>81</v>
      </c>
      <c r="F84" s="2">
        <v>5</v>
      </c>
      <c r="G84" s="255" t="str">
        <f t="shared" si="18"/>
        <v/>
      </c>
      <c r="H84" s="255"/>
      <c r="I84" s="336">
        <f t="shared" si="19"/>
        <v>0</v>
      </c>
      <c r="J84" s="336"/>
    </row>
    <row r="85" spans="1:14">
      <c r="A85" s="334"/>
      <c r="B85" s="2">
        <v>26</v>
      </c>
      <c r="C85" s="3" t="s">
        <v>1197</v>
      </c>
      <c r="D85" s="2">
        <f>E84+1</f>
        <v>82</v>
      </c>
      <c r="E85" s="2">
        <f t="shared" si="17"/>
        <v>82</v>
      </c>
      <c r="F85" s="2">
        <v>1</v>
      </c>
      <c r="G85" s="255" t="str">
        <f t="shared" si="18"/>
        <v/>
      </c>
      <c r="H85" s="255"/>
      <c r="I85" s="337">
        <f t="shared" si="19"/>
        <v>0</v>
      </c>
      <c r="J85" s="337"/>
    </row>
    <row r="87" spans="1:14">
      <c r="C87" s="52"/>
    </row>
    <row r="88" spans="1:14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</row>
    <row r="89" spans="1:14" ht="18.75">
      <c r="B89" s="14" t="s">
        <v>1231</v>
      </c>
    </row>
    <row r="91" spans="1:14">
      <c r="B91" s="7" t="s">
        <v>1104</v>
      </c>
      <c r="C91" s="163"/>
    </row>
    <row r="93" spans="1:14">
      <c r="B93" s="15" t="s">
        <v>1105</v>
      </c>
      <c r="C93" s="15" t="s">
        <v>1106</v>
      </c>
      <c r="D93" s="15" t="s">
        <v>1107</v>
      </c>
      <c r="E93" s="15" t="s">
        <v>1108</v>
      </c>
      <c r="F93" s="15" t="s">
        <v>1109</v>
      </c>
      <c r="G93" s="307" t="s">
        <v>1110</v>
      </c>
      <c r="H93" s="307"/>
      <c r="I93" s="307" t="s">
        <v>1111</v>
      </c>
      <c r="J93" s="307"/>
      <c r="L93" s="293" t="s">
        <v>1112</v>
      </c>
      <c r="M93" s="294"/>
      <c r="N93" s="295"/>
    </row>
    <row r="94" spans="1:14">
      <c r="A94" s="341" t="s">
        <v>1213</v>
      </c>
      <c r="B94" s="47">
        <v>1</v>
      </c>
      <c r="C94" s="53" t="s">
        <v>1122</v>
      </c>
      <c r="D94" s="47">
        <v>1</v>
      </c>
      <c r="E94" s="47">
        <f>D94+F94-1</f>
        <v>4</v>
      </c>
      <c r="F94" s="47">
        <v>4</v>
      </c>
      <c r="G94" s="339" t="str">
        <f t="shared" ref="G94:G98" si="20">TRIM(MID($C$91,(D94-1)*3+1,F94*3))</f>
        <v/>
      </c>
      <c r="H94" s="340"/>
      <c r="I94" s="339">
        <f t="shared" ref="I94:I104" si="21">HEX2DEC(SUBSTITUTE(G94," ",""))</f>
        <v>0</v>
      </c>
      <c r="J94" s="340"/>
    </row>
    <row r="95" spans="1:14">
      <c r="A95" s="342"/>
      <c r="B95" s="47">
        <v>2</v>
      </c>
      <c r="C95" s="53" t="s">
        <v>1215</v>
      </c>
      <c r="D95" s="47">
        <f>E94+1</f>
        <v>5</v>
      </c>
      <c r="E95" s="47">
        <f>D95+F95-1</f>
        <v>8</v>
      </c>
      <c r="F95" s="47">
        <v>4</v>
      </c>
      <c r="G95" s="339" t="str">
        <f t="shared" si="20"/>
        <v/>
      </c>
      <c r="H95" s="340"/>
      <c r="I95" s="339">
        <f t="shared" si="21"/>
        <v>0</v>
      </c>
      <c r="J95" s="340"/>
    </row>
    <row r="96" spans="1:14">
      <c r="A96" s="342"/>
      <c r="B96" s="47">
        <v>3</v>
      </c>
      <c r="C96" s="53" t="s">
        <v>1217</v>
      </c>
      <c r="D96" s="47">
        <f t="shared" ref="D96:D109" si="22">E95+1</f>
        <v>9</v>
      </c>
      <c r="E96" s="47">
        <f t="shared" ref="E96:E109" si="23">D96+F96-1</f>
        <v>10</v>
      </c>
      <c r="F96" s="47">
        <v>2</v>
      </c>
      <c r="G96" s="339" t="str">
        <f t="shared" si="20"/>
        <v/>
      </c>
      <c r="H96" s="340"/>
      <c r="I96" s="339">
        <f t="shared" si="21"/>
        <v>0</v>
      </c>
      <c r="J96" s="340"/>
    </row>
    <row r="97" spans="1:14">
      <c r="A97" s="342"/>
      <c r="B97" s="47">
        <v>4</v>
      </c>
      <c r="C97" s="53" t="s">
        <v>1219</v>
      </c>
      <c r="D97" s="47">
        <f t="shared" si="22"/>
        <v>11</v>
      </c>
      <c r="E97" s="47">
        <f t="shared" si="23"/>
        <v>12</v>
      </c>
      <c r="F97" s="47">
        <v>2</v>
      </c>
      <c r="G97" s="339" t="str">
        <f t="shared" si="20"/>
        <v/>
      </c>
      <c r="H97" s="340"/>
      <c r="I97" s="339">
        <f t="shared" si="21"/>
        <v>0</v>
      </c>
      <c r="J97" s="340"/>
    </row>
    <row r="98" spans="1:14">
      <c r="A98" s="343"/>
      <c r="B98" s="47">
        <v>5</v>
      </c>
      <c r="C98" s="53" t="s">
        <v>1221</v>
      </c>
      <c r="D98" s="47">
        <f t="shared" si="22"/>
        <v>13</v>
      </c>
      <c r="E98" s="47">
        <f t="shared" si="23"/>
        <v>14</v>
      </c>
      <c r="F98" s="47">
        <v>2</v>
      </c>
      <c r="G98" s="339" t="str">
        <f t="shared" si="20"/>
        <v/>
      </c>
      <c r="H98" s="340"/>
      <c r="I98" s="339">
        <f t="shared" si="21"/>
        <v>0</v>
      </c>
      <c r="J98" s="340"/>
    </row>
    <row r="99" spans="1:14">
      <c r="B99" s="2">
        <v>6</v>
      </c>
      <c r="C99" s="3" t="s">
        <v>1222</v>
      </c>
      <c r="D99" s="2">
        <f t="shared" si="22"/>
        <v>15</v>
      </c>
      <c r="E99" s="2">
        <f t="shared" si="23"/>
        <v>15</v>
      </c>
      <c r="F99" s="2">
        <v>1</v>
      </c>
      <c r="G99" s="2" t="str">
        <f>TRIM(MID($C$91,(D99-1)*3+1,1))</f>
        <v/>
      </c>
      <c r="H99" s="2" t="str">
        <f>TRIM(MID($C$91,(D99-1)*3+2,1))</f>
        <v/>
      </c>
      <c r="I99" s="2">
        <f t="shared" si="21"/>
        <v>0</v>
      </c>
      <c r="J99" s="2">
        <f>HEX2DEC(SUBSTITUTE(H99," ",""))</f>
        <v>0</v>
      </c>
      <c r="L99" s="69" t="str">
        <f>IF(MOD(INT(HEX2BIN(G99,4)/(2^(3-1))),2)=1,CONCATENATE("This is a Retry"),CONCATENATE("This is NOT a Retry"))</f>
        <v>This is NOT a Retry</v>
      </c>
      <c r="M99" s="68"/>
      <c r="N99" s="68"/>
    </row>
    <row r="100" spans="1:14">
      <c r="B100" s="2">
        <v>7</v>
      </c>
      <c r="C100" s="3" t="s">
        <v>1207</v>
      </c>
      <c r="D100" s="2">
        <f t="shared" si="22"/>
        <v>16</v>
      </c>
      <c r="E100" s="2">
        <f t="shared" si="23"/>
        <v>16</v>
      </c>
      <c r="F100" s="2">
        <v>1</v>
      </c>
      <c r="G100" s="2" t="str">
        <f>TRIM(MID($C$91,(D100-1)*3+1,1))</f>
        <v/>
      </c>
      <c r="H100" s="2" t="str">
        <f>TRIM(MID($C$91,D100*3-1,1))</f>
        <v/>
      </c>
      <c r="I100" s="2">
        <f t="shared" si="21"/>
        <v>0</v>
      </c>
      <c r="J100" s="2">
        <f>HEX2DEC(SUBSTITUTE(H100," ",""))</f>
        <v>0</v>
      </c>
      <c r="L100" s="67" t="str">
        <f>IF(ISNA(VLOOKUP(CONCATENATE(G100,H100),'IGS Configuration Values'!$B$115:$D$115,2,FALSE))=TRUE,"Invalid Type/Subtype",VLOOKUP(CONCATENATE(G100,H100),'IGS Configuration Values'!$B$115:$D$115,2,FALSE))</f>
        <v>Invalid Type/Subtype</v>
      </c>
      <c r="M100" s="68"/>
      <c r="N100" s="68"/>
    </row>
    <row r="101" spans="1:14">
      <c r="B101" s="2">
        <v>8</v>
      </c>
      <c r="C101" s="3" t="s">
        <v>1115</v>
      </c>
      <c r="D101" s="2">
        <f t="shared" si="22"/>
        <v>17</v>
      </c>
      <c r="E101" s="2">
        <f t="shared" si="23"/>
        <v>18</v>
      </c>
      <c r="F101" s="2">
        <v>2</v>
      </c>
      <c r="G101" s="207" t="str">
        <f>TRIM(MID($C$91,(D101-1)*3+1,F101*3))</f>
        <v/>
      </c>
      <c r="H101" s="208"/>
      <c r="I101" s="207">
        <f t="shared" si="21"/>
        <v>0</v>
      </c>
      <c r="J101" s="208"/>
    </row>
    <row r="102" spans="1:14">
      <c r="B102" s="2">
        <v>9</v>
      </c>
      <c r="C102" s="3" t="s">
        <v>1119</v>
      </c>
      <c r="D102" s="2">
        <f t="shared" si="22"/>
        <v>19</v>
      </c>
      <c r="E102" s="2">
        <f t="shared" si="23"/>
        <v>19</v>
      </c>
      <c r="F102" s="2">
        <v>1</v>
      </c>
      <c r="G102" s="207" t="str">
        <f>TRIM(MID($C$91,(D102-1)*3+1,F102*3))</f>
        <v/>
      </c>
      <c r="H102" s="208"/>
      <c r="I102" s="207">
        <f t="shared" si="21"/>
        <v>0</v>
      </c>
      <c r="J102" s="208"/>
      <c r="K102" s="51"/>
      <c r="L102" s="67" t="str">
        <f>IF(ISNA(VLOOKUP(CONCATENATE(G102,G103),'IGS Configuration Values'!$B$4:$C$17,2,FALSE))=TRUE,"Invalid Game Type/Index",VLOOKUP(CONCATENATE(G102,G103),'IGS Configuration Values'!$B$4:$C$17,2,FALSE))</f>
        <v>Invalid Game Type/Index</v>
      </c>
      <c r="M102" s="68"/>
      <c r="N102" s="68"/>
    </row>
    <row r="103" spans="1:14">
      <c r="B103" s="2">
        <v>10</v>
      </c>
      <c r="C103" s="3" t="s">
        <v>1120</v>
      </c>
      <c r="D103" s="2">
        <f t="shared" si="22"/>
        <v>20</v>
      </c>
      <c r="E103" s="2">
        <f t="shared" si="23"/>
        <v>20</v>
      </c>
      <c r="F103" s="2">
        <v>1</v>
      </c>
      <c r="G103" s="207" t="str">
        <f>TRIM(MID($C$91,(D103-1)*3+1,F103*3))</f>
        <v/>
      </c>
      <c r="H103" s="208"/>
      <c r="I103" s="207">
        <f t="shared" si="21"/>
        <v>0</v>
      </c>
      <c r="J103" s="208"/>
      <c r="K103" s="51"/>
    </row>
    <row r="104" spans="1:14">
      <c r="B104" s="2">
        <v>11</v>
      </c>
      <c r="C104" s="3" t="s">
        <v>1232</v>
      </c>
      <c r="D104" s="2">
        <f t="shared" si="22"/>
        <v>21</v>
      </c>
      <c r="E104" s="2">
        <f t="shared" si="23"/>
        <v>21</v>
      </c>
      <c r="F104" s="2">
        <v>1</v>
      </c>
      <c r="G104" s="207" t="str">
        <f>TRIM(MID($C$91,(D104-1)*3+1,F104*3))</f>
        <v/>
      </c>
      <c r="H104" s="208"/>
      <c r="I104" s="207">
        <f t="shared" si="21"/>
        <v>0</v>
      </c>
      <c r="J104" s="208"/>
      <c r="K104" s="51"/>
      <c r="L104" s="69" t="str">
        <f>IF(ISNA(VLOOKUP(G104,'IGS Configuration Values'!$B$120:$D$122,2,FALSE))=TRUE,"Invalid Reprint Type",VLOOKUP(G104,'IGS Configuration Values'!$B$120:$D$122,2,FALSE))</f>
        <v>Invalid Reprint Type</v>
      </c>
      <c r="M104" s="68"/>
      <c r="N104" s="68"/>
    </row>
    <row r="105" spans="1:14">
      <c r="B105" s="2">
        <v>13</v>
      </c>
      <c r="C105" s="3" t="s">
        <v>1169</v>
      </c>
      <c r="D105" s="2">
        <f>E104+1</f>
        <v>22</v>
      </c>
      <c r="E105" s="2">
        <f t="shared" si="23"/>
        <v>32</v>
      </c>
      <c r="F105" s="2">
        <v>11</v>
      </c>
      <c r="G105" s="207" t="str">
        <f t="shared" ref="G105:G109" si="24">TRIM(MID($C$91,(D105-1)*3+1,F105*3))</f>
        <v/>
      </c>
      <c r="H105" s="208"/>
      <c r="I105" s="205" t="str">
        <f>CONCATENATE(TEXT(HEX2DEC(MID(G105,1,2)),"00"),TEXT(HEX2DEC(MID(G105,4,2)),"00"),TEXT(HEX2DEC(MID(G105,7,2)),"00")," - ",TEXT(HEX2DEC(MID(G105,10,2)),"00")," - ",TEXT((HEX2DEC(MID(G105,13,2))*2^32+HEX2DEC(SUBSTITUTE(MID(G105,16,11)," ",""))),"0000000000")," - ",TEXT(HEX2DEC(SUBSTITUTE(MID(G105,28,5)," ","")),"000"))</f>
        <v>000000 - 00 - 0000000000 - 000</v>
      </c>
      <c r="J105" s="206"/>
      <c r="K105" s="51" t="s">
        <v>46</v>
      </c>
      <c r="L105" s="29" t="s">
        <v>1145</v>
      </c>
    </row>
    <row r="106" spans="1:14">
      <c r="B106" s="2">
        <v>14</v>
      </c>
      <c r="C106" s="3" t="s">
        <v>1170</v>
      </c>
      <c r="D106" s="2">
        <f t="shared" si="22"/>
        <v>33</v>
      </c>
      <c r="E106" s="2">
        <f t="shared" si="23"/>
        <v>36</v>
      </c>
      <c r="F106" s="2">
        <v>4</v>
      </c>
      <c r="G106" s="207" t="str">
        <f t="shared" si="24"/>
        <v/>
      </c>
      <c r="H106" s="208"/>
      <c r="I106" s="324" t="str">
        <f>CONCATENATE(TEXT(HEX2DEC(SUBSTITUTE(MID(G106,1,6)," ","")),"0000"),"/",TEXT(HEX2DEC(SUBSTITUTE(MID(G106,7,3)," ","")),"00"),"/",TEXT(HEX2DEC(SUBSTITUTE(MID(G106,10,3)," ","")),"00"))</f>
        <v>0000/00/00</v>
      </c>
      <c r="J106" s="325"/>
      <c r="K106" s="51" t="s">
        <v>46</v>
      </c>
      <c r="L106" s="29" t="s">
        <v>1147</v>
      </c>
    </row>
    <row r="107" spans="1:14">
      <c r="B107" s="2">
        <v>15</v>
      </c>
      <c r="C107" s="3" t="s">
        <v>1171</v>
      </c>
      <c r="D107" s="2">
        <f t="shared" si="22"/>
        <v>37</v>
      </c>
      <c r="E107" s="2">
        <f t="shared" si="23"/>
        <v>39</v>
      </c>
      <c r="F107" s="2">
        <v>3</v>
      </c>
      <c r="G107" s="207" t="str">
        <f t="shared" si="24"/>
        <v/>
      </c>
      <c r="H107" s="208"/>
      <c r="I107" s="324" t="str">
        <f>CONCATENATE(TEXT(HEX2DEC(SUBSTITUTE(MID(G107,1,3)," ","")),"00"),":",TEXT(HEX2DEC(SUBSTITUTE(MID(G107,4,3)," ","")),"00"),":",TEXT(HEX2DEC(SUBSTITUTE(MID(G107,7,3)," ","")),"00"))</f>
        <v>00:00:00</v>
      </c>
      <c r="J107" s="325"/>
      <c r="K107" s="51" t="s">
        <v>46</v>
      </c>
      <c r="L107" s="29" t="s">
        <v>1149</v>
      </c>
    </row>
    <row r="108" spans="1:14">
      <c r="B108" s="2">
        <v>16</v>
      </c>
      <c r="C108" s="3" t="s">
        <v>1172</v>
      </c>
      <c r="D108" s="2">
        <f t="shared" si="22"/>
        <v>40</v>
      </c>
      <c r="E108" s="2">
        <f t="shared" si="23"/>
        <v>43</v>
      </c>
      <c r="F108" s="2">
        <v>4</v>
      </c>
      <c r="G108" s="207" t="str">
        <f t="shared" si="24"/>
        <v/>
      </c>
      <c r="H108" s="208"/>
      <c r="I108" s="207">
        <f>HEX2DEC(SUBSTITUTE(G108," ",""))</f>
        <v>0</v>
      </c>
      <c r="J108" s="208"/>
    </row>
    <row r="109" spans="1:14">
      <c r="B109" s="2">
        <v>17</v>
      </c>
      <c r="C109" s="3" t="s">
        <v>1144</v>
      </c>
      <c r="D109" s="2">
        <f t="shared" si="22"/>
        <v>44</v>
      </c>
      <c r="E109" s="2">
        <f t="shared" si="23"/>
        <v>54</v>
      </c>
      <c r="F109" s="2">
        <v>11</v>
      </c>
      <c r="G109" s="207" t="str">
        <f t="shared" si="24"/>
        <v/>
      </c>
      <c r="H109" s="208"/>
      <c r="I109" s="205" t="str">
        <f>CONCATENATE(TEXT(HEX2DEC(MID(G109,1,2)),"00"),TEXT(HEX2DEC(MID(G109,4,2)),"00"),TEXT(HEX2DEC(MID(G109,7,2)),"00")," - ",TEXT(HEX2DEC(MID(G109,10,2)),"00")," - ",TEXT((HEX2DEC(MID(G109,13,2))*2^32+HEX2DEC(SUBSTITUTE(MID(G109,16,11)," ",""))),"0000000000")," - ",TEXT(HEX2DEC(SUBSTITUTE(MID(G109,28,5)," ","")),"000"))</f>
        <v>000000 - 00 - 0000000000 - 000</v>
      </c>
      <c r="J109" s="206"/>
      <c r="K109" s="51" t="s">
        <v>46</v>
      </c>
      <c r="L109" s="29" t="s">
        <v>1145</v>
      </c>
    </row>
  </sheetData>
  <mergeCells count="154">
    <mergeCell ref="L6:N6"/>
    <mergeCell ref="L26:N26"/>
    <mergeCell ref="L55:N55"/>
    <mergeCell ref="L79:N79"/>
    <mergeCell ref="L93:N93"/>
    <mergeCell ref="G9:H9"/>
    <mergeCell ref="I9:J9"/>
    <mergeCell ref="G10:H10"/>
    <mergeCell ref="I10:J10"/>
    <mergeCell ref="G11:H11"/>
    <mergeCell ref="I11:J11"/>
    <mergeCell ref="G7:H7"/>
    <mergeCell ref="I7:J7"/>
    <mergeCell ref="G6:H6"/>
    <mergeCell ref="I6:J6"/>
    <mergeCell ref="G8:H8"/>
    <mergeCell ref="I8:J8"/>
    <mergeCell ref="I14:J14"/>
    <mergeCell ref="I15:J15"/>
    <mergeCell ref="I16:J16"/>
    <mergeCell ref="I17:J17"/>
    <mergeCell ref="I18:J18"/>
    <mergeCell ref="G14:H14"/>
    <mergeCell ref="G15:H15"/>
    <mergeCell ref="G16:H16"/>
    <mergeCell ref="G17:H17"/>
    <mergeCell ref="G29:H29"/>
    <mergeCell ref="I29:J29"/>
    <mergeCell ref="G30:H30"/>
    <mergeCell ref="I30:J30"/>
    <mergeCell ref="G31:H31"/>
    <mergeCell ref="I31:J31"/>
    <mergeCell ref="G26:H26"/>
    <mergeCell ref="I26:J26"/>
    <mergeCell ref="G27:H27"/>
    <mergeCell ref="I27:J27"/>
    <mergeCell ref="G28:H28"/>
    <mergeCell ref="I28:J28"/>
    <mergeCell ref="G36:H36"/>
    <mergeCell ref="I36:J36"/>
    <mergeCell ref="G37:H37"/>
    <mergeCell ref="G38:H38"/>
    <mergeCell ref="G39:H39"/>
    <mergeCell ref="G40:H40"/>
    <mergeCell ref="G34:H34"/>
    <mergeCell ref="I34:J34"/>
    <mergeCell ref="G35:H35"/>
    <mergeCell ref="I35:J35"/>
    <mergeCell ref="G42:H42"/>
    <mergeCell ref="I42:J42"/>
    <mergeCell ref="G43:H43"/>
    <mergeCell ref="I43:J43"/>
    <mergeCell ref="G44:H44"/>
    <mergeCell ref="I44:J44"/>
    <mergeCell ref="G41:H41"/>
    <mergeCell ref="I37:J37"/>
    <mergeCell ref="I38:J38"/>
    <mergeCell ref="I39:J39"/>
    <mergeCell ref="I40:J40"/>
    <mergeCell ref="I41:J41"/>
    <mergeCell ref="G55:H55"/>
    <mergeCell ref="I55:J55"/>
    <mergeCell ref="G56:H56"/>
    <mergeCell ref="I56:J56"/>
    <mergeCell ref="G57:H57"/>
    <mergeCell ref="I57:J57"/>
    <mergeCell ref="G45:H45"/>
    <mergeCell ref="I45:J45"/>
    <mergeCell ref="G46:H46"/>
    <mergeCell ref="I46:J46"/>
    <mergeCell ref="G47:H47"/>
    <mergeCell ref="I47:J47"/>
    <mergeCell ref="G63:H63"/>
    <mergeCell ref="I63:J63"/>
    <mergeCell ref="G64:H64"/>
    <mergeCell ref="I64:J64"/>
    <mergeCell ref="G58:H58"/>
    <mergeCell ref="I58:J58"/>
    <mergeCell ref="G59:H59"/>
    <mergeCell ref="I59:J59"/>
    <mergeCell ref="G60:H60"/>
    <mergeCell ref="I60:J60"/>
    <mergeCell ref="G68:H68"/>
    <mergeCell ref="I68:J68"/>
    <mergeCell ref="G69:H69"/>
    <mergeCell ref="I69:J69"/>
    <mergeCell ref="G70:H70"/>
    <mergeCell ref="I70:J70"/>
    <mergeCell ref="G65:H65"/>
    <mergeCell ref="I65:J65"/>
    <mergeCell ref="G66:H66"/>
    <mergeCell ref="I66:J66"/>
    <mergeCell ref="G67:H67"/>
    <mergeCell ref="I67:J67"/>
    <mergeCell ref="G85:H85"/>
    <mergeCell ref="I85:J85"/>
    <mergeCell ref="G71:H71"/>
    <mergeCell ref="I71:J71"/>
    <mergeCell ref="G72:H72"/>
    <mergeCell ref="I72:J72"/>
    <mergeCell ref="G73:H73"/>
    <mergeCell ref="I73:J73"/>
    <mergeCell ref="D78:H78"/>
    <mergeCell ref="I82:J82"/>
    <mergeCell ref="G83:H83"/>
    <mergeCell ref="I83:J83"/>
    <mergeCell ref="G74:H74"/>
    <mergeCell ref="I74:J74"/>
    <mergeCell ref="G75:H75"/>
    <mergeCell ref="I75:J75"/>
    <mergeCell ref="G79:H79"/>
    <mergeCell ref="I79:J79"/>
    <mergeCell ref="G94:H94"/>
    <mergeCell ref="I94:J94"/>
    <mergeCell ref="G95:H95"/>
    <mergeCell ref="I95:J95"/>
    <mergeCell ref="G96:H96"/>
    <mergeCell ref="I96:J96"/>
    <mergeCell ref="A7:A11"/>
    <mergeCell ref="A27:A31"/>
    <mergeCell ref="A56:A60"/>
    <mergeCell ref="A94:A98"/>
    <mergeCell ref="G93:H93"/>
    <mergeCell ref="I93:J93"/>
    <mergeCell ref="G80:H80"/>
    <mergeCell ref="I80:J80"/>
    <mergeCell ref="G81:H81"/>
    <mergeCell ref="I81:J81"/>
    <mergeCell ref="G97:H97"/>
    <mergeCell ref="I97:J97"/>
    <mergeCell ref="G98:H98"/>
    <mergeCell ref="I98:J98"/>
    <mergeCell ref="A82:A85"/>
    <mergeCell ref="G82:H82"/>
    <mergeCell ref="G84:H84"/>
    <mergeCell ref="I84:J84"/>
    <mergeCell ref="G101:H101"/>
    <mergeCell ref="I101:J101"/>
    <mergeCell ref="G102:H102"/>
    <mergeCell ref="I102:J102"/>
    <mergeCell ref="G103:H103"/>
    <mergeCell ref="I103:J103"/>
    <mergeCell ref="G108:H108"/>
    <mergeCell ref="G109:H109"/>
    <mergeCell ref="I105:J105"/>
    <mergeCell ref="I106:J106"/>
    <mergeCell ref="I107:J107"/>
    <mergeCell ref="I108:J108"/>
    <mergeCell ref="I109:J109"/>
    <mergeCell ref="G104:H104"/>
    <mergeCell ref="I104:J104"/>
    <mergeCell ref="G105:H105"/>
    <mergeCell ref="G106:H106"/>
    <mergeCell ref="G107:H107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olha9">
    <tabColor theme="9" tint="-0.249977111117893"/>
  </sheetPr>
  <dimension ref="A1:AJD66"/>
  <sheetViews>
    <sheetView workbookViewId="0">
      <selection activeCell="C28" sqref="C28"/>
    </sheetView>
  </sheetViews>
  <sheetFormatPr defaultRowHeight="15"/>
  <cols>
    <col min="1" max="1" width="2.85546875" customWidth="1"/>
    <col min="2" max="2" width="17.85546875" customWidth="1"/>
    <col min="3" max="3" width="31" customWidth="1"/>
    <col min="4" max="6" width="4.7109375" customWidth="1"/>
    <col min="7" max="8" width="15.140625" customWidth="1"/>
    <col min="9" max="9" width="21.42578125" bestFit="1" customWidth="1"/>
    <col min="10" max="10" width="24.85546875" bestFit="1" customWidth="1"/>
    <col min="11" max="11" width="3.7109375" customWidth="1"/>
    <col min="12" max="12" width="9" style="29" customWidth="1"/>
    <col min="13" max="13" width="24.7109375" bestFit="1" customWidth="1"/>
    <col min="14" max="14" width="8.140625" customWidth="1"/>
    <col min="15" max="16" width="4.7109375" customWidth="1"/>
    <col min="17" max="20" width="10.7109375" customWidth="1"/>
    <col min="21" max="21" width="3.7109375" customWidth="1"/>
    <col min="22" max="22" width="9" customWidth="1"/>
    <col min="23" max="23" width="24.7109375" bestFit="1" customWidth="1"/>
    <col min="24" max="24" width="8.140625" customWidth="1"/>
    <col min="25" max="26" width="4.7109375" customWidth="1"/>
    <col min="27" max="30" width="10.7109375" customWidth="1"/>
    <col min="31" max="31" width="3.7109375" customWidth="1"/>
    <col min="32" max="32" width="9" customWidth="1"/>
    <col min="33" max="33" width="24.7109375" bestFit="1" customWidth="1"/>
    <col min="34" max="34" width="8.140625" customWidth="1"/>
    <col min="35" max="36" width="4.7109375" customWidth="1"/>
    <col min="37" max="40" width="10.7109375" customWidth="1"/>
    <col min="41" max="41" width="3.7109375" customWidth="1"/>
    <col min="42" max="42" width="9" customWidth="1"/>
    <col min="43" max="43" width="24.7109375" bestFit="1" customWidth="1"/>
    <col min="44" max="44" width="8.140625" customWidth="1"/>
    <col min="45" max="46" width="4.7109375" customWidth="1"/>
    <col min="47" max="50" width="10.7109375" customWidth="1"/>
    <col min="51" max="51" width="3.7109375" customWidth="1"/>
    <col min="52" max="52" width="9" customWidth="1"/>
    <col min="53" max="53" width="24.7109375" bestFit="1" customWidth="1"/>
    <col min="54" max="54" width="8.140625" customWidth="1"/>
    <col min="55" max="56" width="4.7109375" customWidth="1"/>
    <col min="57" max="60" width="10.7109375" customWidth="1"/>
    <col min="61" max="61" width="3.7109375" customWidth="1"/>
    <col min="62" max="62" width="9" customWidth="1"/>
    <col min="63" max="63" width="24.7109375" bestFit="1" customWidth="1"/>
    <col min="64" max="64" width="8.140625" customWidth="1"/>
    <col min="65" max="66" width="4.7109375" customWidth="1"/>
    <col min="67" max="70" width="10.7109375" customWidth="1"/>
    <col min="71" max="71" width="3.7109375" customWidth="1"/>
    <col min="72" max="72" width="9" customWidth="1"/>
    <col min="73" max="73" width="24.7109375" bestFit="1" customWidth="1"/>
    <col min="74" max="74" width="8.140625" customWidth="1"/>
    <col min="75" max="76" width="4.7109375" customWidth="1"/>
    <col min="77" max="80" width="10.7109375" customWidth="1"/>
    <col min="81" max="81" width="3.7109375" customWidth="1"/>
    <col min="82" max="82" width="9" customWidth="1"/>
    <col min="83" max="83" width="24.7109375" bestFit="1" customWidth="1"/>
    <col min="84" max="84" width="8.140625" customWidth="1"/>
    <col min="85" max="86" width="4.7109375" customWidth="1"/>
    <col min="87" max="90" width="10.7109375" customWidth="1"/>
    <col min="91" max="91" width="3.7109375" customWidth="1"/>
    <col min="92" max="92" width="9" customWidth="1"/>
    <col min="93" max="93" width="24.7109375" bestFit="1" customWidth="1"/>
    <col min="94" max="94" width="8.140625" customWidth="1"/>
    <col min="95" max="96" width="4.7109375" customWidth="1"/>
    <col min="97" max="100" width="10.7109375" customWidth="1"/>
    <col min="101" max="101" width="3.7109375" customWidth="1"/>
    <col min="102" max="102" width="9" customWidth="1"/>
    <col min="103" max="103" width="24.7109375" bestFit="1" customWidth="1"/>
    <col min="104" max="104" width="8.140625" customWidth="1"/>
    <col min="105" max="106" width="4.7109375" customWidth="1"/>
    <col min="107" max="110" width="10.7109375" customWidth="1"/>
    <col min="111" max="111" width="3.7109375" customWidth="1"/>
    <col min="112" max="112" width="9" customWidth="1"/>
    <col min="113" max="113" width="24.7109375" bestFit="1" customWidth="1"/>
    <col min="114" max="114" width="8.140625" customWidth="1"/>
    <col min="115" max="116" width="4.7109375" customWidth="1"/>
    <col min="117" max="120" width="10.7109375" customWidth="1"/>
    <col min="121" max="121" width="3.7109375" customWidth="1"/>
    <col min="122" max="122" width="9" customWidth="1"/>
    <col min="123" max="123" width="24.7109375" bestFit="1" customWidth="1"/>
    <col min="124" max="124" width="8.140625" customWidth="1"/>
    <col min="125" max="126" width="4.7109375" customWidth="1"/>
    <col min="127" max="130" width="10.7109375" customWidth="1"/>
    <col min="131" max="131" width="3.7109375" customWidth="1"/>
    <col min="132" max="132" width="9" customWidth="1"/>
    <col min="133" max="133" width="24.7109375" bestFit="1" customWidth="1"/>
    <col min="134" max="134" width="8.140625" customWidth="1"/>
    <col min="135" max="136" width="4.7109375" customWidth="1"/>
    <col min="137" max="140" width="10.7109375" customWidth="1"/>
    <col min="141" max="141" width="3.7109375" customWidth="1"/>
    <col min="142" max="142" width="9" customWidth="1"/>
    <col min="143" max="143" width="24.7109375" bestFit="1" customWidth="1"/>
    <col min="144" max="144" width="8.140625" customWidth="1"/>
    <col min="145" max="146" width="4.7109375" customWidth="1"/>
    <col min="147" max="150" width="10.7109375" customWidth="1"/>
    <col min="151" max="151" width="3.7109375" customWidth="1"/>
    <col min="152" max="152" width="9" customWidth="1"/>
    <col min="153" max="153" width="24.7109375" bestFit="1" customWidth="1"/>
    <col min="154" max="154" width="8.140625" customWidth="1"/>
    <col min="155" max="156" width="4.7109375" customWidth="1"/>
    <col min="157" max="160" width="10.7109375" customWidth="1"/>
    <col min="161" max="161" width="3.7109375" customWidth="1"/>
    <col min="162" max="162" width="9" customWidth="1"/>
    <col min="163" max="163" width="24.7109375" bestFit="1" customWidth="1"/>
    <col min="164" max="164" width="8.140625" customWidth="1"/>
    <col min="165" max="166" width="4.7109375" customWidth="1"/>
    <col min="167" max="170" width="10.7109375" customWidth="1"/>
    <col min="171" max="171" width="3.7109375" customWidth="1"/>
    <col min="172" max="172" width="9" customWidth="1"/>
    <col min="173" max="173" width="24.7109375" bestFit="1" customWidth="1"/>
    <col min="174" max="174" width="8.140625" customWidth="1"/>
    <col min="175" max="176" width="4.7109375" customWidth="1"/>
    <col min="177" max="180" width="10.7109375" customWidth="1"/>
    <col min="181" max="181" width="3.7109375" customWidth="1"/>
    <col min="182" max="182" width="9" customWidth="1"/>
    <col min="183" max="183" width="24.7109375" bestFit="1" customWidth="1"/>
    <col min="184" max="184" width="8.140625" customWidth="1"/>
    <col min="185" max="186" width="4.7109375" customWidth="1"/>
    <col min="187" max="190" width="10.7109375" customWidth="1"/>
    <col min="191" max="191" width="3.7109375" customWidth="1"/>
    <col min="192" max="192" width="9" customWidth="1"/>
    <col min="193" max="193" width="24.7109375" bestFit="1" customWidth="1"/>
    <col min="194" max="194" width="8.140625" customWidth="1"/>
    <col min="195" max="196" width="4.7109375" customWidth="1"/>
    <col min="197" max="200" width="10.7109375" customWidth="1"/>
    <col min="201" max="201" width="3.7109375" customWidth="1"/>
    <col min="202" max="202" width="9" customWidth="1"/>
    <col min="203" max="203" width="24.7109375" bestFit="1" customWidth="1"/>
    <col min="204" max="204" width="8.140625" customWidth="1"/>
    <col min="205" max="206" width="4.7109375" customWidth="1"/>
    <col min="207" max="210" width="10.7109375" customWidth="1"/>
    <col min="211" max="211" width="3.7109375" customWidth="1"/>
    <col min="212" max="212" width="9" customWidth="1"/>
    <col min="213" max="213" width="24.7109375" bestFit="1" customWidth="1"/>
    <col min="214" max="214" width="8.140625" customWidth="1"/>
    <col min="215" max="216" width="4.7109375" customWidth="1"/>
    <col min="217" max="220" width="10.7109375" customWidth="1"/>
    <col min="221" max="221" width="3.7109375" customWidth="1"/>
    <col min="222" max="222" width="9" customWidth="1"/>
    <col min="223" max="223" width="24.7109375" bestFit="1" customWidth="1"/>
    <col min="224" max="224" width="8.140625" customWidth="1"/>
    <col min="225" max="226" width="4.7109375" customWidth="1"/>
    <col min="227" max="230" width="10.7109375" customWidth="1"/>
    <col min="231" max="231" width="3.7109375" customWidth="1"/>
    <col min="232" max="232" width="9" customWidth="1"/>
    <col min="233" max="233" width="24.7109375" bestFit="1" customWidth="1"/>
    <col min="234" max="234" width="8.140625" customWidth="1"/>
    <col min="235" max="236" width="4.7109375" customWidth="1"/>
    <col min="237" max="240" width="10.7109375" customWidth="1"/>
    <col min="241" max="241" width="3.7109375" customWidth="1"/>
    <col min="242" max="242" width="9" customWidth="1"/>
    <col min="243" max="243" width="24.7109375" bestFit="1" customWidth="1"/>
    <col min="244" max="244" width="8.140625" customWidth="1"/>
    <col min="245" max="246" width="4.7109375" customWidth="1"/>
    <col min="247" max="250" width="10.7109375" customWidth="1"/>
    <col min="251" max="251" width="3.7109375" customWidth="1"/>
    <col min="252" max="252" width="9" customWidth="1"/>
    <col min="253" max="253" width="24.7109375" bestFit="1" customWidth="1"/>
    <col min="254" max="254" width="8.140625" customWidth="1"/>
    <col min="255" max="256" width="4.7109375" customWidth="1"/>
    <col min="257" max="260" width="10.7109375" customWidth="1"/>
    <col min="261" max="261" width="3.7109375" customWidth="1"/>
    <col min="262" max="262" width="9" customWidth="1"/>
    <col min="263" max="263" width="24.7109375" bestFit="1" customWidth="1"/>
    <col min="264" max="264" width="8.140625" customWidth="1"/>
    <col min="265" max="266" width="4.7109375" customWidth="1"/>
    <col min="267" max="270" width="10.7109375" customWidth="1"/>
    <col min="271" max="271" width="3.7109375" customWidth="1"/>
    <col min="272" max="272" width="9" customWidth="1"/>
    <col min="273" max="273" width="24.7109375" bestFit="1" customWidth="1"/>
    <col min="274" max="274" width="8.140625" customWidth="1"/>
    <col min="275" max="276" width="4.7109375" customWidth="1"/>
    <col min="277" max="280" width="10.7109375" customWidth="1"/>
    <col min="281" max="281" width="3.7109375" customWidth="1"/>
    <col min="282" max="282" width="9" customWidth="1"/>
    <col min="283" max="283" width="24.7109375" bestFit="1" customWidth="1"/>
    <col min="284" max="284" width="8.140625" customWidth="1"/>
    <col min="285" max="286" width="4.7109375" customWidth="1"/>
    <col min="287" max="290" width="10.7109375" customWidth="1"/>
    <col min="291" max="291" width="3.7109375" customWidth="1"/>
    <col min="292" max="292" width="9" customWidth="1"/>
    <col min="293" max="293" width="24.7109375" bestFit="1" customWidth="1"/>
    <col min="294" max="294" width="8.140625" customWidth="1"/>
    <col min="295" max="296" width="4.7109375" customWidth="1"/>
    <col min="297" max="300" width="10.7109375" customWidth="1"/>
    <col min="301" max="301" width="3.7109375" customWidth="1"/>
    <col min="302" max="302" width="9" customWidth="1"/>
    <col min="303" max="303" width="24.7109375" bestFit="1" customWidth="1"/>
    <col min="304" max="304" width="8.140625" customWidth="1"/>
    <col min="305" max="306" width="4.7109375" customWidth="1"/>
    <col min="307" max="310" width="10.7109375" customWidth="1"/>
    <col min="311" max="311" width="3.7109375" customWidth="1"/>
    <col min="312" max="312" width="9" customWidth="1"/>
    <col min="313" max="313" width="24.7109375" bestFit="1" customWidth="1"/>
    <col min="314" max="314" width="8.140625" customWidth="1"/>
    <col min="315" max="316" width="4.7109375" customWidth="1"/>
    <col min="317" max="320" width="10.7109375" customWidth="1"/>
    <col min="321" max="321" width="3.7109375" customWidth="1"/>
    <col min="322" max="322" width="9" customWidth="1"/>
    <col min="323" max="323" width="24.7109375" bestFit="1" customWidth="1"/>
    <col min="324" max="324" width="8.140625" customWidth="1"/>
    <col min="325" max="326" width="4.7109375" customWidth="1"/>
    <col min="327" max="330" width="10.7109375" customWidth="1"/>
    <col min="331" max="331" width="3.7109375" customWidth="1"/>
    <col min="332" max="332" width="9" customWidth="1"/>
    <col min="333" max="333" width="24.7109375" bestFit="1" customWidth="1"/>
    <col min="334" max="334" width="8.140625" customWidth="1"/>
    <col min="335" max="336" width="4.7109375" customWidth="1"/>
    <col min="337" max="340" width="10.7109375" customWidth="1"/>
    <col min="341" max="341" width="3.7109375" customWidth="1"/>
    <col min="342" max="342" width="9" customWidth="1"/>
    <col min="343" max="343" width="24.7109375" bestFit="1" customWidth="1"/>
    <col min="344" max="344" width="8.140625" customWidth="1"/>
    <col min="345" max="346" width="4.7109375" customWidth="1"/>
    <col min="347" max="350" width="10.7109375" customWidth="1"/>
    <col min="351" max="351" width="3.7109375" customWidth="1"/>
    <col min="352" max="352" width="9" customWidth="1"/>
    <col min="353" max="353" width="24.7109375" bestFit="1" customWidth="1"/>
    <col min="354" max="354" width="8.140625" customWidth="1"/>
    <col min="355" max="356" width="4.7109375" customWidth="1"/>
    <col min="357" max="360" width="10.7109375" customWidth="1"/>
    <col min="361" max="361" width="3.7109375" customWidth="1"/>
    <col min="362" max="362" width="9" customWidth="1"/>
    <col min="363" max="363" width="24.7109375" bestFit="1" customWidth="1"/>
    <col min="364" max="364" width="8.140625" customWidth="1"/>
    <col min="365" max="366" width="4.7109375" customWidth="1"/>
    <col min="367" max="370" width="10.7109375" customWidth="1"/>
    <col min="371" max="371" width="3.7109375" customWidth="1"/>
    <col min="372" max="372" width="9" customWidth="1"/>
    <col min="373" max="373" width="24.7109375" bestFit="1" customWidth="1"/>
    <col min="374" max="374" width="8.140625" customWidth="1"/>
    <col min="375" max="376" width="4.7109375" customWidth="1"/>
    <col min="377" max="380" width="10.7109375" customWidth="1"/>
    <col min="381" max="381" width="3.7109375" customWidth="1"/>
    <col min="382" max="382" width="9" customWidth="1"/>
    <col min="383" max="383" width="24.7109375" bestFit="1" customWidth="1"/>
    <col min="384" max="384" width="8.140625" customWidth="1"/>
    <col min="385" max="386" width="4.7109375" customWidth="1"/>
    <col min="387" max="390" width="10.7109375" customWidth="1"/>
    <col min="391" max="391" width="3.7109375" customWidth="1"/>
    <col min="392" max="392" width="9" customWidth="1"/>
    <col min="393" max="393" width="24.7109375" bestFit="1" customWidth="1"/>
    <col min="394" max="394" width="8.140625" customWidth="1"/>
    <col min="395" max="396" width="4.7109375" customWidth="1"/>
    <col min="397" max="400" width="10.7109375" customWidth="1"/>
    <col min="401" max="401" width="3.7109375" customWidth="1"/>
    <col min="402" max="402" width="9" customWidth="1"/>
    <col min="403" max="403" width="24.7109375" bestFit="1" customWidth="1"/>
    <col min="404" max="404" width="8.140625" customWidth="1"/>
    <col min="405" max="406" width="4.7109375" customWidth="1"/>
    <col min="407" max="410" width="10.7109375" customWidth="1"/>
    <col min="411" max="411" width="3.7109375" customWidth="1"/>
    <col min="412" max="412" width="9" customWidth="1"/>
    <col min="413" max="413" width="24.7109375" bestFit="1" customWidth="1"/>
    <col min="414" max="414" width="8.140625" customWidth="1"/>
    <col min="415" max="416" width="4.7109375" customWidth="1"/>
    <col min="417" max="420" width="10.7109375" customWidth="1"/>
    <col min="421" max="421" width="3.7109375" customWidth="1"/>
    <col min="422" max="422" width="9" customWidth="1"/>
    <col min="423" max="423" width="24.7109375" bestFit="1" customWidth="1"/>
    <col min="424" max="424" width="8.140625" customWidth="1"/>
    <col min="425" max="426" width="4.7109375" customWidth="1"/>
    <col min="427" max="430" width="10.7109375" customWidth="1"/>
    <col min="431" max="431" width="3.7109375" customWidth="1"/>
    <col min="432" max="432" width="9" customWidth="1"/>
    <col min="433" max="433" width="24.7109375" bestFit="1" customWidth="1"/>
    <col min="434" max="434" width="8.140625" customWidth="1"/>
    <col min="435" max="436" width="4.7109375" customWidth="1"/>
    <col min="437" max="440" width="10.7109375" customWidth="1"/>
    <col min="441" max="441" width="3.7109375" customWidth="1"/>
    <col min="442" max="442" width="9" customWidth="1"/>
    <col min="443" max="443" width="24.7109375" bestFit="1" customWidth="1"/>
    <col min="444" max="444" width="8.140625" customWidth="1"/>
    <col min="445" max="446" width="4.7109375" customWidth="1"/>
    <col min="447" max="450" width="10.7109375" customWidth="1"/>
    <col min="451" max="451" width="3.7109375" customWidth="1"/>
    <col min="452" max="452" width="9" customWidth="1"/>
    <col min="453" max="453" width="24.7109375" bestFit="1" customWidth="1"/>
    <col min="454" max="454" width="8.140625" customWidth="1"/>
    <col min="455" max="456" width="4.7109375" customWidth="1"/>
    <col min="457" max="460" width="10.7109375" customWidth="1"/>
    <col min="461" max="461" width="3.7109375" customWidth="1"/>
    <col min="462" max="462" width="9" customWidth="1"/>
    <col min="463" max="463" width="24.7109375" bestFit="1" customWidth="1"/>
    <col min="464" max="464" width="8.140625" customWidth="1"/>
    <col min="465" max="466" width="4.7109375" customWidth="1"/>
    <col min="467" max="470" width="10.7109375" customWidth="1"/>
    <col min="471" max="471" width="3.7109375" customWidth="1"/>
    <col min="472" max="472" width="9" customWidth="1"/>
    <col min="473" max="473" width="24.7109375" bestFit="1" customWidth="1"/>
    <col min="474" max="474" width="8.140625" customWidth="1"/>
    <col min="475" max="476" width="4.7109375" customWidth="1"/>
    <col min="477" max="480" width="10.7109375" customWidth="1"/>
    <col min="481" max="481" width="3.7109375" customWidth="1"/>
    <col min="482" max="482" width="9" customWidth="1"/>
    <col min="483" max="483" width="24.7109375" bestFit="1" customWidth="1"/>
    <col min="484" max="484" width="8.140625" customWidth="1"/>
    <col min="485" max="486" width="4.7109375" customWidth="1"/>
    <col min="487" max="490" width="10.7109375" customWidth="1"/>
    <col min="491" max="491" width="3.7109375" customWidth="1"/>
    <col min="492" max="492" width="9" customWidth="1"/>
    <col min="493" max="493" width="24.7109375" bestFit="1" customWidth="1"/>
    <col min="494" max="494" width="8.140625" customWidth="1"/>
    <col min="495" max="496" width="4.7109375" customWidth="1"/>
    <col min="497" max="500" width="10.7109375" customWidth="1"/>
    <col min="501" max="501" width="3.7109375" customWidth="1"/>
    <col min="502" max="502" width="9" customWidth="1"/>
    <col min="503" max="503" width="24.7109375" bestFit="1" customWidth="1"/>
    <col min="504" max="504" width="8.140625" customWidth="1"/>
    <col min="505" max="506" width="4.7109375" customWidth="1"/>
    <col min="507" max="510" width="10.7109375" customWidth="1"/>
    <col min="511" max="511" width="3.7109375" customWidth="1"/>
    <col min="512" max="512" width="9" customWidth="1"/>
    <col min="513" max="513" width="24.7109375" bestFit="1" customWidth="1"/>
    <col min="514" max="514" width="8.140625" customWidth="1"/>
    <col min="515" max="516" width="4.7109375" customWidth="1"/>
    <col min="517" max="520" width="10.7109375" customWidth="1"/>
    <col min="521" max="521" width="3.7109375" customWidth="1"/>
    <col min="522" max="522" width="9" customWidth="1"/>
    <col min="523" max="523" width="24.7109375" bestFit="1" customWidth="1"/>
    <col min="524" max="524" width="8.140625" customWidth="1"/>
    <col min="525" max="526" width="4.7109375" customWidth="1"/>
    <col min="527" max="530" width="10.7109375" customWidth="1"/>
    <col min="531" max="531" width="3.7109375" customWidth="1"/>
    <col min="532" max="532" width="9" customWidth="1"/>
    <col min="533" max="533" width="24.7109375" bestFit="1" customWidth="1"/>
    <col min="534" max="534" width="8.140625" customWidth="1"/>
    <col min="535" max="536" width="4.7109375" customWidth="1"/>
    <col min="537" max="540" width="10.7109375" customWidth="1"/>
    <col min="541" max="541" width="3.7109375" customWidth="1"/>
    <col min="542" max="542" width="9" customWidth="1"/>
    <col min="543" max="543" width="24.7109375" bestFit="1" customWidth="1"/>
    <col min="544" max="544" width="8.140625" customWidth="1"/>
    <col min="545" max="546" width="4.7109375" customWidth="1"/>
    <col min="547" max="550" width="10.7109375" customWidth="1"/>
    <col min="551" max="551" width="3.7109375" customWidth="1"/>
    <col min="552" max="552" width="9" customWidth="1"/>
    <col min="553" max="553" width="24.7109375" bestFit="1" customWidth="1"/>
    <col min="554" max="554" width="8.140625" customWidth="1"/>
    <col min="555" max="556" width="4.7109375" customWidth="1"/>
    <col min="557" max="560" width="10.7109375" customWidth="1"/>
    <col min="561" max="561" width="3.7109375" customWidth="1"/>
    <col min="562" max="562" width="9" customWidth="1"/>
    <col min="563" max="563" width="24.7109375" bestFit="1" customWidth="1"/>
    <col min="564" max="564" width="8.140625" customWidth="1"/>
    <col min="565" max="566" width="4.7109375" customWidth="1"/>
    <col min="567" max="570" width="10.7109375" customWidth="1"/>
    <col min="571" max="571" width="3.7109375" customWidth="1"/>
    <col min="572" max="572" width="9" customWidth="1"/>
    <col min="573" max="573" width="24.7109375" bestFit="1" customWidth="1"/>
    <col min="574" max="574" width="8.140625" customWidth="1"/>
    <col min="575" max="576" width="4.7109375" customWidth="1"/>
    <col min="577" max="580" width="10.7109375" customWidth="1"/>
    <col min="581" max="581" width="3.7109375" customWidth="1"/>
    <col min="582" max="582" width="9" customWidth="1"/>
    <col min="583" max="583" width="24.7109375" bestFit="1" customWidth="1"/>
    <col min="584" max="584" width="8.140625" customWidth="1"/>
    <col min="585" max="586" width="4.7109375" customWidth="1"/>
    <col min="587" max="590" width="10.7109375" customWidth="1"/>
    <col min="591" max="591" width="3.7109375" customWidth="1"/>
    <col min="592" max="592" width="9" customWidth="1"/>
    <col min="593" max="593" width="24.7109375" bestFit="1" customWidth="1"/>
    <col min="594" max="594" width="8.140625" customWidth="1"/>
    <col min="595" max="596" width="4.7109375" customWidth="1"/>
    <col min="597" max="600" width="10.7109375" customWidth="1"/>
    <col min="601" max="601" width="3.7109375" customWidth="1"/>
    <col min="602" max="602" width="9" customWidth="1"/>
    <col min="603" max="603" width="24.7109375" bestFit="1" customWidth="1"/>
    <col min="604" max="604" width="8.140625" customWidth="1"/>
    <col min="605" max="606" width="4.7109375" customWidth="1"/>
    <col min="607" max="610" width="10.7109375" customWidth="1"/>
    <col min="611" max="611" width="3.7109375" customWidth="1"/>
    <col min="612" max="612" width="9" customWidth="1"/>
    <col min="613" max="613" width="24.7109375" bestFit="1" customWidth="1"/>
    <col min="614" max="614" width="8.140625" customWidth="1"/>
    <col min="615" max="616" width="4.7109375" customWidth="1"/>
    <col min="617" max="620" width="10.7109375" customWidth="1"/>
    <col min="621" max="621" width="3.7109375" customWidth="1"/>
    <col min="622" max="622" width="9" customWidth="1"/>
    <col min="623" max="623" width="24.7109375" bestFit="1" customWidth="1"/>
    <col min="624" max="624" width="8.140625" customWidth="1"/>
    <col min="625" max="626" width="4.7109375" customWidth="1"/>
    <col min="627" max="630" width="10.7109375" customWidth="1"/>
    <col min="631" max="631" width="3.7109375" customWidth="1"/>
    <col min="632" max="632" width="9" customWidth="1"/>
    <col min="633" max="633" width="24.7109375" bestFit="1" customWidth="1"/>
    <col min="634" max="634" width="8.140625" customWidth="1"/>
    <col min="635" max="636" width="4.7109375" customWidth="1"/>
    <col min="637" max="640" width="10.7109375" customWidth="1"/>
    <col min="641" max="641" width="3.7109375" customWidth="1"/>
    <col min="642" max="642" width="9" customWidth="1"/>
    <col min="643" max="643" width="24.7109375" bestFit="1" customWidth="1"/>
    <col min="644" max="644" width="8.140625" customWidth="1"/>
    <col min="645" max="646" width="4.7109375" customWidth="1"/>
    <col min="647" max="650" width="10.7109375" customWidth="1"/>
    <col min="651" max="651" width="3.7109375" customWidth="1"/>
    <col min="652" max="652" width="9" customWidth="1"/>
    <col min="653" max="653" width="24.7109375" bestFit="1" customWidth="1"/>
    <col min="654" max="654" width="8.140625" customWidth="1"/>
    <col min="655" max="656" width="4.7109375" customWidth="1"/>
    <col min="657" max="660" width="10.7109375" customWidth="1"/>
    <col min="661" max="661" width="3.7109375" customWidth="1"/>
    <col min="662" max="662" width="9" customWidth="1"/>
    <col min="663" max="663" width="24.7109375" bestFit="1" customWidth="1"/>
    <col min="664" max="664" width="8.140625" customWidth="1"/>
    <col min="665" max="666" width="4.7109375" customWidth="1"/>
    <col min="667" max="670" width="10.7109375" customWidth="1"/>
    <col min="671" max="671" width="3.7109375" customWidth="1"/>
    <col min="672" max="672" width="9" customWidth="1"/>
    <col min="673" max="673" width="24.7109375" bestFit="1" customWidth="1"/>
    <col min="674" max="674" width="8.140625" customWidth="1"/>
    <col min="675" max="676" width="4.7109375" customWidth="1"/>
    <col min="677" max="680" width="10.7109375" customWidth="1"/>
    <col min="681" max="681" width="3.7109375" customWidth="1"/>
    <col min="682" max="682" width="9" customWidth="1"/>
    <col min="683" max="683" width="24.7109375" bestFit="1" customWidth="1"/>
    <col min="684" max="684" width="8.140625" customWidth="1"/>
    <col min="685" max="686" width="4.7109375" customWidth="1"/>
    <col min="687" max="690" width="10.7109375" customWidth="1"/>
    <col min="691" max="691" width="3.7109375" customWidth="1"/>
    <col min="692" max="692" width="9" customWidth="1"/>
    <col min="693" max="693" width="24.7109375" bestFit="1" customWidth="1"/>
    <col min="694" max="694" width="8.140625" customWidth="1"/>
    <col min="695" max="696" width="4.7109375" customWidth="1"/>
    <col min="697" max="700" width="10.7109375" customWidth="1"/>
    <col min="701" max="701" width="3.7109375" customWidth="1"/>
    <col min="702" max="702" width="9" customWidth="1"/>
    <col min="703" max="703" width="24.7109375" bestFit="1" customWidth="1"/>
    <col min="704" max="704" width="8.140625" customWidth="1"/>
    <col min="705" max="706" width="4.7109375" customWidth="1"/>
    <col min="707" max="710" width="10.7109375" customWidth="1"/>
    <col min="711" max="711" width="3.7109375" customWidth="1"/>
    <col min="712" max="712" width="9" customWidth="1"/>
    <col min="713" max="713" width="24.7109375" bestFit="1" customWidth="1"/>
    <col min="714" max="714" width="8.140625" customWidth="1"/>
    <col min="715" max="716" width="4.7109375" customWidth="1"/>
    <col min="717" max="720" width="10.7109375" customWidth="1"/>
    <col min="721" max="721" width="3.7109375" customWidth="1"/>
    <col min="722" max="722" width="9" customWidth="1"/>
    <col min="723" max="723" width="24.7109375" bestFit="1" customWidth="1"/>
    <col min="724" max="724" width="8.140625" customWidth="1"/>
    <col min="725" max="726" width="4.7109375" customWidth="1"/>
    <col min="727" max="730" width="10.7109375" customWidth="1"/>
    <col min="731" max="731" width="3.7109375" customWidth="1"/>
    <col min="732" max="732" width="9" customWidth="1"/>
    <col min="733" max="733" width="24.7109375" bestFit="1" customWidth="1"/>
    <col min="734" max="734" width="8.140625" customWidth="1"/>
    <col min="735" max="736" width="4.7109375" customWidth="1"/>
    <col min="737" max="740" width="10.7109375" customWidth="1"/>
    <col min="741" max="741" width="3.7109375" customWidth="1"/>
    <col min="742" max="742" width="9" customWidth="1"/>
    <col min="743" max="743" width="24.7109375" bestFit="1" customWidth="1"/>
    <col min="744" max="744" width="8.140625" customWidth="1"/>
    <col min="745" max="746" width="4.7109375" customWidth="1"/>
    <col min="747" max="750" width="10.7109375" customWidth="1"/>
    <col min="751" max="751" width="3.7109375" customWidth="1"/>
    <col min="752" max="752" width="9" customWidth="1"/>
    <col min="753" max="753" width="24.7109375" bestFit="1" customWidth="1"/>
    <col min="754" max="754" width="8.140625" customWidth="1"/>
    <col min="755" max="756" width="4.7109375" customWidth="1"/>
    <col min="757" max="760" width="10.7109375" customWidth="1"/>
    <col min="761" max="761" width="3.7109375" customWidth="1"/>
    <col min="762" max="762" width="9" customWidth="1"/>
    <col min="763" max="763" width="24.7109375" bestFit="1" customWidth="1"/>
    <col min="764" max="764" width="8.140625" customWidth="1"/>
    <col min="765" max="766" width="4.7109375" customWidth="1"/>
    <col min="767" max="770" width="10.7109375" customWidth="1"/>
    <col min="771" max="771" width="3.7109375" customWidth="1"/>
    <col min="772" max="772" width="9" customWidth="1"/>
    <col min="773" max="773" width="24.7109375" bestFit="1" customWidth="1"/>
    <col min="774" max="774" width="8.140625" customWidth="1"/>
    <col min="775" max="776" width="4.7109375" customWidth="1"/>
    <col min="777" max="780" width="10.7109375" customWidth="1"/>
    <col min="781" max="781" width="3.7109375" customWidth="1"/>
    <col min="782" max="782" width="9" customWidth="1"/>
    <col min="783" max="783" width="24.7109375" bestFit="1" customWidth="1"/>
    <col min="784" max="784" width="8.140625" customWidth="1"/>
    <col min="785" max="786" width="4.7109375" customWidth="1"/>
    <col min="787" max="790" width="10.7109375" customWidth="1"/>
    <col min="791" max="791" width="3.7109375" customWidth="1"/>
    <col min="792" max="792" width="9" customWidth="1"/>
    <col min="793" max="793" width="24.7109375" bestFit="1" customWidth="1"/>
    <col min="794" max="794" width="8.140625" customWidth="1"/>
    <col min="795" max="796" width="4.7109375" customWidth="1"/>
    <col min="797" max="800" width="10.7109375" customWidth="1"/>
    <col min="801" max="801" width="3.7109375" customWidth="1"/>
    <col min="802" max="802" width="9" customWidth="1"/>
    <col min="803" max="803" width="24.7109375" bestFit="1" customWidth="1"/>
    <col min="804" max="804" width="8.140625" customWidth="1"/>
    <col min="805" max="806" width="4.7109375" customWidth="1"/>
    <col min="807" max="810" width="10.7109375" customWidth="1"/>
    <col min="811" max="811" width="3.7109375" customWidth="1"/>
    <col min="812" max="812" width="9" customWidth="1"/>
    <col min="813" max="813" width="24.7109375" bestFit="1" customWidth="1"/>
    <col min="814" max="814" width="8.140625" customWidth="1"/>
    <col min="815" max="816" width="4.7109375" customWidth="1"/>
    <col min="817" max="820" width="10.7109375" customWidth="1"/>
    <col min="821" max="821" width="3.7109375" customWidth="1"/>
    <col min="822" max="822" width="9" customWidth="1"/>
    <col min="823" max="823" width="24.7109375" bestFit="1" customWidth="1"/>
    <col min="824" max="824" width="8.140625" customWidth="1"/>
    <col min="825" max="826" width="4.7109375" customWidth="1"/>
    <col min="827" max="830" width="10.7109375" customWidth="1"/>
    <col min="831" max="831" width="3.7109375" customWidth="1"/>
    <col min="832" max="832" width="9" customWidth="1"/>
    <col min="833" max="833" width="24.7109375" bestFit="1" customWidth="1"/>
    <col min="834" max="834" width="8.140625" customWidth="1"/>
    <col min="835" max="836" width="4.7109375" customWidth="1"/>
    <col min="837" max="840" width="10.7109375" customWidth="1"/>
    <col min="841" max="841" width="3.7109375" customWidth="1"/>
    <col min="842" max="842" width="9" customWidth="1"/>
    <col min="843" max="843" width="24.7109375" bestFit="1" customWidth="1"/>
    <col min="844" max="844" width="8.140625" customWidth="1"/>
    <col min="845" max="846" width="4.7109375" customWidth="1"/>
    <col min="847" max="850" width="10.7109375" customWidth="1"/>
    <col min="851" max="851" width="3.7109375" customWidth="1"/>
    <col min="852" max="852" width="9" customWidth="1"/>
    <col min="853" max="853" width="24.7109375" bestFit="1" customWidth="1"/>
    <col min="854" max="854" width="8.140625" customWidth="1"/>
    <col min="855" max="856" width="4.7109375" customWidth="1"/>
    <col min="857" max="860" width="10.7109375" customWidth="1"/>
    <col min="861" max="861" width="3.7109375" customWidth="1"/>
    <col min="862" max="862" width="9" customWidth="1"/>
    <col min="863" max="863" width="24.7109375" bestFit="1" customWidth="1"/>
    <col min="864" max="864" width="8.140625" customWidth="1"/>
    <col min="865" max="866" width="4.7109375" customWidth="1"/>
    <col min="867" max="870" width="10.7109375" customWidth="1"/>
    <col min="871" max="871" width="3.7109375" customWidth="1"/>
    <col min="872" max="872" width="9" customWidth="1"/>
    <col min="873" max="873" width="24.7109375" bestFit="1" customWidth="1"/>
    <col min="874" max="874" width="8.140625" customWidth="1"/>
    <col min="875" max="876" width="4.7109375" customWidth="1"/>
    <col min="877" max="880" width="10.7109375" customWidth="1"/>
    <col min="881" max="881" width="3.7109375" customWidth="1"/>
    <col min="882" max="882" width="9" customWidth="1"/>
    <col min="883" max="883" width="24.7109375" bestFit="1" customWidth="1"/>
    <col min="884" max="884" width="8.140625" customWidth="1"/>
    <col min="885" max="886" width="4.7109375" customWidth="1"/>
    <col min="887" max="890" width="10.7109375" customWidth="1"/>
    <col min="891" max="891" width="3.7109375" customWidth="1"/>
    <col min="892" max="892" width="9" customWidth="1"/>
    <col min="893" max="893" width="24.7109375" bestFit="1" customWidth="1"/>
    <col min="894" max="894" width="8.140625" customWidth="1"/>
    <col min="895" max="896" width="4.7109375" customWidth="1"/>
    <col min="897" max="900" width="10.7109375" customWidth="1"/>
    <col min="901" max="901" width="3.7109375" customWidth="1"/>
    <col min="902" max="902" width="9" customWidth="1"/>
    <col min="903" max="903" width="24.7109375" bestFit="1" customWidth="1"/>
    <col min="904" max="904" width="8.140625" customWidth="1"/>
    <col min="905" max="906" width="4.7109375" customWidth="1"/>
    <col min="907" max="910" width="10.7109375" customWidth="1"/>
    <col min="911" max="911" width="3.7109375" customWidth="1"/>
    <col min="912" max="912" width="9" customWidth="1"/>
    <col min="913" max="913" width="24.7109375" bestFit="1" customWidth="1"/>
    <col min="914" max="914" width="8.140625" customWidth="1"/>
    <col min="915" max="916" width="4.7109375" customWidth="1"/>
    <col min="917" max="920" width="10.7109375" customWidth="1"/>
    <col min="921" max="921" width="3.7109375" customWidth="1"/>
    <col min="922" max="922" width="9" customWidth="1"/>
    <col min="923" max="923" width="24.7109375" bestFit="1" customWidth="1"/>
    <col min="924" max="924" width="8.140625" customWidth="1"/>
    <col min="925" max="926" width="4.7109375" customWidth="1"/>
    <col min="927" max="930" width="10.7109375" customWidth="1"/>
    <col min="931" max="931" width="3.7109375" customWidth="1"/>
    <col min="932" max="932" width="9" customWidth="1"/>
    <col min="933" max="933" width="24.7109375" bestFit="1" customWidth="1"/>
    <col min="934" max="934" width="8.140625" customWidth="1"/>
    <col min="935" max="936" width="4.7109375" customWidth="1"/>
    <col min="937" max="938" width="10.7109375" customWidth="1"/>
  </cols>
  <sheetData>
    <row r="1" spans="1:14">
      <c r="A1" s="20"/>
      <c r="B1" s="161" t="s">
        <v>0</v>
      </c>
      <c r="C1" s="20"/>
      <c r="D1" s="20"/>
      <c r="E1" s="20"/>
      <c r="F1" s="20"/>
      <c r="G1" s="20"/>
      <c r="H1" s="20"/>
      <c r="I1" s="20"/>
      <c r="J1" s="20"/>
      <c r="K1" s="20"/>
    </row>
    <row r="2" spans="1:14" ht="18.75">
      <c r="B2" s="14" t="s">
        <v>1233</v>
      </c>
      <c r="L2" s="29" t="s">
        <v>1135</v>
      </c>
      <c r="M2" s="164"/>
    </row>
    <row r="4" spans="1:14">
      <c r="B4" s="7" t="s">
        <v>1104</v>
      </c>
      <c r="C4" s="163"/>
    </row>
    <row r="6" spans="1:14">
      <c r="B6" s="15" t="s">
        <v>1105</v>
      </c>
      <c r="C6" s="15" t="s">
        <v>1106</v>
      </c>
      <c r="D6" s="15" t="s">
        <v>1107</v>
      </c>
      <c r="E6" s="15" t="s">
        <v>1108</v>
      </c>
      <c r="F6" s="15" t="s">
        <v>1109</v>
      </c>
      <c r="G6" s="307" t="s">
        <v>1110</v>
      </c>
      <c r="H6" s="307"/>
      <c r="I6" s="307" t="s">
        <v>1111</v>
      </c>
      <c r="J6" s="307"/>
      <c r="L6" s="293" t="s">
        <v>1112</v>
      </c>
      <c r="M6" s="294"/>
      <c r="N6" s="295"/>
    </row>
    <row r="7" spans="1:14">
      <c r="B7" s="2">
        <v>1</v>
      </c>
      <c r="C7" s="3" t="s">
        <v>1113</v>
      </c>
      <c r="D7" s="2">
        <v>1</v>
      </c>
      <c r="E7" s="2">
        <f>D7+F7-1</f>
        <v>1</v>
      </c>
      <c r="F7" s="2">
        <v>1</v>
      </c>
      <c r="G7" s="2" t="str">
        <f>TRIM(MID($C$4,1,1))</f>
        <v/>
      </c>
      <c r="H7" s="2" t="str">
        <f>TRIM(MID($C$4,2,1))</f>
        <v/>
      </c>
      <c r="I7" s="2">
        <f>HEX2DEC(SUBSTITUTE(G7," ",""))</f>
        <v>0</v>
      </c>
      <c r="J7" s="2">
        <f>HEX2DEC(SUBSTITUTE(H7," ",""))</f>
        <v>0</v>
      </c>
      <c r="L7" s="69" t="str">
        <f>IF(MOD(INT(HEX2BIN(G7,4)/(2^(3-1))),2)=1,CONCATENATE("This is a Retry"),CONCATENATE("This is NOT a Retry"))</f>
        <v>This is NOT a Retry</v>
      </c>
      <c r="M7" s="68"/>
      <c r="N7" s="68"/>
    </row>
    <row r="8" spans="1:14">
      <c r="B8" s="2">
        <v>2</v>
      </c>
      <c r="C8" s="3" t="s">
        <v>1234</v>
      </c>
      <c r="D8" s="2">
        <f>E7+1</f>
        <v>2</v>
      </c>
      <c r="E8" s="2">
        <f>D8+F8-1</f>
        <v>2</v>
      </c>
      <c r="F8" s="2">
        <v>1</v>
      </c>
      <c r="G8" s="2" t="str">
        <f>TRIM(MID($C$4,4,1))</f>
        <v/>
      </c>
      <c r="H8" s="2" t="str">
        <f>TRIM(MID($C$4,5,1))</f>
        <v/>
      </c>
      <c r="I8" s="2">
        <f>HEX2DEC(SUBSTITUTE(G8," ",""))</f>
        <v>0</v>
      </c>
      <c r="J8" s="2">
        <f>HEX2DEC(SUBSTITUTE(H8," ",""))</f>
        <v>0</v>
      </c>
      <c r="L8" s="67" t="str">
        <f>IF(ISNA(VLOOKUP(CONCATENATE(G8,H8),'IGS Configuration Values'!$B$22:$D$27,2,FALSE))=TRUE,"Invalid Type/Subtype",VLOOKUP(CONCATENATE(G8,H8),'IGS Configuration Values'!$B$22:$D$27,2,FALSE))</f>
        <v>Invalid Type/Subtype</v>
      </c>
      <c r="M8" s="68"/>
      <c r="N8" s="68"/>
    </row>
    <row r="9" spans="1:14">
      <c r="B9" s="2">
        <v>3</v>
      </c>
      <c r="C9" s="3" t="s">
        <v>1115</v>
      </c>
      <c r="D9" s="2">
        <f>E8+1</f>
        <v>3</v>
      </c>
      <c r="E9" s="2">
        <f>D9+F9-1</f>
        <v>4</v>
      </c>
      <c r="F9" s="2">
        <v>2</v>
      </c>
      <c r="G9" s="255" t="str">
        <f>TRIM(MID($C$4,(D9-1)*3+1,F9*3))</f>
        <v/>
      </c>
      <c r="H9" s="255"/>
      <c r="I9" s="231">
        <f>HEX2DEC(SUBSTITUTE(G9," ",""))</f>
        <v>0</v>
      </c>
      <c r="J9" s="231"/>
    </row>
    <row r="10" spans="1:14">
      <c r="B10" s="2">
        <v>4</v>
      </c>
      <c r="C10" s="3" t="s">
        <v>1119</v>
      </c>
      <c r="D10" s="2">
        <f>E9+1</f>
        <v>5</v>
      </c>
      <c r="E10" s="2">
        <f>D10+F10-1</f>
        <v>5</v>
      </c>
      <c r="F10" s="2">
        <v>1</v>
      </c>
      <c r="G10" s="255" t="str">
        <f>TRIM(MID($C$4,(D10-1)*3+1,F10*3))</f>
        <v/>
      </c>
      <c r="H10" s="255"/>
      <c r="I10" s="231">
        <f>HEX2DEC(SUBSTITUTE(G10," ",""))</f>
        <v>0</v>
      </c>
      <c r="J10" s="231"/>
      <c r="L10" s="67" t="str">
        <f>IF(ISNA(VLOOKUP(CONCATENATE(G10,G11),'IGS Configuration Values'!$B$4:$C$17,2,FALSE))=TRUE,"Invalid Game Type/Index",VLOOKUP(CONCATENATE(G10,G11),'IGS Configuration Values'!$B$4:$C$17,2,FALSE))</f>
        <v>Invalid Game Type/Index</v>
      </c>
      <c r="M10" s="68"/>
      <c r="N10" s="68"/>
    </row>
    <row r="11" spans="1:14">
      <c r="B11" s="2">
        <v>5</v>
      </c>
      <c r="C11" s="3" t="s">
        <v>1120</v>
      </c>
      <c r="D11" s="2">
        <f>E10+1</f>
        <v>6</v>
      </c>
      <c r="E11" s="2">
        <f>D11+F11-1</f>
        <v>6</v>
      </c>
      <c r="F11" s="2">
        <v>1</v>
      </c>
      <c r="G11" s="255" t="str">
        <f>TRIM(MID($C$4,(D11-1)*3+1,F11*3))</f>
        <v/>
      </c>
      <c r="H11" s="255"/>
      <c r="I11" s="231">
        <f>HEX2DEC(SUBSTITUTE(G11," ",""))</f>
        <v>0</v>
      </c>
      <c r="J11" s="231"/>
    </row>
    <row r="14" spans="1:14" ht="18.75">
      <c r="B14" s="14" t="s">
        <v>1235</v>
      </c>
    </row>
    <row r="16" spans="1:14">
      <c r="B16" s="15" t="s">
        <v>1105</v>
      </c>
      <c r="C16" s="15" t="s">
        <v>1106</v>
      </c>
      <c r="D16" s="15" t="s">
        <v>1107</v>
      </c>
      <c r="E16" s="15" t="s">
        <v>1108</v>
      </c>
      <c r="F16" s="15" t="s">
        <v>1109</v>
      </c>
      <c r="G16" s="307" t="s">
        <v>1110</v>
      </c>
      <c r="H16" s="307"/>
      <c r="I16" s="307" t="s">
        <v>1111</v>
      </c>
      <c r="J16" s="307"/>
      <c r="L16" s="293" t="s">
        <v>1112</v>
      </c>
      <c r="M16" s="294"/>
      <c r="N16" s="295"/>
    </row>
    <row r="17" spans="1:14">
      <c r="B17" s="2">
        <v>6</v>
      </c>
      <c r="C17" s="3" t="s">
        <v>1122</v>
      </c>
      <c r="D17" s="2">
        <f>E11+1</f>
        <v>7</v>
      </c>
      <c r="E17" s="2">
        <f t="shared" ref="E17:E22" si="0">D17+F17-1</f>
        <v>10</v>
      </c>
      <c r="F17" s="2">
        <v>4</v>
      </c>
      <c r="G17" s="255" t="str">
        <f>TRIM(MID($C$4,(D17-1)*3+1,F17*3))</f>
        <v/>
      </c>
      <c r="H17" s="255"/>
      <c r="I17" s="231">
        <f>HEX2DEC(SUBSTITUTE(G17," ",""))</f>
        <v>0</v>
      </c>
      <c r="J17" s="231"/>
    </row>
    <row r="18" spans="1:14">
      <c r="B18" s="2">
        <v>7</v>
      </c>
      <c r="C18" s="3" t="s">
        <v>1124</v>
      </c>
      <c r="D18" s="2">
        <f>E17+1</f>
        <v>11</v>
      </c>
      <c r="E18" s="2">
        <f t="shared" si="0"/>
        <v>18</v>
      </c>
      <c r="F18" s="2">
        <v>8</v>
      </c>
      <c r="G18" s="2" t="str">
        <f>TRIM(MID($C$4,(D18-1)*3+1,F18*3/2))</f>
        <v/>
      </c>
      <c r="H18" s="2" t="str">
        <f>TRIM(MID($C$4,(D18+4-1)*3+1,F18*3/2))</f>
        <v/>
      </c>
      <c r="I18" s="324">
        <f>(HEX2DEC(SUBSTITUTE(G18," ",""))*2^32+HEX2DEC(SUBSTITUTE(H18," ","")))</f>
        <v>0</v>
      </c>
      <c r="J18" s="325"/>
    </row>
    <row r="19" spans="1:14" ht="17.25">
      <c r="B19" s="2">
        <v>8</v>
      </c>
      <c r="C19" s="3" t="s">
        <v>1236</v>
      </c>
      <c r="D19" s="2">
        <f>E18+1</f>
        <v>19</v>
      </c>
      <c r="E19" s="2">
        <f t="shared" si="0"/>
        <v>19</v>
      </c>
      <c r="F19" s="2">
        <v>1</v>
      </c>
      <c r="G19" s="207" t="str">
        <f>TRIM(MID($C$4,(D19-1)*3+1,F19*3))</f>
        <v/>
      </c>
      <c r="H19" s="208"/>
      <c r="I19" s="231">
        <f>HEX2DEC(SUBSTITUTE(G19," ",""))</f>
        <v>0</v>
      </c>
      <c r="J19" s="231"/>
      <c r="K19" s="51" t="s">
        <v>46</v>
      </c>
      <c r="L19" s="58" t="s">
        <v>1237</v>
      </c>
    </row>
    <row r="20" spans="1:14">
      <c r="B20" s="2">
        <v>9</v>
      </c>
      <c r="C20" s="3" t="s">
        <v>1238</v>
      </c>
      <c r="D20" s="2">
        <f>E19+1</f>
        <v>20</v>
      </c>
      <c r="E20" s="2">
        <f t="shared" si="0"/>
        <v>23</v>
      </c>
      <c r="F20" s="2">
        <v>4</v>
      </c>
      <c r="G20" s="207" t="str">
        <f>TRIM(MID($C$4,(D20-1)*3+1,F20*3))</f>
        <v/>
      </c>
      <c r="H20" s="208"/>
      <c r="I20" s="231">
        <f>HEX2DEC(SUBSTITUTE(G20," ",""))</f>
        <v>0</v>
      </c>
      <c r="J20" s="231"/>
    </row>
    <row r="21" spans="1:14">
      <c r="B21" s="2">
        <v>10</v>
      </c>
      <c r="C21" s="3" t="s">
        <v>1239</v>
      </c>
      <c r="D21" s="2">
        <f>E20+1</f>
        <v>24</v>
      </c>
      <c r="E21" s="2">
        <f t="shared" si="0"/>
        <v>27</v>
      </c>
      <c r="F21" s="2">
        <v>4</v>
      </c>
      <c r="G21" s="207" t="str">
        <f>TRIM(MID($C$4,(D21-1)*3+1,F21*3))</f>
        <v/>
      </c>
      <c r="H21" s="208"/>
      <c r="I21" s="231">
        <f>HEX2DEC(SUBSTITUTE(G21," ",""))</f>
        <v>0</v>
      </c>
      <c r="J21" s="231"/>
    </row>
    <row r="22" spans="1:14" ht="17.25">
      <c r="B22" s="46">
        <v>11</v>
      </c>
      <c r="C22" s="45" t="s">
        <v>1240</v>
      </c>
      <c r="D22" s="46">
        <f>E21+1</f>
        <v>28</v>
      </c>
      <c r="E22" s="46">
        <f t="shared" si="0"/>
        <v>35</v>
      </c>
      <c r="F22" s="46">
        <v>8</v>
      </c>
      <c r="G22" s="46" t="str">
        <f>TRIM(MID($C$4,(D22-1)*3+1,F22*3/2))</f>
        <v/>
      </c>
      <c r="H22" s="46" t="str">
        <f>TRIM(MID($C$4,(D22+4-1)*3+1,F22*3/2))</f>
        <v/>
      </c>
      <c r="I22" s="360">
        <f>(HEX2DEC(SUBSTITUTE(G22," ",""))*2^32+HEX2DEC(SUBSTITUTE(H22," ","")))</f>
        <v>0</v>
      </c>
      <c r="J22" s="361"/>
      <c r="K22" s="51" t="s">
        <v>46</v>
      </c>
      <c r="L22" s="58" t="s">
        <v>1241</v>
      </c>
    </row>
    <row r="25" spans="1:14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</row>
    <row r="26" spans="1:14" ht="18.75">
      <c r="B26" s="14" t="s">
        <v>1242</v>
      </c>
      <c r="L26" s="29" t="s">
        <v>1135</v>
      </c>
      <c r="M26" s="164"/>
    </row>
    <row r="28" spans="1:14">
      <c r="B28" s="7" t="s">
        <v>1104</v>
      </c>
      <c r="C28" s="165"/>
    </row>
    <row r="30" spans="1:14">
      <c r="B30" s="15" t="s">
        <v>1105</v>
      </c>
      <c r="C30" s="15" t="s">
        <v>1106</v>
      </c>
      <c r="D30" s="15" t="s">
        <v>1107</v>
      </c>
      <c r="E30" s="15" t="s">
        <v>1108</v>
      </c>
      <c r="F30" s="15" t="s">
        <v>1109</v>
      </c>
      <c r="G30" s="307" t="s">
        <v>1110</v>
      </c>
      <c r="H30" s="307"/>
      <c r="I30" s="307" t="s">
        <v>1111</v>
      </c>
      <c r="J30" s="307"/>
      <c r="L30" s="293" t="s">
        <v>1112</v>
      </c>
      <c r="M30" s="294"/>
      <c r="N30" s="295"/>
    </row>
    <row r="31" spans="1:14">
      <c r="B31" s="2">
        <v>1</v>
      </c>
      <c r="C31" s="3" t="s">
        <v>1113</v>
      </c>
      <c r="D31" s="2">
        <v>1</v>
      </c>
      <c r="E31" s="2">
        <f>D31+F31-1</f>
        <v>1</v>
      </c>
      <c r="F31" s="2">
        <v>1</v>
      </c>
      <c r="G31" s="2" t="str">
        <f>TRIM(MID($C$28,1,1))</f>
        <v/>
      </c>
      <c r="H31" s="2" t="str">
        <f>TRIM(MID($C$28,2,1))</f>
        <v/>
      </c>
      <c r="I31" s="2">
        <f>HEX2DEC(SUBSTITUTE(G31," ",""))</f>
        <v>0</v>
      </c>
      <c r="J31" s="2">
        <f>HEX2DEC(SUBSTITUTE(H31," ",""))</f>
        <v>0</v>
      </c>
      <c r="L31" s="69" t="str">
        <f>IF(MOD(INT(HEX2BIN(G31,4)/(2^(3-1))),2)=1,CONCATENATE("This is a Retry"),CONCATENATE("This is NOT a Retry"))</f>
        <v>This is NOT a Retry</v>
      </c>
      <c r="M31" s="92"/>
      <c r="N31" s="68"/>
    </row>
    <row r="32" spans="1:14">
      <c r="B32" s="2">
        <v>2</v>
      </c>
      <c r="C32" s="3" t="s">
        <v>1234</v>
      </c>
      <c r="D32" s="2">
        <f t="shared" ref="D32:D41" si="1">E31+1</f>
        <v>2</v>
      </c>
      <c r="E32" s="2">
        <f>D32+F32-1</f>
        <v>2</v>
      </c>
      <c r="F32" s="2">
        <v>1</v>
      </c>
      <c r="G32" s="2" t="str">
        <f>TRIM(MID($C$28,4,1))</f>
        <v/>
      </c>
      <c r="H32" s="2" t="str">
        <f>TRIM(MID($C$28,5,1))</f>
        <v/>
      </c>
      <c r="I32" s="2">
        <f>HEX2DEC(SUBSTITUTE(G32," ",""))</f>
        <v>0</v>
      </c>
      <c r="J32" s="2">
        <f>HEX2DEC(SUBSTITUTE(H32," ",""))</f>
        <v>0</v>
      </c>
      <c r="L32" s="67" t="str">
        <f>IF(ISNA(VLOOKUP(CONCATENATE(G32,H32),'IGS Configuration Values'!$B$22:$D$26,2,FALSE))=TRUE,"Invalid Type/Subtype",VLOOKUP(CONCATENATE(G32,H32),'IGS Configuration Values'!$B$22:$D$26,2,FALSE))</f>
        <v>Invalid Type/Subtype</v>
      </c>
      <c r="M32" s="92"/>
      <c r="N32" s="68"/>
    </row>
    <row r="33" spans="1:940">
      <c r="B33" s="2">
        <v>3</v>
      </c>
      <c r="C33" s="3" t="s">
        <v>1115</v>
      </c>
      <c r="D33" s="2">
        <f t="shared" si="1"/>
        <v>3</v>
      </c>
      <c r="E33" s="2">
        <f>D33+F33-1</f>
        <v>4</v>
      </c>
      <c r="F33" s="2">
        <v>2</v>
      </c>
      <c r="G33" s="255" t="str">
        <f>TRIM(MID($C$28,(D33-1)*3+1,F33*3))</f>
        <v/>
      </c>
      <c r="H33" s="255"/>
      <c r="I33" s="231">
        <f>HEX2DEC(SUBSTITUTE(G33," ",""))</f>
        <v>0</v>
      </c>
      <c r="J33" s="231"/>
      <c r="M33" s="36"/>
    </row>
    <row r="34" spans="1:940">
      <c r="B34" s="2">
        <v>4</v>
      </c>
      <c r="C34" s="3" t="s">
        <v>1119</v>
      </c>
      <c r="D34" s="2">
        <f t="shared" si="1"/>
        <v>5</v>
      </c>
      <c r="E34" s="2">
        <f>D34+F34-1</f>
        <v>5</v>
      </c>
      <c r="F34" s="2">
        <v>1</v>
      </c>
      <c r="G34" s="255" t="str">
        <f t="shared" ref="G34:G41" si="2">TRIM(MID($C$28,(D34-1)*3+1,F34*3))</f>
        <v/>
      </c>
      <c r="H34" s="255"/>
      <c r="I34" s="231">
        <f>HEX2DEC(SUBSTITUTE(G34," ",""))</f>
        <v>0</v>
      </c>
      <c r="J34" s="231"/>
      <c r="L34" s="67" t="str">
        <f>IF(ISNA(VLOOKUP(CONCATENATE(G34,G35),'IGS Configuration Values'!$B$4:$C$17,2,FALSE))=TRUE,"Invalid Game Type/Index",VLOOKUP(CONCATENATE(G34,G35),'IGS Configuration Values'!$B$4:$C$17,2,FALSE))</f>
        <v>Invalid Game Type/Index</v>
      </c>
      <c r="M34" s="68"/>
      <c r="N34" s="68"/>
    </row>
    <row r="35" spans="1:940">
      <c r="B35" s="2">
        <v>5</v>
      </c>
      <c r="C35" s="3" t="s">
        <v>1120</v>
      </c>
      <c r="D35" s="2">
        <f t="shared" si="1"/>
        <v>6</v>
      </c>
      <c r="E35" s="2">
        <f>D35+F35-1</f>
        <v>6</v>
      </c>
      <c r="F35" s="2">
        <v>1</v>
      </c>
      <c r="G35" s="255" t="str">
        <f t="shared" si="2"/>
        <v/>
      </c>
      <c r="H35" s="255"/>
      <c r="I35" s="231">
        <f>HEX2DEC(SUBSTITUTE(G35," ",""))</f>
        <v>0</v>
      </c>
      <c r="J35" s="231"/>
    </row>
    <row r="36" spans="1:940">
      <c r="B36" s="2">
        <v>6</v>
      </c>
      <c r="C36" s="3" t="s">
        <v>1243</v>
      </c>
      <c r="D36" s="2">
        <f t="shared" si="1"/>
        <v>7</v>
      </c>
      <c r="E36" s="2">
        <f t="shared" ref="E36:E41" si="3">D36+F36-1</f>
        <v>10</v>
      </c>
      <c r="F36" s="2">
        <v>4</v>
      </c>
      <c r="G36" s="255" t="str">
        <f t="shared" si="2"/>
        <v/>
      </c>
      <c r="H36" s="255"/>
      <c r="I36" s="324" t="str">
        <f>CONCATENATE(TEXT(HEX2DEC(SUBSTITUTE(MID(G36,1,6)," ","")),"0000"),"/",TEXT(HEX2DEC(SUBSTITUTE(MID(G36,7,3)," ","")),"00"),"/",TEXT(HEX2DEC(SUBSTITUTE(MID(G36,10,3)," ","")),"00"))</f>
        <v>0000/00/00</v>
      </c>
      <c r="J36" s="362"/>
    </row>
    <row r="37" spans="1:940">
      <c r="B37" s="2">
        <v>7</v>
      </c>
      <c r="C37" s="3" t="s">
        <v>1244</v>
      </c>
      <c r="D37" s="2">
        <f t="shared" si="1"/>
        <v>11</v>
      </c>
      <c r="E37" s="2">
        <f t="shared" si="3"/>
        <v>13</v>
      </c>
      <c r="F37" s="2">
        <v>3</v>
      </c>
      <c r="G37" s="255" t="str">
        <f t="shared" si="2"/>
        <v/>
      </c>
      <c r="H37" s="255"/>
      <c r="I37" s="231" t="str">
        <f>CONCATENATE(IF(HEX2DEC(SUBSTITUTE(MID(G37,1,3)," ",""))&lt;10,CONCATENATE("0",HEX2DEC(SUBSTITUTE(MID(G37,1,3)," ",""))),HEX2DEC(SUBSTITUTE(MID(G37,1,3)," ",""))),":",IF(HEX2DEC(SUBSTITUTE(MID(G37,4,3)," ",""))&lt;10,CONCATENATE("0",HEX2DEC(SUBSTITUTE(MID(G37,4,3)," ",""))),HEX2DEC(SUBSTITUTE(MID(G37,4,3)," ",""))),":",IF(HEX2DEC(SUBSTITUTE(MID(G37,7,3)," ",""))&lt;10,CONCATENATE("0",HEX2DEC(SUBSTITUTE(MID(G37,7,3)," ",""))),HEX2DEC(SUBSTITUTE(MID(G37,7,3)," ",""))))</f>
        <v>00:00:00</v>
      </c>
      <c r="J37" s="231"/>
    </row>
    <row r="38" spans="1:940">
      <c r="B38" s="2">
        <v>8</v>
      </c>
      <c r="C38" s="3" t="s">
        <v>1245</v>
      </c>
      <c r="D38" s="2">
        <f t="shared" si="1"/>
        <v>14</v>
      </c>
      <c r="E38" s="2">
        <f t="shared" si="3"/>
        <v>14</v>
      </c>
      <c r="F38" s="2">
        <v>1</v>
      </c>
      <c r="G38" s="255" t="str">
        <f t="shared" si="2"/>
        <v/>
      </c>
      <c r="H38" s="255"/>
      <c r="I38" s="231">
        <f>HEX2DEC(SUBSTITUTE(G38," ",""))</f>
        <v>0</v>
      </c>
      <c r="J38" s="231"/>
    </row>
    <row r="39" spans="1:940" ht="15" customHeight="1">
      <c r="B39" s="2">
        <v>9</v>
      </c>
      <c r="C39" s="3" t="s">
        <v>1236</v>
      </c>
      <c r="D39" s="2">
        <f t="shared" si="1"/>
        <v>15</v>
      </c>
      <c r="E39" s="2">
        <f t="shared" si="3"/>
        <v>15</v>
      </c>
      <c r="F39" s="2">
        <v>1</v>
      </c>
      <c r="G39" s="255" t="str">
        <f t="shared" si="2"/>
        <v/>
      </c>
      <c r="H39" s="255"/>
      <c r="I39" s="231">
        <f>HEX2DEC(SUBSTITUTE(G39," ",""))</f>
        <v>0</v>
      </c>
      <c r="J39" s="231"/>
      <c r="K39" s="51" t="s">
        <v>46</v>
      </c>
      <c r="L39" s="58" t="s">
        <v>1237</v>
      </c>
    </row>
    <row r="40" spans="1:940" ht="15" customHeight="1">
      <c r="B40" s="46">
        <v>10</v>
      </c>
      <c r="C40" s="45" t="s">
        <v>1240</v>
      </c>
      <c r="D40" s="46">
        <f t="shared" si="1"/>
        <v>16</v>
      </c>
      <c r="E40" s="46">
        <f>D40+F40-1</f>
        <v>23</v>
      </c>
      <c r="F40" s="46">
        <v>8</v>
      </c>
      <c r="G40" s="46" t="str">
        <f>TRIM(MID($C$28,(D40-1)*3+1,F40*3/2))</f>
        <v/>
      </c>
      <c r="H40" s="46" t="str">
        <f>TRIM(MID($C$28,(D40+4-1)*3+1,F40*3/2))</f>
        <v/>
      </c>
      <c r="I40" s="360">
        <f>(HEX2DEC(SUBSTITUTE(G40," ",""))*2^32+HEX2DEC(SUBSTITUTE(H40," ","")))</f>
        <v>0</v>
      </c>
      <c r="J40" s="361"/>
      <c r="K40" s="51" t="s">
        <v>46</v>
      </c>
      <c r="L40" s="58" t="s">
        <v>1241</v>
      </c>
    </row>
    <row r="41" spans="1:940" ht="15.75" customHeight="1">
      <c r="B41" s="2">
        <v>11</v>
      </c>
      <c r="C41" s="3" t="s">
        <v>1246</v>
      </c>
      <c r="D41" s="2">
        <f t="shared" si="1"/>
        <v>24</v>
      </c>
      <c r="E41" s="2">
        <f t="shared" si="3"/>
        <v>25</v>
      </c>
      <c r="F41" s="2">
        <v>2</v>
      </c>
      <c r="G41" s="255" t="str">
        <f t="shared" si="2"/>
        <v/>
      </c>
      <c r="H41" s="255"/>
      <c r="I41" s="231">
        <f>HEX2DEC(SUBSTITUTE(G41," ",""))</f>
        <v>0</v>
      </c>
      <c r="J41" s="205"/>
      <c r="K41" s="369" t="s">
        <v>1247</v>
      </c>
      <c r="L41" s="370"/>
      <c r="M41" s="370"/>
      <c r="N41" s="370"/>
      <c r="O41" s="370"/>
      <c r="P41" s="370"/>
      <c r="Q41" s="370"/>
      <c r="R41" s="370"/>
      <c r="S41" s="370"/>
      <c r="T41" s="371"/>
    </row>
    <row r="42" spans="1:940">
      <c r="A42" s="38">
        <f>I41</f>
        <v>0</v>
      </c>
      <c r="K42" s="64">
        <f>IF(AND(A42&gt;1,A47=1,A53=1),A42-1,IF(AND(A42=1,A47=1,A53=1),0,A42))</f>
        <v>0</v>
      </c>
      <c r="L42" s="65" t="s">
        <v>1105</v>
      </c>
      <c r="M42" s="65" t="s">
        <v>1106</v>
      </c>
      <c r="N42" s="65" t="s">
        <v>1107</v>
      </c>
      <c r="O42" s="65" t="s">
        <v>1108</v>
      </c>
      <c r="P42" s="65" t="s">
        <v>1109</v>
      </c>
      <c r="Q42" s="354" t="s">
        <v>1110</v>
      </c>
      <c r="R42" s="355"/>
      <c r="S42" s="354" t="s">
        <v>1111</v>
      </c>
      <c r="T42" s="356"/>
      <c r="U42" s="64">
        <f t="shared" ref="U42" si="4">IF(AND(K42&gt;1,K47=1,K53=1),K42-1,IF(AND(K42=1,K47=1,K53=1),0,K42))</f>
        <v>0</v>
      </c>
      <c r="V42" s="65" t="s">
        <v>1105</v>
      </c>
      <c r="W42" s="65" t="s">
        <v>1106</v>
      </c>
      <c r="X42" s="65" t="s">
        <v>1107</v>
      </c>
      <c r="Y42" s="65" t="s">
        <v>1108</v>
      </c>
      <c r="Z42" s="65" t="s">
        <v>1109</v>
      </c>
      <c r="AA42" s="354" t="s">
        <v>1110</v>
      </c>
      <c r="AB42" s="355"/>
      <c r="AC42" s="354" t="s">
        <v>1111</v>
      </c>
      <c r="AD42" s="356"/>
      <c r="AE42" s="64">
        <f t="shared" ref="AE42" si="5">IF(AND(U42&gt;1,U47=1,U53=1),U42-1,IF(AND(U42=1,U47=1,U53=1),0,U42))</f>
        <v>0</v>
      </c>
      <c r="AF42" s="65" t="s">
        <v>1105</v>
      </c>
      <c r="AG42" s="65" t="s">
        <v>1106</v>
      </c>
      <c r="AH42" s="65" t="s">
        <v>1107</v>
      </c>
      <c r="AI42" s="65" t="s">
        <v>1108</v>
      </c>
      <c r="AJ42" s="65" t="s">
        <v>1109</v>
      </c>
      <c r="AK42" s="354" t="s">
        <v>1110</v>
      </c>
      <c r="AL42" s="355"/>
      <c r="AM42" s="354" t="s">
        <v>1111</v>
      </c>
      <c r="AN42" s="356"/>
      <c r="AO42" s="64">
        <f t="shared" ref="AO42" si="6">IF(AND(AE42&gt;1,AE47=1,AE53=1),AE42-1,IF(AND(AE42=1,AE47=1,AE53=1),0,AE42))</f>
        <v>0</v>
      </c>
      <c r="AP42" s="65" t="s">
        <v>1105</v>
      </c>
      <c r="AQ42" s="65" t="s">
        <v>1106</v>
      </c>
      <c r="AR42" s="65" t="s">
        <v>1107</v>
      </c>
      <c r="AS42" s="65" t="s">
        <v>1108</v>
      </c>
      <c r="AT42" s="65" t="s">
        <v>1109</v>
      </c>
      <c r="AU42" s="354" t="s">
        <v>1110</v>
      </c>
      <c r="AV42" s="355"/>
      <c r="AW42" s="354" t="s">
        <v>1111</v>
      </c>
      <c r="AX42" s="356"/>
      <c r="AY42" s="64">
        <f t="shared" ref="AY42" si="7">IF(AND(AO42&gt;1,AO47=1,AO53=1),AO42-1,IF(AND(AO42=1,AO47=1,AO53=1),0,AO42))</f>
        <v>0</v>
      </c>
      <c r="AZ42" s="65" t="s">
        <v>1105</v>
      </c>
      <c r="BA42" s="65" t="s">
        <v>1106</v>
      </c>
      <c r="BB42" s="65" t="s">
        <v>1107</v>
      </c>
      <c r="BC42" s="65" t="s">
        <v>1108</v>
      </c>
      <c r="BD42" s="65" t="s">
        <v>1109</v>
      </c>
      <c r="BE42" s="354" t="s">
        <v>1110</v>
      </c>
      <c r="BF42" s="355"/>
      <c r="BG42" s="354" t="s">
        <v>1111</v>
      </c>
      <c r="BH42" s="356"/>
      <c r="BI42" s="64">
        <f t="shared" ref="BI42" si="8">IF(AND(AY42&gt;1,AY47=1,AY53=1),AY42-1,IF(AND(AY42=1,AY47=1,AY53=1),0,AY42))</f>
        <v>0</v>
      </c>
      <c r="BJ42" s="65" t="s">
        <v>1105</v>
      </c>
      <c r="BK42" s="65" t="s">
        <v>1106</v>
      </c>
      <c r="BL42" s="65" t="s">
        <v>1107</v>
      </c>
      <c r="BM42" s="65" t="s">
        <v>1108</v>
      </c>
      <c r="BN42" s="65" t="s">
        <v>1109</v>
      </c>
      <c r="BO42" s="354" t="s">
        <v>1110</v>
      </c>
      <c r="BP42" s="355"/>
      <c r="BQ42" s="354" t="s">
        <v>1111</v>
      </c>
      <c r="BR42" s="356"/>
      <c r="BS42" s="64">
        <f t="shared" ref="BS42" si="9">IF(AND(BI42&gt;1,BI47=1,BI53=1),BI42-1,IF(AND(BI42=1,BI47=1,BI53=1),0,BI42))</f>
        <v>0</v>
      </c>
      <c r="BT42" s="65" t="s">
        <v>1105</v>
      </c>
      <c r="BU42" s="65" t="s">
        <v>1106</v>
      </c>
      <c r="BV42" s="65" t="s">
        <v>1107</v>
      </c>
      <c r="BW42" s="65" t="s">
        <v>1108</v>
      </c>
      <c r="BX42" s="65" t="s">
        <v>1109</v>
      </c>
      <c r="BY42" s="354" t="s">
        <v>1110</v>
      </c>
      <c r="BZ42" s="355"/>
      <c r="CA42" s="354" t="s">
        <v>1111</v>
      </c>
      <c r="CB42" s="356"/>
      <c r="CC42" s="64">
        <f t="shared" ref="CC42" si="10">IF(AND(BS42&gt;1,BS47=1,BS53=1),BS42-1,IF(AND(BS42=1,BS47=1,BS53=1),0,BS42))</f>
        <v>0</v>
      </c>
      <c r="CD42" s="65" t="s">
        <v>1105</v>
      </c>
      <c r="CE42" s="65" t="s">
        <v>1106</v>
      </c>
      <c r="CF42" s="65" t="s">
        <v>1107</v>
      </c>
      <c r="CG42" s="65" t="s">
        <v>1108</v>
      </c>
      <c r="CH42" s="65" t="s">
        <v>1109</v>
      </c>
      <c r="CI42" s="354" t="s">
        <v>1110</v>
      </c>
      <c r="CJ42" s="355"/>
      <c r="CK42" s="354" t="s">
        <v>1111</v>
      </c>
      <c r="CL42" s="356"/>
      <c r="CM42" s="64">
        <f t="shared" ref="CM42" si="11">IF(AND(CC42&gt;1,CC47=1,CC53=1),CC42-1,IF(AND(CC42=1,CC47=1,CC53=1),0,CC42))</f>
        <v>0</v>
      </c>
      <c r="CN42" s="65" t="s">
        <v>1105</v>
      </c>
      <c r="CO42" s="65" t="s">
        <v>1106</v>
      </c>
      <c r="CP42" s="65" t="s">
        <v>1107</v>
      </c>
      <c r="CQ42" s="65" t="s">
        <v>1108</v>
      </c>
      <c r="CR42" s="65" t="s">
        <v>1109</v>
      </c>
      <c r="CS42" s="354" t="s">
        <v>1110</v>
      </c>
      <c r="CT42" s="355"/>
      <c r="CU42" s="354" t="s">
        <v>1111</v>
      </c>
      <c r="CV42" s="356"/>
      <c r="CW42" s="64">
        <f t="shared" ref="CW42" si="12">IF(AND(CM42&gt;1,CM47=1,CM53=1),CM42-1,IF(AND(CM42=1,CM47=1,CM53=1),0,CM42))</f>
        <v>0</v>
      </c>
      <c r="CX42" s="65" t="s">
        <v>1105</v>
      </c>
      <c r="CY42" s="65" t="s">
        <v>1106</v>
      </c>
      <c r="CZ42" s="65" t="s">
        <v>1107</v>
      </c>
      <c r="DA42" s="65" t="s">
        <v>1108</v>
      </c>
      <c r="DB42" s="65" t="s">
        <v>1109</v>
      </c>
      <c r="DC42" s="354" t="s">
        <v>1110</v>
      </c>
      <c r="DD42" s="355"/>
      <c r="DE42" s="354" t="s">
        <v>1111</v>
      </c>
      <c r="DF42" s="356"/>
      <c r="DG42" s="64">
        <f t="shared" ref="DG42" si="13">IF(AND(CW42&gt;1,CW47=1,CW53=1),CW42-1,IF(AND(CW42=1,CW47=1,CW53=1),0,CW42))</f>
        <v>0</v>
      </c>
      <c r="DH42" s="65" t="s">
        <v>1105</v>
      </c>
      <c r="DI42" s="65" t="s">
        <v>1106</v>
      </c>
      <c r="DJ42" s="65" t="s">
        <v>1107</v>
      </c>
      <c r="DK42" s="65" t="s">
        <v>1108</v>
      </c>
      <c r="DL42" s="65" t="s">
        <v>1109</v>
      </c>
      <c r="DM42" s="354" t="s">
        <v>1110</v>
      </c>
      <c r="DN42" s="355"/>
      <c r="DO42" s="354" t="s">
        <v>1111</v>
      </c>
      <c r="DP42" s="356"/>
      <c r="DQ42" s="64">
        <f t="shared" ref="DQ42" si="14">IF(AND(DG42&gt;1,DG47=1,DG53=1),DG42-1,IF(AND(DG42=1,DG47=1,DG53=1),0,DG42))</f>
        <v>0</v>
      </c>
      <c r="DR42" s="65" t="s">
        <v>1105</v>
      </c>
      <c r="DS42" s="65" t="s">
        <v>1106</v>
      </c>
      <c r="DT42" s="65" t="s">
        <v>1107</v>
      </c>
      <c r="DU42" s="65" t="s">
        <v>1108</v>
      </c>
      <c r="DV42" s="65" t="s">
        <v>1109</v>
      </c>
      <c r="DW42" s="354" t="s">
        <v>1110</v>
      </c>
      <c r="DX42" s="355"/>
      <c r="DY42" s="354" t="s">
        <v>1111</v>
      </c>
      <c r="DZ42" s="356"/>
      <c r="EA42" s="64">
        <f t="shared" ref="EA42" si="15">IF(AND(DQ42&gt;1,DQ47=1,DQ53=1),DQ42-1,IF(AND(DQ42=1,DQ47=1,DQ53=1),0,DQ42))</f>
        <v>0</v>
      </c>
      <c r="EB42" s="65" t="s">
        <v>1105</v>
      </c>
      <c r="EC42" s="65" t="s">
        <v>1106</v>
      </c>
      <c r="ED42" s="65" t="s">
        <v>1107</v>
      </c>
      <c r="EE42" s="65" t="s">
        <v>1108</v>
      </c>
      <c r="EF42" s="65" t="s">
        <v>1109</v>
      </c>
      <c r="EG42" s="354" t="s">
        <v>1110</v>
      </c>
      <c r="EH42" s="355"/>
      <c r="EI42" s="354" t="s">
        <v>1111</v>
      </c>
      <c r="EJ42" s="356"/>
      <c r="EK42" s="64">
        <f t="shared" ref="EK42" si="16">IF(AND(EA42&gt;1,EA47=1,EA53=1),EA42-1,IF(AND(EA42=1,EA47=1,EA53=1),0,EA42))</f>
        <v>0</v>
      </c>
      <c r="EL42" s="65" t="s">
        <v>1105</v>
      </c>
      <c r="EM42" s="65" t="s">
        <v>1106</v>
      </c>
      <c r="EN42" s="65" t="s">
        <v>1107</v>
      </c>
      <c r="EO42" s="65" t="s">
        <v>1108</v>
      </c>
      <c r="EP42" s="65" t="s">
        <v>1109</v>
      </c>
      <c r="EQ42" s="354" t="s">
        <v>1110</v>
      </c>
      <c r="ER42" s="355"/>
      <c r="ES42" s="354" t="s">
        <v>1111</v>
      </c>
      <c r="ET42" s="356"/>
      <c r="EU42" s="64">
        <f t="shared" ref="EU42" si="17">IF(AND(EK42&gt;1,EK47=1,EK53=1),EK42-1,IF(AND(EK42=1,EK47=1,EK53=1),0,EK42))</f>
        <v>0</v>
      </c>
      <c r="EV42" s="65" t="s">
        <v>1105</v>
      </c>
      <c r="EW42" s="65" t="s">
        <v>1106</v>
      </c>
      <c r="EX42" s="65" t="s">
        <v>1107</v>
      </c>
      <c r="EY42" s="65" t="s">
        <v>1108</v>
      </c>
      <c r="EZ42" s="65" t="s">
        <v>1109</v>
      </c>
      <c r="FA42" s="354" t="s">
        <v>1110</v>
      </c>
      <c r="FB42" s="355"/>
      <c r="FC42" s="354" t="s">
        <v>1111</v>
      </c>
      <c r="FD42" s="356"/>
      <c r="FE42" s="64">
        <f t="shared" ref="FE42" si="18">IF(AND(EU42&gt;1,EU47=1,EU53=1),EU42-1,IF(AND(EU42=1,EU47=1,EU53=1),0,EU42))</f>
        <v>0</v>
      </c>
      <c r="FF42" s="65" t="s">
        <v>1105</v>
      </c>
      <c r="FG42" s="65" t="s">
        <v>1106</v>
      </c>
      <c r="FH42" s="65" t="s">
        <v>1107</v>
      </c>
      <c r="FI42" s="65" t="s">
        <v>1108</v>
      </c>
      <c r="FJ42" s="65" t="s">
        <v>1109</v>
      </c>
      <c r="FK42" s="354" t="s">
        <v>1110</v>
      </c>
      <c r="FL42" s="355"/>
      <c r="FM42" s="354" t="s">
        <v>1111</v>
      </c>
      <c r="FN42" s="356"/>
      <c r="FO42" s="64">
        <f t="shared" ref="FO42" si="19">IF(AND(FE42&gt;1,FE47=1,FE53=1),FE42-1,IF(AND(FE42=1,FE47=1,FE53=1),0,FE42))</f>
        <v>0</v>
      </c>
      <c r="FP42" s="65" t="s">
        <v>1105</v>
      </c>
      <c r="FQ42" s="65" t="s">
        <v>1106</v>
      </c>
      <c r="FR42" s="65" t="s">
        <v>1107</v>
      </c>
      <c r="FS42" s="65" t="s">
        <v>1108</v>
      </c>
      <c r="FT42" s="65" t="s">
        <v>1109</v>
      </c>
      <c r="FU42" s="354" t="s">
        <v>1110</v>
      </c>
      <c r="FV42" s="355"/>
      <c r="FW42" s="354" t="s">
        <v>1111</v>
      </c>
      <c r="FX42" s="356"/>
      <c r="FY42" s="64">
        <f t="shared" ref="FY42" si="20">IF(AND(FO42&gt;1,FO47=1,FO53=1),FO42-1,IF(AND(FO42=1,FO47=1,FO53=1),0,FO42))</f>
        <v>0</v>
      </c>
      <c r="FZ42" s="65" t="s">
        <v>1105</v>
      </c>
      <c r="GA42" s="65" t="s">
        <v>1106</v>
      </c>
      <c r="GB42" s="65" t="s">
        <v>1107</v>
      </c>
      <c r="GC42" s="65" t="s">
        <v>1108</v>
      </c>
      <c r="GD42" s="65" t="s">
        <v>1109</v>
      </c>
      <c r="GE42" s="354" t="s">
        <v>1110</v>
      </c>
      <c r="GF42" s="355"/>
      <c r="GG42" s="354" t="s">
        <v>1111</v>
      </c>
      <c r="GH42" s="356"/>
      <c r="GI42" s="64">
        <f t="shared" ref="GI42" si="21">IF(AND(FY42&gt;1,FY47=1,FY53=1),FY42-1,IF(AND(FY42=1,FY47=1,FY53=1),0,FY42))</f>
        <v>0</v>
      </c>
      <c r="GJ42" s="65" t="s">
        <v>1105</v>
      </c>
      <c r="GK42" s="65" t="s">
        <v>1106</v>
      </c>
      <c r="GL42" s="65" t="s">
        <v>1107</v>
      </c>
      <c r="GM42" s="65" t="s">
        <v>1108</v>
      </c>
      <c r="GN42" s="65" t="s">
        <v>1109</v>
      </c>
      <c r="GO42" s="354" t="s">
        <v>1110</v>
      </c>
      <c r="GP42" s="355"/>
      <c r="GQ42" s="354" t="s">
        <v>1111</v>
      </c>
      <c r="GR42" s="356"/>
      <c r="GS42" s="64">
        <f t="shared" ref="GS42" si="22">IF(AND(GI42&gt;1,GI47=1,GI53=1),GI42-1,IF(AND(GI42=1,GI47=1,GI53=1),0,GI42))</f>
        <v>0</v>
      </c>
      <c r="GT42" s="65" t="s">
        <v>1105</v>
      </c>
      <c r="GU42" s="65" t="s">
        <v>1106</v>
      </c>
      <c r="GV42" s="65" t="s">
        <v>1107</v>
      </c>
      <c r="GW42" s="65" t="s">
        <v>1108</v>
      </c>
      <c r="GX42" s="65" t="s">
        <v>1109</v>
      </c>
      <c r="GY42" s="354" t="s">
        <v>1110</v>
      </c>
      <c r="GZ42" s="355"/>
      <c r="HA42" s="354" t="s">
        <v>1111</v>
      </c>
      <c r="HB42" s="356"/>
      <c r="HC42" s="64">
        <f t="shared" ref="HC42" si="23">IF(AND(GS42&gt;1,GS47=1,GS53=1),GS42-1,IF(AND(GS42=1,GS47=1,GS53=1),0,GS42))</f>
        <v>0</v>
      </c>
      <c r="HD42" s="65" t="s">
        <v>1105</v>
      </c>
      <c r="HE42" s="65" t="s">
        <v>1106</v>
      </c>
      <c r="HF42" s="65" t="s">
        <v>1107</v>
      </c>
      <c r="HG42" s="65" t="s">
        <v>1108</v>
      </c>
      <c r="HH42" s="65" t="s">
        <v>1109</v>
      </c>
      <c r="HI42" s="354" t="s">
        <v>1110</v>
      </c>
      <c r="HJ42" s="355"/>
      <c r="HK42" s="354" t="s">
        <v>1111</v>
      </c>
      <c r="HL42" s="356"/>
      <c r="HM42" s="64">
        <f t="shared" ref="HM42" si="24">IF(AND(HC42&gt;1,HC47=1,HC53=1),HC42-1,IF(AND(HC42=1,HC47=1,HC53=1),0,HC42))</f>
        <v>0</v>
      </c>
      <c r="HN42" s="65" t="s">
        <v>1105</v>
      </c>
      <c r="HO42" s="65" t="s">
        <v>1106</v>
      </c>
      <c r="HP42" s="65" t="s">
        <v>1107</v>
      </c>
      <c r="HQ42" s="65" t="s">
        <v>1108</v>
      </c>
      <c r="HR42" s="65" t="s">
        <v>1109</v>
      </c>
      <c r="HS42" s="354" t="s">
        <v>1110</v>
      </c>
      <c r="HT42" s="355"/>
      <c r="HU42" s="354" t="s">
        <v>1111</v>
      </c>
      <c r="HV42" s="356"/>
      <c r="HW42" s="64">
        <f t="shared" ref="HW42" si="25">IF(AND(HM42&gt;1,HM47=1,HM53=1),HM42-1,IF(AND(HM42=1,HM47=1,HM53=1),0,HM42))</f>
        <v>0</v>
      </c>
      <c r="HX42" s="65" t="s">
        <v>1105</v>
      </c>
      <c r="HY42" s="65" t="s">
        <v>1106</v>
      </c>
      <c r="HZ42" s="65" t="s">
        <v>1107</v>
      </c>
      <c r="IA42" s="65" t="s">
        <v>1108</v>
      </c>
      <c r="IB42" s="65" t="s">
        <v>1109</v>
      </c>
      <c r="IC42" s="354" t="s">
        <v>1110</v>
      </c>
      <c r="ID42" s="355"/>
      <c r="IE42" s="354" t="s">
        <v>1111</v>
      </c>
      <c r="IF42" s="356"/>
      <c r="IG42" s="64">
        <f t="shared" ref="IG42" si="26">IF(AND(HW42&gt;1,HW47=1,HW53=1),HW42-1,IF(AND(HW42=1,HW47=1,HW53=1),0,HW42))</f>
        <v>0</v>
      </c>
      <c r="IH42" s="65" t="s">
        <v>1105</v>
      </c>
      <c r="II42" s="65" t="s">
        <v>1106</v>
      </c>
      <c r="IJ42" s="65" t="s">
        <v>1107</v>
      </c>
      <c r="IK42" s="65" t="s">
        <v>1108</v>
      </c>
      <c r="IL42" s="65" t="s">
        <v>1109</v>
      </c>
      <c r="IM42" s="354" t="s">
        <v>1110</v>
      </c>
      <c r="IN42" s="355"/>
      <c r="IO42" s="354" t="s">
        <v>1111</v>
      </c>
      <c r="IP42" s="356"/>
      <c r="IQ42" s="64">
        <f t="shared" ref="IQ42" si="27">IF(AND(IG42&gt;1,IG47=1,IG53=1),IG42-1,IF(AND(IG42=1,IG47=1,IG53=1),0,IG42))</f>
        <v>0</v>
      </c>
      <c r="IR42" s="65" t="s">
        <v>1105</v>
      </c>
      <c r="IS42" s="65" t="s">
        <v>1106</v>
      </c>
      <c r="IT42" s="65" t="s">
        <v>1107</v>
      </c>
      <c r="IU42" s="65" t="s">
        <v>1108</v>
      </c>
      <c r="IV42" s="65" t="s">
        <v>1109</v>
      </c>
      <c r="IW42" s="354" t="s">
        <v>1110</v>
      </c>
      <c r="IX42" s="355"/>
      <c r="IY42" s="354" t="s">
        <v>1111</v>
      </c>
      <c r="IZ42" s="356"/>
      <c r="JA42" s="64">
        <f t="shared" ref="JA42" si="28">IF(AND(IQ42&gt;1,IQ47=1,IQ53=1),IQ42-1,IF(AND(IQ42=1,IQ47=1,IQ53=1),0,IQ42))</f>
        <v>0</v>
      </c>
      <c r="JB42" s="65" t="s">
        <v>1105</v>
      </c>
      <c r="JC42" s="65" t="s">
        <v>1106</v>
      </c>
      <c r="JD42" s="65" t="s">
        <v>1107</v>
      </c>
      <c r="JE42" s="65" t="s">
        <v>1108</v>
      </c>
      <c r="JF42" s="65" t="s">
        <v>1109</v>
      </c>
      <c r="JG42" s="354" t="s">
        <v>1110</v>
      </c>
      <c r="JH42" s="355"/>
      <c r="JI42" s="354" t="s">
        <v>1111</v>
      </c>
      <c r="JJ42" s="356"/>
      <c r="JK42" s="64">
        <f t="shared" ref="JK42" si="29">IF(AND(JA42&gt;1,JA47=1,JA53=1),JA42-1,IF(AND(JA42=1,JA47=1,JA53=1),0,JA42))</f>
        <v>0</v>
      </c>
      <c r="JL42" s="65" t="s">
        <v>1105</v>
      </c>
      <c r="JM42" s="65" t="s">
        <v>1106</v>
      </c>
      <c r="JN42" s="65" t="s">
        <v>1107</v>
      </c>
      <c r="JO42" s="65" t="s">
        <v>1108</v>
      </c>
      <c r="JP42" s="65" t="s">
        <v>1109</v>
      </c>
      <c r="JQ42" s="354" t="s">
        <v>1110</v>
      </c>
      <c r="JR42" s="355"/>
      <c r="JS42" s="354" t="s">
        <v>1111</v>
      </c>
      <c r="JT42" s="356"/>
      <c r="JU42" s="64">
        <f t="shared" ref="JU42" si="30">IF(AND(JK42&gt;1,JK47=1,JK53=1),JK42-1,IF(AND(JK42=1,JK47=1,JK53=1),0,JK42))</f>
        <v>0</v>
      </c>
      <c r="JV42" s="65" t="s">
        <v>1105</v>
      </c>
      <c r="JW42" s="65" t="s">
        <v>1106</v>
      </c>
      <c r="JX42" s="65" t="s">
        <v>1107</v>
      </c>
      <c r="JY42" s="65" t="s">
        <v>1108</v>
      </c>
      <c r="JZ42" s="65" t="s">
        <v>1109</v>
      </c>
      <c r="KA42" s="354" t="s">
        <v>1110</v>
      </c>
      <c r="KB42" s="355"/>
      <c r="KC42" s="354" t="s">
        <v>1111</v>
      </c>
      <c r="KD42" s="356"/>
      <c r="KE42" s="64">
        <f t="shared" ref="KE42" si="31">IF(AND(JU42&gt;1,JU47=1,JU53=1),JU42-1,IF(AND(JU42=1,JU47=1,JU53=1),0,JU42))</f>
        <v>0</v>
      </c>
      <c r="KF42" s="65" t="s">
        <v>1105</v>
      </c>
      <c r="KG42" s="65" t="s">
        <v>1106</v>
      </c>
      <c r="KH42" s="65" t="s">
        <v>1107</v>
      </c>
      <c r="KI42" s="65" t="s">
        <v>1108</v>
      </c>
      <c r="KJ42" s="65" t="s">
        <v>1109</v>
      </c>
      <c r="KK42" s="354" t="s">
        <v>1110</v>
      </c>
      <c r="KL42" s="355"/>
      <c r="KM42" s="354" t="s">
        <v>1111</v>
      </c>
      <c r="KN42" s="356"/>
      <c r="KO42" s="64">
        <f t="shared" ref="KO42" si="32">IF(AND(KE42&gt;1,KE47=1,KE53=1),KE42-1,IF(AND(KE42=1,KE47=1,KE53=1),0,KE42))</f>
        <v>0</v>
      </c>
      <c r="KP42" s="65" t="s">
        <v>1105</v>
      </c>
      <c r="KQ42" s="65" t="s">
        <v>1106</v>
      </c>
      <c r="KR42" s="65" t="s">
        <v>1107</v>
      </c>
      <c r="KS42" s="65" t="s">
        <v>1108</v>
      </c>
      <c r="KT42" s="65" t="s">
        <v>1109</v>
      </c>
      <c r="KU42" s="354" t="s">
        <v>1110</v>
      </c>
      <c r="KV42" s="355"/>
      <c r="KW42" s="354" t="s">
        <v>1111</v>
      </c>
      <c r="KX42" s="356"/>
      <c r="KY42" s="64">
        <f t="shared" ref="KY42" si="33">IF(AND(KO42&gt;1,KO47=1,KO53=1),KO42-1,IF(AND(KO42=1,KO47=1,KO53=1),0,KO42))</f>
        <v>0</v>
      </c>
      <c r="KZ42" s="65" t="s">
        <v>1105</v>
      </c>
      <c r="LA42" s="65" t="s">
        <v>1106</v>
      </c>
      <c r="LB42" s="65" t="s">
        <v>1107</v>
      </c>
      <c r="LC42" s="65" t="s">
        <v>1108</v>
      </c>
      <c r="LD42" s="65" t="s">
        <v>1109</v>
      </c>
      <c r="LE42" s="354" t="s">
        <v>1110</v>
      </c>
      <c r="LF42" s="355"/>
      <c r="LG42" s="354" t="s">
        <v>1111</v>
      </c>
      <c r="LH42" s="356"/>
      <c r="LI42" s="64">
        <f t="shared" ref="LI42" si="34">IF(AND(KY42&gt;1,KY47=1,KY53=1),KY42-1,IF(AND(KY42=1,KY47=1,KY53=1),0,KY42))</f>
        <v>0</v>
      </c>
      <c r="LJ42" s="65" t="s">
        <v>1105</v>
      </c>
      <c r="LK42" s="65" t="s">
        <v>1106</v>
      </c>
      <c r="LL42" s="65" t="s">
        <v>1107</v>
      </c>
      <c r="LM42" s="65" t="s">
        <v>1108</v>
      </c>
      <c r="LN42" s="65" t="s">
        <v>1109</v>
      </c>
      <c r="LO42" s="354" t="s">
        <v>1110</v>
      </c>
      <c r="LP42" s="355"/>
      <c r="LQ42" s="354" t="s">
        <v>1111</v>
      </c>
      <c r="LR42" s="356"/>
      <c r="LS42" s="64">
        <f t="shared" ref="LS42" si="35">IF(AND(LI42&gt;1,LI47=1,LI53=1),LI42-1,IF(AND(LI42=1,LI47=1,LI53=1),0,LI42))</f>
        <v>0</v>
      </c>
      <c r="LT42" s="65" t="s">
        <v>1105</v>
      </c>
      <c r="LU42" s="65" t="s">
        <v>1106</v>
      </c>
      <c r="LV42" s="65" t="s">
        <v>1107</v>
      </c>
      <c r="LW42" s="65" t="s">
        <v>1108</v>
      </c>
      <c r="LX42" s="65" t="s">
        <v>1109</v>
      </c>
      <c r="LY42" s="354" t="s">
        <v>1110</v>
      </c>
      <c r="LZ42" s="355"/>
      <c r="MA42" s="354" t="s">
        <v>1111</v>
      </c>
      <c r="MB42" s="356"/>
      <c r="MC42" s="64">
        <f t="shared" ref="MC42" si="36">IF(AND(LS42&gt;1,LS47=1,LS53=1),LS42-1,IF(AND(LS42=1,LS47=1,LS53=1),0,LS42))</f>
        <v>0</v>
      </c>
      <c r="MD42" s="65" t="s">
        <v>1105</v>
      </c>
      <c r="ME42" s="65" t="s">
        <v>1106</v>
      </c>
      <c r="MF42" s="65" t="s">
        <v>1107</v>
      </c>
      <c r="MG42" s="65" t="s">
        <v>1108</v>
      </c>
      <c r="MH42" s="65" t="s">
        <v>1109</v>
      </c>
      <c r="MI42" s="354" t="s">
        <v>1110</v>
      </c>
      <c r="MJ42" s="355"/>
      <c r="MK42" s="354" t="s">
        <v>1111</v>
      </c>
      <c r="ML42" s="356"/>
      <c r="MM42" s="64">
        <f t="shared" ref="MM42" si="37">IF(AND(MC42&gt;1,MC47=1,MC53=1),MC42-1,IF(AND(MC42=1,MC47=1,MC53=1),0,MC42))</f>
        <v>0</v>
      </c>
      <c r="MN42" s="65" t="s">
        <v>1105</v>
      </c>
      <c r="MO42" s="65" t="s">
        <v>1106</v>
      </c>
      <c r="MP42" s="65" t="s">
        <v>1107</v>
      </c>
      <c r="MQ42" s="65" t="s">
        <v>1108</v>
      </c>
      <c r="MR42" s="65" t="s">
        <v>1109</v>
      </c>
      <c r="MS42" s="354" t="s">
        <v>1110</v>
      </c>
      <c r="MT42" s="355"/>
      <c r="MU42" s="354" t="s">
        <v>1111</v>
      </c>
      <c r="MV42" s="356"/>
      <c r="MW42" s="64">
        <f t="shared" ref="MW42" si="38">IF(AND(MM42&gt;1,MM47=1,MM53=1),MM42-1,IF(AND(MM42=1,MM47=1,MM53=1),0,MM42))</f>
        <v>0</v>
      </c>
      <c r="MX42" s="65" t="s">
        <v>1105</v>
      </c>
      <c r="MY42" s="65" t="s">
        <v>1106</v>
      </c>
      <c r="MZ42" s="65" t="s">
        <v>1107</v>
      </c>
      <c r="NA42" s="65" t="s">
        <v>1108</v>
      </c>
      <c r="NB42" s="65" t="s">
        <v>1109</v>
      </c>
      <c r="NC42" s="354" t="s">
        <v>1110</v>
      </c>
      <c r="ND42" s="355"/>
      <c r="NE42" s="354" t="s">
        <v>1111</v>
      </c>
      <c r="NF42" s="356"/>
      <c r="NG42" s="64">
        <f t="shared" ref="NG42" si="39">IF(AND(MW42&gt;1,MW47=1,MW53=1),MW42-1,IF(AND(MW42=1,MW47=1,MW53=1),0,MW42))</f>
        <v>0</v>
      </c>
      <c r="NH42" s="65" t="s">
        <v>1105</v>
      </c>
      <c r="NI42" s="65" t="s">
        <v>1106</v>
      </c>
      <c r="NJ42" s="65" t="s">
        <v>1107</v>
      </c>
      <c r="NK42" s="65" t="s">
        <v>1108</v>
      </c>
      <c r="NL42" s="65" t="s">
        <v>1109</v>
      </c>
      <c r="NM42" s="354" t="s">
        <v>1110</v>
      </c>
      <c r="NN42" s="355"/>
      <c r="NO42" s="354" t="s">
        <v>1111</v>
      </c>
      <c r="NP42" s="356"/>
      <c r="NQ42" s="64">
        <f t="shared" ref="NQ42" si="40">IF(AND(NG42&gt;1,NG47=1,NG53=1),NG42-1,IF(AND(NG42=1,NG47=1,NG53=1),0,NG42))</f>
        <v>0</v>
      </c>
      <c r="NR42" s="65" t="s">
        <v>1105</v>
      </c>
      <c r="NS42" s="65" t="s">
        <v>1106</v>
      </c>
      <c r="NT42" s="65" t="s">
        <v>1107</v>
      </c>
      <c r="NU42" s="65" t="s">
        <v>1108</v>
      </c>
      <c r="NV42" s="65" t="s">
        <v>1109</v>
      </c>
      <c r="NW42" s="354" t="s">
        <v>1110</v>
      </c>
      <c r="NX42" s="355"/>
      <c r="NY42" s="354" t="s">
        <v>1111</v>
      </c>
      <c r="NZ42" s="356"/>
      <c r="OA42" s="64">
        <f t="shared" ref="OA42" si="41">IF(AND(NQ42&gt;1,NQ47=1,NQ53=1),NQ42-1,IF(AND(NQ42=1,NQ47=1,NQ53=1),0,NQ42))</f>
        <v>0</v>
      </c>
      <c r="OB42" s="65" t="s">
        <v>1105</v>
      </c>
      <c r="OC42" s="65" t="s">
        <v>1106</v>
      </c>
      <c r="OD42" s="65" t="s">
        <v>1107</v>
      </c>
      <c r="OE42" s="65" t="s">
        <v>1108</v>
      </c>
      <c r="OF42" s="65" t="s">
        <v>1109</v>
      </c>
      <c r="OG42" s="354" t="s">
        <v>1110</v>
      </c>
      <c r="OH42" s="355"/>
      <c r="OI42" s="354" t="s">
        <v>1111</v>
      </c>
      <c r="OJ42" s="356"/>
      <c r="OK42" s="64">
        <f t="shared" ref="OK42" si="42">IF(AND(OA42&gt;1,OA47=1,OA53=1),OA42-1,IF(AND(OA42=1,OA47=1,OA53=1),0,OA42))</f>
        <v>0</v>
      </c>
      <c r="OL42" s="65" t="s">
        <v>1105</v>
      </c>
      <c r="OM42" s="65" t="s">
        <v>1106</v>
      </c>
      <c r="ON42" s="65" t="s">
        <v>1107</v>
      </c>
      <c r="OO42" s="65" t="s">
        <v>1108</v>
      </c>
      <c r="OP42" s="65" t="s">
        <v>1109</v>
      </c>
      <c r="OQ42" s="354" t="s">
        <v>1110</v>
      </c>
      <c r="OR42" s="355"/>
      <c r="OS42" s="354" t="s">
        <v>1111</v>
      </c>
      <c r="OT42" s="356"/>
      <c r="OU42" s="64">
        <f t="shared" ref="OU42" si="43">IF(AND(OK42&gt;1,OK47=1,OK53=1),OK42-1,IF(AND(OK42=1,OK47=1,OK53=1),0,OK42))</f>
        <v>0</v>
      </c>
      <c r="OV42" s="65" t="s">
        <v>1105</v>
      </c>
      <c r="OW42" s="65" t="s">
        <v>1106</v>
      </c>
      <c r="OX42" s="65" t="s">
        <v>1107</v>
      </c>
      <c r="OY42" s="65" t="s">
        <v>1108</v>
      </c>
      <c r="OZ42" s="65" t="s">
        <v>1109</v>
      </c>
      <c r="PA42" s="354" t="s">
        <v>1110</v>
      </c>
      <c r="PB42" s="355"/>
      <c r="PC42" s="354" t="s">
        <v>1111</v>
      </c>
      <c r="PD42" s="356"/>
      <c r="PE42" s="64">
        <f t="shared" ref="PE42" si="44">IF(AND(OU42&gt;1,OU47=1,OU53=1),OU42-1,IF(AND(OU42=1,OU47=1,OU53=1),0,OU42))</f>
        <v>0</v>
      </c>
      <c r="PF42" s="65" t="s">
        <v>1105</v>
      </c>
      <c r="PG42" s="65" t="s">
        <v>1106</v>
      </c>
      <c r="PH42" s="65" t="s">
        <v>1107</v>
      </c>
      <c r="PI42" s="65" t="s">
        <v>1108</v>
      </c>
      <c r="PJ42" s="65" t="s">
        <v>1109</v>
      </c>
      <c r="PK42" s="354" t="s">
        <v>1110</v>
      </c>
      <c r="PL42" s="355"/>
      <c r="PM42" s="354" t="s">
        <v>1111</v>
      </c>
      <c r="PN42" s="356"/>
      <c r="PO42" s="64">
        <f t="shared" ref="PO42" si="45">IF(AND(PE42&gt;1,PE47=1,PE53=1),PE42-1,IF(AND(PE42=1,PE47=1,PE53=1),0,PE42))</f>
        <v>0</v>
      </c>
      <c r="PP42" s="65" t="s">
        <v>1105</v>
      </c>
      <c r="PQ42" s="65" t="s">
        <v>1106</v>
      </c>
      <c r="PR42" s="65" t="s">
        <v>1107</v>
      </c>
      <c r="PS42" s="65" t="s">
        <v>1108</v>
      </c>
      <c r="PT42" s="65" t="s">
        <v>1109</v>
      </c>
      <c r="PU42" s="354" t="s">
        <v>1110</v>
      </c>
      <c r="PV42" s="355"/>
      <c r="PW42" s="354" t="s">
        <v>1111</v>
      </c>
      <c r="PX42" s="356"/>
      <c r="PY42" s="64">
        <f t="shared" ref="PY42" si="46">IF(AND(PO42&gt;1,PO47=1,PO53=1),PO42-1,IF(AND(PO42=1,PO47=1,PO53=1),0,PO42))</f>
        <v>0</v>
      </c>
      <c r="PZ42" s="65" t="s">
        <v>1105</v>
      </c>
      <c r="QA42" s="65" t="s">
        <v>1106</v>
      </c>
      <c r="QB42" s="65" t="s">
        <v>1107</v>
      </c>
      <c r="QC42" s="65" t="s">
        <v>1108</v>
      </c>
      <c r="QD42" s="65" t="s">
        <v>1109</v>
      </c>
      <c r="QE42" s="354" t="s">
        <v>1110</v>
      </c>
      <c r="QF42" s="355"/>
      <c r="QG42" s="354" t="s">
        <v>1111</v>
      </c>
      <c r="QH42" s="356"/>
      <c r="QI42" s="64">
        <f t="shared" ref="QI42" si="47">IF(AND(PY42&gt;1,PY47=1,PY53=1),PY42-1,IF(AND(PY42=1,PY47=1,PY53=1),0,PY42))</f>
        <v>0</v>
      </c>
      <c r="QJ42" s="65" t="s">
        <v>1105</v>
      </c>
      <c r="QK42" s="65" t="s">
        <v>1106</v>
      </c>
      <c r="QL42" s="65" t="s">
        <v>1107</v>
      </c>
      <c r="QM42" s="65" t="s">
        <v>1108</v>
      </c>
      <c r="QN42" s="65" t="s">
        <v>1109</v>
      </c>
      <c r="QO42" s="354" t="s">
        <v>1110</v>
      </c>
      <c r="QP42" s="355"/>
      <c r="QQ42" s="354" t="s">
        <v>1111</v>
      </c>
      <c r="QR42" s="356"/>
      <c r="QS42" s="64">
        <f t="shared" ref="QS42" si="48">IF(AND(QI42&gt;1,QI47=1,QI53=1),QI42-1,IF(AND(QI42=1,QI47=1,QI53=1),0,QI42))</f>
        <v>0</v>
      </c>
      <c r="QT42" s="65" t="s">
        <v>1105</v>
      </c>
      <c r="QU42" s="65" t="s">
        <v>1106</v>
      </c>
      <c r="QV42" s="65" t="s">
        <v>1107</v>
      </c>
      <c r="QW42" s="65" t="s">
        <v>1108</v>
      </c>
      <c r="QX42" s="65" t="s">
        <v>1109</v>
      </c>
      <c r="QY42" s="354" t="s">
        <v>1110</v>
      </c>
      <c r="QZ42" s="355"/>
      <c r="RA42" s="354" t="s">
        <v>1111</v>
      </c>
      <c r="RB42" s="356"/>
      <c r="RC42" s="64">
        <f t="shared" ref="RC42" si="49">IF(AND(QS42&gt;1,QS47=1,QS53=1),QS42-1,IF(AND(QS42=1,QS47=1,QS53=1),0,QS42))</f>
        <v>0</v>
      </c>
      <c r="RD42" s="65" t="s">
        <v>1105</v>
      </c>
      <c r="RE42" s="65" t="s">
        <v>1106</v>
      </c>
      <c r="RF42" s="65" t="s">
        <v>1107</v>
      </c>
      <c r="RG42" s="65" t="s">
        <v>1108</v>
      </c>
      <c r="RH42" s="65" t="s">
        <v>1109</v>
      </c>
      <c r="RI42" s="354" t="s">
        <v>1110</v>
      </c>
      <c r="RJ42" s="355"/>
      <c r="RK42" s="354" t="s">
        <v>1111</v>
      </c>
      <c r="RL42" s="356"/>
      <c r="RM42" s="64">
        <f t="shared" ref="RM42" si="50">IF(AND(RC42&gt;1,RC47=1,RC53=1),RC42-1,IF(AND(RC42=1,RC47=1,RC53=1),0,RC42))</f>
        <v>0</v>
      </c>
      <c r="RN42" s="65" t="s">
        <v>1105</v>
      </c>
      <c r="RO42" s="65" t="s">
        <v>1106</v>
      </c>
      <c r="RP42" s="65" t="s">
        <v>1107</v>
      </c>
      <c r="RQ42" s="65" t="s">
        <v>1108</v>
      </c>
      <c r="RR42" s="65" t="s">
        <v>1109</v>
      </c>
      <c r="RS42" s="354" t="s">
        <v>1110</v>
      </c>
      <c r="RT42" s="355"/>
      <c r="RU42" s="354" t="s">
        <v>1111</v>
      </c>
      <c r="RV42" s="356"/>
      <c r="RW42" s="64">
        <f t="shared" ref="RW42" si="51">IF(AND(RM42&gt;1,RM47=1,RM53=1),RM42-1,IF(AND(RM42=1,RM47=1,RM53=1),0,RM42))</f>
        <v>0</v>
      </c>
      <c r="RX42" s="65" t="s">
        <v>1105</v>
      </c>
      <c r="RY42" s="65" t="s">
        <v>1106</v>
      </c>
      <c r="RZ42" s="65" t="s">
        <v>1107</v>
      </c>
      <c r="SA42" s="65" t="s">
        <v>1108</v>
      </c>
      <c r="SB42" s="65" t="s">
        <v>1109</v>
      </c>
      <c r="SC42" s="354" t="s">
        <v>1110</v>
      </c>
      <c r="SD42" s="355"/>
      <c r="SE42" s="354" t="s">
        <v>1111</v>
      </c>
      <c r="SF42" s="356"/>
      <c r="SG42" s="64">
        <f t="shared" ref="SG42" si="52">IF(AND(RW42&gt;1,RW47=1,RW53=1),RW42-1,IF(AND(RW42=1,RW47=1,RW53=1),0,RW42))</f>
        <v>0</v>
      </c>
      <c r="SH42" s="65" t="s">
        <v>1105</v>
      </c>
      <c r="SI42" s="65" t="s">
        <v>1106</v>
      </c>
      <c r="SJ42" s="65" t="s">
        <v>1107</v>
      </c>
      <c r="SK42" s="65" t="s">
        <v>1108</v>
      </c>
      <c r="SL42" s="65" t="s">
        <v>1109</v>
      </c>
      <c r="SM42" s="354" t="s">
        <v>1110</v>
      </c>
      <c r="SN42" s="355"/>
      <c r="SO42" s="354" t="s">
        <v>1111</v>
      </c>
      <c r="SP42" s="356"/>
      <c r="SQ42" s="64">
        <f t="shared" ref="SQ42" si="53">IF(AND(SG42&gt;1,SG47=1,SG53=1),SG42-1,IF(AND(SG42=1,SG47=1,SG53=1),0,SG42))</f>
        <v>0</v>
      </c>
      <c r="SR42" s="65" t="s">
        <v>1105</v>
      </c>
      <c r="SS42" s="65" t="s">
        <v>1106</v>
      </c>
      <c r="ST42" s="65" t="s">
        <v>1107</v>
      </c>
      <c r="SU42" s="65" t="s">
        <v>1108</v>
      </c>
      <c r="SV42" s="65" t="s">
        <v>1109</v>
      </c>
      <c r="SW42" s="354" t="s">
        <v>1110</v>
      </c>
      <c r="SX42" s="355"/>
      <c r="SY42" s="354" t="s">
        <v>1111</v>
      </c>
      <c r="SZ42" s="356"/>
      <c r="TA42" s="64">
        <f t="shared" ref="TA42" si="54">IF(AND(SQ42&gt;1,SQ47=1,SQ53=1),SQ42-1,IF(AND(SQ42=1,SQ47=1,SQ53=1),0,SQ42))</f>
        <v>0</v>
      </c>
      <c r="TB42" s="65" t="s">
        <v>1105</v>
      </c>
      <c r="TC42" s="65" t="s">
        <v>1106</v>
      </c>
      <c r="TD42" s="65" t="s">
        <v>1107</v>
      </c>
      <c r="TE42" s="65" t="s">
        <v>1108</v>
      </c>
      <c r="TF42" s="65" t="s">
        <v>1109</v>
      </c>
      <c r="TG42" s="354" t="s">
        <v>1110</v>
      </c>
      <c r="TH42" s="355"/>
      <c r="TI42" s="354" t="s">
        <v>1111</v>
      </c>
      <c r="TJ42" s="356"/>
      <c r="TK42" s="64">
        <f t="shared" ref="TK42" si="55">IF(AND(TA42&gt;1,TA47=1,TA53=1),TA42-1,IF(AND(TA42=1,TA47=1,TA53=1),0,TA42))</f>
        <v>0</v>
      </c>
      <c r="TL42" s="65" t="s">
        <v>1105</v>
      </c>
      <c r="TM42" s="65" t="s">
        <v>1106</v>
      </c>
      <c r="TN42" s="65" t="s">
        <v>1107</v>
      </c>
      <c r="TO42" s="65" t="s">
        <v>1108</v>
      </c>
      <c r="TP42" s="65" t="s">
        <v>1109</v>
      </c>
      <c r="TQ42" s="354" t="s">
        <v>1110</v>
      </c>
      <c r="TR42" s="355"/>
      <c r="TS42" s="354" t="s">
        <v>1111</v>
      </c>
      <c r="TT42" s="356"/>
      <c r="TU42" s="64">
        <f t="shared" ref="TU42" si="56">IF(AND(TK42&gt;1,TK47=1,TK53=1),TK42-1,IF(AND(TK42=1,TK47=1,TK53=1),0,TK42))</f>
        <v>0</v>
      </c>
      <c r="TV42" s="65" t="s">
        <v>1105</v>
      </c>
      <c r="TW42" s="65" t="s">
        <v>1106</v>
      </c>
      <c r="TX42" s="65" t="s">
        <v>1107</v>
      </c>
      <c r="TY42" s="65" t="s">
        <v>1108</v>
      </c>
      <c r="TZ42" s="65" t="s">
        <v>1109</v>
      </c>
      <c r="UA42" s="354" t="s">
        <v>1110</v>
      </c>
      <c r="UB42" s="355"/>
      <c r="UC42" s="354" t="s">
        <v>1111</v>
      </c>
      <c r="UD42" s="356"/>
      <c r="UE42" s="64">
        <f t="shared" ref="UE42" si="57">IF(AND(TU42&gt;1,TU47=1,TU53=1),TU42-1,IF(AND(TU42=1,TU47=1,TU53=1),0,TU42))</f>
        <v>0</v>
      </c>
      <c r="UF42" s="65" t="s">
        <v>1105</v>
      </c>
      <c r="UG42" s="65" t="s">
        <v>1106</v>
      </c>
      <c r="UH42" s="65" t="s">
        <v>1107</v>
      </c>
      <c r="UI42" s="65" t="s">
        <v>1108</v>
      </c>
      <c r="UJ42" s="65" t="s">
        <v>1109</v>
      </c>
      <c r="UK42" s="354" t="s">
        <v>1110</v>
      </c>
      <c r="UL42" s="355"/>
      <c r="UM42" s="354" t="s">
        <v>1111</v>
      </c>
      <c r="UN42" s="356"/>
      <c r="UO42" s="64">
        <f t="shared" ref="UO42" si="58">IF(AND(UE42&gt;1,UE47=1,UE53=1),UE42-1,IF(AND(UE42=1,UE47=1,UE53=1),0,UE42))</f>
        <v>0</v>
      </c>
      <c r="UP42" s="65" t="s">
        <v>1105</v>
      </c>
      <c r="UQ42" s="65" t="s">
        <v>1106</v>
      </c>
      <c r="UR42" s="65" t="s">
        <v>1107</v>
      </c>
      <c r="US42" s="65" t="s">
        <v>1108</v>
      </c>
      <c r="UT42" s="65" t="s">
        <v>1109</v>
      </c>
      <c r="UU42" s="354" t="s">
        <v>1110</v>
      </c>
      <c r="UV42" s="355"/>
      <c r="UW42" s="354" t="s">
        <v>1111</v>
      </c>
      <c r="UX42" s="356"/>
      <c r="UY42" s="64">
        <f t="shared" ref="UY42" si="59">IF(AND(UO42&gt;1,UO47=1,UO53=1),UO42-1,IF(AND(UO42=1,UO47=1,UO53=1),0,UO42))</f>
        <v>0</v>
      </c>
      <c r="UZ42" s="65" t="s">
        <v>1105</v>
      </c>
      <c r="VA42" s="65" t="s">
        <v>1106</v>
      </c>
      <c r="VB42" s="65" t="s">
        <v>1107</v>
      </c>
      <c r="VC42" s="65" t="s">
        <v>1108</v>
      </c>
      <c r="VD42" s="65" t="s">
        <v>1109</v>
      </c>
      <c r="VE42" s="354" t="s">
        <v>1110</v>
      </c>
      <c r="VF42" s="355"/>
      <c r="VG42" s="354" t="s">
        <v>1111</v>
      </c>
      <c r="VH42" s="356"/>
      <c r="VI42" s="64">
        <f t="shared" ref="VI42" si="60">IF(AND(UY42&gt;1,UY47=1,UY53=1),UY42-1,IF(AND(UY42=1,UY47=1,UY53=1),0,UY42))</f>
        <v>0</v>
      </c>
      <c r="VJ42" s="65" t="s">
        <v>1105</v>
      </c>
      <c r="VK42" s="65" t="s">
        <v>1106</v>
      </c>
      <c r="VL42" s="65" t="s">
        <v>1107</v>
      </c>
      <c r="VM42" s="65" t="s">
        <v>1108</v>
      </c>
      <c r="VN42" s="65" t="s">
        <v>1109</v>
      </c>
      <c r="VO42" s="354" t="s">
        <v>1110</v>
      </c>
      <c r="VP42" s="355"/>
      <c r="VQ42" s="354" t="s">
        <v>1111</v>
      </c>
      <c r="VR42" s="356"/>
      <c r="VS42" s="64">
        <f t="shared" ref="VS42" si="61">IF(AND(VI42&gt;1,VI47=1,VI53=1),VI42-1,IF(AND(VI42=1,VI47=1,VI53=1),0,VI42))</f>
        <v>0</v>
      </c>
      <c r="VT42" s="65" t="s">
        <v>1105</v>
      </c>
      <c r="VU42" s="65" t="s">
        <v>1106</v>
      </c>
      <c r="VV42" s="65" t="s">
        <v>1107</v>
      </c>
      <c r="VW42" s="65" t="s">
        <v>1108</v>
      </c>
      <c r="VX42" s="65" t="s">
        <v>1109</v>
      </c>
      <c r="VY42" s="354" t="s">
        <v>1110</v>
      </c>
      <c r="VZ42" s="355"/>
      <c r="WA42" s="354" t="s">
        <v>1111</v>
      </c>
      <c r="WB42" s="356"/>
      <c r="WC42" s="64">
        <f t="shared" ref="WC42" si="62">IF(AND(VS42&gt;1,VS47=1,VS53=1),VS42-1,IF(AND(VS42=1,VS47=1,VS53=1),0,VS42))</f>
        <v>0</v>
      </c>
      <c r="WD42" s="65" t="s">
        <v>1105</v>
      </c>
      <c r="WE42" s="65" t="s">
        <v>1106</v>
      </c>
      <c r="WF42" s="65" t="s">
        <v>1107</v>
      </c>
      <c r="WG42" s="65" t="s">
        <v>1108</v>
      </c>
      <c r="WH42" s="65" t="s">
        <v>1109</v>
      </c>
      <c r="WI42" s="354" t="s">
        <v>1110</v>
      </c>
      <c r="WJ42" s="355"/>
      <c r="WK42" s="354" t="s">
        <v>1111</v>
      </c>
      <c r="WL42" s="356"/>
      <c r="WM42" s="64">
        <f t="shared" ref="WM42" si="63">IF(AND(WC42&gt;1,WC47=1,WC53=1),WC42-1,IF(AND(WC42=1,WC47=1,WC53=1),0,WC42))</f>
        <v>0</v>
      </c>
      <c r="WN42" s="65" t="s">
        <v>1105</v>
      </c>
      <c r="WO42" s="65" t="s">
        <v>1106</v>
      </c>
      <c r="WP42" s="65" t="s">
        <v>1107</v>
      </c>
      <c r="WQ42" s="65" t="s">
        <v>1108</v>
      </c>
      <c r="WR42" s="65" t="s">
        <v>1109</v>
      </c>
      <c r="WS42" s="354" t="s">
        <v>1110</v>
      </c>
      <c r="WT42" s="355"/>
      <c r="WU42" s="354" t="s">
        <v>1111</v>
      </c>
      <c r="WV42" s="356"/>
      <c r="WW42" s="64">
        <f t="shared" ref="WW42" si="64">IF(AND(WM42&gt;1,WM47=1,WM53=1),WM42-1,IF(AND(WM42=1,WM47=1,WM53=1),0,WM42))</f>
        <v>0</v>
      </c>
      <c r="WX42" s="65" t="s">
        <v>1105</v>
      </c>
      <c r="WY42" s="65" t="s">
        <v>1106</v>
      </c>
      <c r="WZ42" s="65" t="s">
        <v>1107</v>
      </c>
      <c r="XA42" s="65" t="s">
        <v>1108</v>
      </c>
      <c r="XB42" s="65" t="s">
        <v>1109</v>
      </c>
      <c r="XC42" s="354" t="s">
        <v>1110</v>
      </c>
      <c r="XD42" s="355"/>
      <c r="XE42" s="354" t="s">
        <v>1111</v>
      </c>
      <c r="XF42" s="356"/>
      <c r="XG42" s="64">
        <f t="shared" ref="XG42" si="65">IF(AND(WW42&gt;1,WW47=1,WW53=1),WW42-1,IF(AND(WW42=1,WW47=1,WW53=1),0,WW42))</f>
        <v>0</v>
      </c>
      <c r="XH42" s="65" t="s">
        <v>1105</v>
      </c>
      <c r="XI42" s="65" t="s">
        <v>1106</v>
      </c>
      <c r="XJ42" s="65" t="s">
        <v>1107</v>
      </c>
      <c r="XK42" s="65" t="s">
        <v>1108</v>
      </c>
      <c r="XL42" s="65" t="s">
        <v>1109</v>
      </c>
      <c r="XM42" s="354" t="s">
        <v>1110</v>
      </c>
      <c r="XN42" s="355"/>
      <c r="XO42" s="354" t="s">
        <v>1111</v>
      </c>
      <c r="XP42" s="356"/>
      <c r="XQ42" s="64">
        <f t="shared" ref="XQ42" si="66">IF(AND(XG42&gt;1,XG47=1,XG53=1),XG42-1,IF(AND(XG42=1,XG47=1,XG53=1),0,XG42))</f>
        <v>0</v>
      </c>
      <c r="XR42" s="65" t="s">
        <v>1105</v>
      </c>
      <c r="XS42" s="65" t="s">
        <v>1106</v>
      </c>
      <c r="XT42" s="65" t="s">
        <v>1107</v>
      </c>
      <c r="XU42" s="65" t="s">
        <v>1108</v>
      </c>
      <c r="XV42" s="65" t="s">
        <v>1109</v>
      </c>
      <c r="XW42" s="354" t="s">
        <v>1110</v>
      </c>
      <c r="XX42" s="355"/>
      <c r="XY42" s="354" t="s">
        <v>1111</v>
      </c>
      <c r="XZ42" s="356"/>
      <c r="YA42" s="64">
        <f t="shared" ref="YA42" si="67">IF(AND(XQ42&gt;1,XQ47=1,XQ53=1),XQ42-1,IF(AND(XQ42=1,XQ47=1,XQ53=1),0,XQ42))</f>
        <v>0</v>
      </c>
      <c r="YB42" s="65" t="s">
        <v>1105</v>
      </c>
      <c r="YC42" s="65" t="s">
        <v>1106</v>
      </c>
      <c r="YD42" s="65" t="s">
        <v>1107</v>
      </c>
      <c r="YE42" s="65" t="s">
        <v>1108</v>
      </c>
      <c r="YF42" s="65" t="s">
        <v>1109</v>
      </c>
      <c r="YG42" s="354" t="s">
        <v>1110</v>
      </c>
      <c r="YH42" s="355"/>
      <c r="YI42" s="354" t="s">
        <v>1111</v>
      </c>
      <c r="YJ42" s="356"/>
      <c r="YK42" s="64">
        <f t="shared" ref="YK42" si="68">IF(AND(YA42&gt;1,YA47=1,YA53=1),YA42-1,IF(AND(YA42=1,YA47=1,YA53=1),0,YA42))</f>
        <v>0</v>
      </c>
      <c r="YL42" s="65" t="s">
        <v>1105</v>
      </c>
      <c r="YM42" s="65" t="s">
        <v>1106</v>
      </c>
      <c r="YN42" s="65" t="s">
        <v>1107</v>
      </c>
      <c r="YO42" s="65" t="s">
        <v>1108</v>
      </c>
      <c r="YP42" s="65" t="s">
        <v>1109</v>
      </c>
      <c r="YQ42" s="354" t="s">
        <v>1110</v>
      </c>
      <c r="YR42" s="355"/>
      <c r="YS42" s="354" t="s">
        <v>1111</v>
      </c>
      <c r="YT42" s="356"/>
      <c r="YU42" s="64">
        <f t="shared" ref="YU42" si="69">IF(AND(YK42&gt;1,YK47=1,YK53=1),YK42-1,IF(AND(YK42=1,YK47=1,YK53=1),0,YK42))</f>
        <v>0</v>
      </c>
      <c r="YV42" s="65" t="s">
        <v>1105</v>
      </c>
      <c r="YW42" s="65" t="s">
        <v>1106</v>
      </c>
      <c r="YX42" s="65" t="s">
        <v>1107</v>
      </c>
      <c r="YY42" s="65" t="s">
        <v>1108</v>
      </c>
      <c r="YZ42" s="65" t="s">
        <v>1109</v>
      </c>
      <c r="ZA42" s="354" t="s">
        <v>1110</v>
      </c>
      <c r="ZB42" s="355"/>
      <c r="ZC42" s="354" t="s">
        <v>1111</v>
      </c>
      <c r="ZD42" s="356"/>
      <c r="ZE42" s="64">
        <f t="shared" ref="ZE42" si="70">IF(AND(YU42&gt;1,YU47=1,YU53=1),YU42-1,IF(AND(YU42=1,YU47=1,YU53=1),0,YU42))</f>
        <v>0</v>
      </c>
      <c r="ZF42" s="65" t="s">
        <v>1105</v>
      </c>
      <c r="ZG42" s="65" t="s">
        <v>1106</v>
      </c>
      <c r="ZH42" s="65" t="s">
        <v>1107</v>
      </c>
      <c r="ZI42" s="65" t="s">
        <v>1108</v>
      </c>
      <c r="ZJ42" s="65" t="s">
        <v>1109</v>
      </c>
      <c r="ZK42" s="354" t="s">
        <v>1110</v>
      </c>
      <c r="ZL42" s="355"/>
      <c r="ZM42" s="354" t="s">
        <v>1111</v>
      </c>
      <c r="ZN42" s="356"/>
      <c r="ZO42" s="64">
        <f t="shared" ref="ZO42" si="71">IF(AND(ZE42&gt;1,ZE47=1,ZE53=1),ZE42-1,IF(AND(ZE42=1,ZE47=1,ZE53=1),0,ZE42))</f>
        <v>0</v>
      </c>
      <c r="ZP42" s="65" t="s">
        <v>1105</v>
      </c>
      <c r="ZQ42" s="65" t="s">
        <v>1106</v>
      </c>
      <c r="ZR42" s="65" t="s">
        <v>1107</v>
      </c>
      <c r="ZS42" s="65" t="s">
        <v>1108</v>
      </c>
      <c r="ZT42" s="65" t="s">
        <v>1109</v>
      </c>
      <c r="ZU42" s="354" t="s">
        <v>1110</v>
      </c>
      <c r="ZV42" s="355"/>
      <c r="ZW42" s="354" t="s">
        <v>1111</v>
      </c>
      <c r="ZX42" s="356"/>
      <c r="ZY42" s="64">
        <f t="shared" ref="ZY42" si="72">IF(AND(ZO42&gt;1,ZO47=1,ZO53=1),ZO42-1,IF(AND(ZO42=1,ZO47=1,ZO53=1),0,ZO42))</f>
        <v>0</v>
      </c>
      <c r="ZZ42" s="65" t="s">
        <v>1105</v>
      </c>
      <c r="AAA42" s="65" t="s">
        <v>1106</v>
      </c>
      <c r="AAB42" s="65" t="s">
        <v>1107</v>
      </c>
      <c r="AAC42" s="65" t="s">
        <v>1108</v>
      </c>
      <c r="AAD42" s="65" t="s">
        <v>1109</v>
      </c>
      <c r="AAE42" s="354" t="s">
        <v>1110</v>
      </c>
      <c r="AAF42" s="355"/>
      <c r="AAG42" s="354" t="s">
        <v>1111</v>
      </c>
      <c r="AAH42" s="356"/>
      <c r="AAI42" s="64">
        <f t="shared" ref="AAI42" si="73">IF(AND(ZY42&gt;1,ZY47=1,ZY53=1),ZY42-1,IF(AND(ZY42=1,ZY47=1,ZY53=1),0,ZY42))</f>
        <v>0</v>
      </c>
      <c r="AAJ42" s="65" t="s">
        <v>1105</v>
      </c>
      <c r="AAK42" s="65" t="s">
        <v>1106</v>
      </c>
      <c r="AAL42" s="65" t="s">
        <v>1107</v>
      </c>
      <c r="AAM42" s="65" t="s">
        <v>1108</v>
      </c>
      <c r="AAN42" s="65" t="s">
        <v>1109</v>
      </c>
      <c r="AAO42" s="354" t="s">
        <v>1110</v>
      </c>
      <c r="AAP42" s="355"/>
      <c r="AAQ42" s="354" t="s">
        <v>1111</v>
      </c>
      <c r="AAR42" s="356"/>
      <c r="AAS42" s="64">
        <f t="shared" ref="AAS42" si="74">IF(AND(AAI42&gt;1,AAI47=1,AAI53=1),AAI42-1,IF(AND(AAI42=1,AAI47=1,AAI53=1),0,AAI42))</f>
        <v>0</v>
      </c>
      <c r="AAT42" s="65" t="s">
        <v>1105</v>
      </c>
      <c r="AAU42" s="65" t="s">
        <v>1106</v>
      </c>
      <c r="AAV42" s="65" t="s">
        <v>1107</v>
      </c>
      <c r="AAW42" s="65" t="s">
        <v>1108</v>
      </c>
      <c r="AAX42" s="65" t="s">
        <v>1109</v>
      </c>
      <c r="AAY42" s="354" t="s">
        <v>1110</v>
      </c>
      <c r="AAZ42" s="355"/>
      <c r="ABA42" s="354" t="s">
        <v>1111</v>
      </c>
      <c r="ABB42" s="356"/>
      <c r="ABC42" s="64">
        <f t="shared" ref="ABC42" si="75">IF(AND(AAS42&gt;1,AAS47=1,AAS53=1),AAS42-1,IF(AND(AAS42=1,AAS47=1,AAS53=1),0,AAS42))</f>
        <v>0</v>
      </c>
      <c r="ABD42" s="65" t="s">
        <v>1105</v>
      </c>
      <c r="ABE42" s="65" t="s">
        <v>1106</v>
      </c>
      <c r="ABF42" s="65" t="s">
        <v>1107</v>
      </c>
      <c r="ABG42" s="65" t="s">
        <v>1108</v>
      </c>
      <c r="ABH42" s="65" t="s">
        <v>1109</v>
      </c>
      <c r="ABI42" s="354" t="s">
        <v>1110</v>
      </c>
      <c r="ABJ42" s="355"/>
      <c r="ABK42" s="354" t="s">
        <v>1111</v>
      </c>
      <c r="ABL42" s="356"/>
      <c r="ABM42" s="64">
        <f t="shared" ref="ABM42" si="76">IF(AND(ABC42&gt;1,ABC47=1,ABC53=1),ABC42-1,IF(AND(ABC42=1,ABC47=1,ABC53=1),0,ABC42))</f>
        <v>0</v>
      </c>
      <c r="ABN42" s="65" t="s">
        <v>1105</v>
      </c>
      <c r="ABO42" s="65" t="s">
        <v>1106</v>
      </c>
      <c r="ABP42" s="65" t="s">
        <v>1107</v>
      </c>
      <c r="ABQ42" s="65" t="s">
        <v>1108</v>
      </c>
      <c r="ABR42" s="65" t="s">
        <v>1109</v>
      </c>
      <c r="ABS42" s="354" t="s">
        <v>1110</v>
      </c>
      <c r="ABT42" s="355"/>
      <c r="ABU42" s="354" t="s">
        <v>1111</v>
      </c>
      <c r="ABV42" s="356"/>
      <c r="ABW42" s="64">
        <f t="shared" ref="ABW42" si="77">IF(AND(ABM42&gt;1,ABM47=1,ABM53=1),ABM42-1,IF(AND(ABM42=1,ABM47=1,ABM53=1),0,ABM42))</f>
        <v>0</v>
      </c>
      <c r="ABX42" s="65" t="s">
        <v>1105</v>
      </c>
      <c r="ABY42" s="65" t="s">
        <v>1106</v>
      </c>
      <c r="ABZ42" s="65" t="s">
        <v>1107</v>
      </c>
      <c r="ACA42" s="65" t="s">
        <v>1108</v>
      </c>
      <c r="ACB42" s="65" t="s">
        <v>1109</v>
      </c>
      <c r="ACC42" s="354" t="s">
        <v>1110</v>
      </c>
      <c r="ACD42" s="355"/>
      <c r="ACE42" s="354" t="s">
        <v>1111</v>
      </c>
      <c r="ACF42" s="356"/>
      <c r="ACG42" s="64">
        <f t="shared" ref="ACG42" si="78">IF(AND(ABW42&gt;1,ABW47=1,ABW53=1),ABW42-1,IF(AND(ABW42=1,ABW47=1,ABW53=1),0,ABW42))</f>
        <v>0</v>
      </c>
      <c r="ACH42" s="65" t="s">
        <v>1105</v>
      </c>
      <c r="ACI42" s="65" t="s">
        <v>1106</v>
      </c>
      <c r="ACJ42" s="65" t="s">
        <v>1107</v>
      </c>
      <c r="ACK42" s="65" t="s">
        <v>1108</v>
      </c>
      <c r="ACL42" s="65" t="s">
        <v>1109</v>
      </c>
      <c r="ACM42" s="354" t="s">
        <v>1110</v>
      </c>
      <c r="ACN42" s="355"/>
      <c r="ACO42" s="354" t="s">
        <v>1111</v>
      </c>
      <c r="ACP42" s="356"/>
      <c r="ACQ42" s="64">
        <f t="shared" ref="ACQ42" si="79">IF(AND(ACG42&gt;1,ACG47=1,ACG53=1),ACG42-1,IF(AND(ACG42=1,ACG47=1,ACG53=1),0,ACG42))</f>
        <v>0</v>
      </c>
      <c r="ACR42" s="65" t="s">
        <v>1105</v>
      </c>
      <c r="ACS42" s="65" t="s">
        <v>1106</v>
      </c>
      <c r="ACT42" s="65" t="s">
        <v>1107</v>
      </c>
      <c r="ACU42" s="65" t="s">
        <v>1108</v>
      </c>
      <c r="ACV42" s="65" t="s">
        <v>1109</v>
      </c>
      <c r="ACW42" s="354" t="s">
        <v>1110</v>
      </c>
      <c r="ACX42" s="355"/>
      <c r="ACY42" s="354" t="s">
        <v>1111</v>
      </c>
      <c r="ACZ42" s="356"/>
      <c r="ADA42" s="64">
        <f t="shared" ref="ADA42" si="80">IF(AND(ACQ42&gt;1,ACQ47=1,ACQ53=1),ACQ42-1,IF(AND(ACQ42=1,ACQ47=1,ACQ53=1),0,ACQ42))</f>
        <v>0</v>
      </c>
      <c r="ADB42" s="65" t="s">
        <v>1105</v>
      </c>
      <c r="ADC42" s="65" t="s">
        <v>1106</v>
      </c>
      <c r="ADD42" s="65" t="s">
        <v>1107</v>
      </c>
      <c r="ADE42" s="65" t="s">
        <v>1108</v>
      </c>
      <c r="ADF42" s="65" t="s">
        <v>1109</v>
      </c>
      <c r="ADG42" s="354" t="s">
        <v>1110</v>
      </c>
      <c r="ADH42" s="355"/>
      <c r="ADI42" s="354" t="s">
        <v>1111</v>
      </c>
      <c r="ADJ42" s="356"/>
      <c r="ADK42" s="64">
        <f t="shared" ref="ADK42" si="81">IF(AND(ADA42&gt;1,ADA47=1,ADA53=1),ADA42-1,IF(AND(ADA42=1,ADA47=1,ADA53=1),0,ADA42))</f>
        <v>0</v>
      </c>
      <c r="ADL42" s="65" t="s">
        <v>1105</v>
      </c>
      <c r="ADM42" s="65" t="s">
        <v>1106</v>
      </c>
      <c r="ADN42" s="65" t="s">
        <v>1107</v>
      </c>
      <c r="ADO42" s="65" t="s">
        <v>1108</v>
      </c>
      <c r="ADP42" s="65" t="s">
        <v>1109</v>
      </c>
      <c r="ADQ42" s="354" t="s">
        <v>1110</v>
      </c>
      <c r="ADR42" s="355"/>
      <c r="ADS42" s="354" t="s">
        <v>1111</v>
      </c>
      <c r="ADT42" s="356"/>
      <c r="ADU42" s="64">
        <f t="shared" ref="ADU42" si="82">IF(AND(ADK42&gt;1,ADK47=1,ADK53=1),ADK42-1,IF(AND(ADK42=1,ADK47=1,ADK53=1),0,ADK42))</f>
        <v>0</v>
      </c>
      <c r="ADV42" s="65" t="s">
        <v>1105</v>
      </c>
      <c r="ADW42" s="65" t="s">
        <v>1106</v>
      </c>
      <c r="ADX42" s="65" t="s">
        <v>1107</v>
      </c>
      <c r="ADY42" s="65" t="s">
        <v>1108</v>
      </c>
      <c r="ADZ42" s="65" t="s">
        <v>1109</v>
      </c>
      <c r="AEA42" s="354" t="s">
        <v>1110</v>
      </c>
      <c r="AEB42" s="355"/>
      <c r="AEC42" s="354" t="s">
        <v>1111</v>
      </c>
      <c r="AED42" s="356"/>
      <c r="AEE42" s="64">
        <f t="shared" ref="AEE42" si="83">IF(AND(ADU42&gt;1,ADU47=1,ADU53=1),ADU42-1,IF(AND(ADU42=1,ADU47=1,ADU53=1),0,ADU42))</f>
        <v>0</v>
      </c>
      <c r="AEF42" s="65" t="s">
        <v>1105</v>
      </c>
      <c r="AEG42" s="65" t="s">
        <v>1106</v>
      </c>
      <c r="AEH42" s="65" t="s">
        <v>1107</v>
      </c>
      <c r="AEI42" s="65" t="s">
        <v>1108</v>
      </c>
      <c r="AEJ42" s="65" t="s">
        <v>1109</v>
      </c>
      <c r="AEK42" s="354" t="s">
        <v>1110</v>
      </c>
      <c r="AEL42" s="355"/>
      <c r="AEM42" s="354" t="s">
        <v>1111</v>
      </c>
      <c r="AEN42" s="356"/>
      <c r="AEO42" s="64">
        <f t="shared" ref="AEO42" si="84">IF(AND(AEE42&gt;1,AEE47=1,AEE53=1),AEE42-1,IF(AND(AEE42=1,AEE47=1,AEE53=1),0,AEE42))</f>
        <v>0</v>
      </c>
      <c r="AEP42" s="65" t="s">
        <v>1105</v>
      </c>
      <c r="AEQ42" s="65" t="s">
        <v>1106</v>
      </c>
      <c r="AER42" s="65" t="s">
        <v>1107</v>
      </c>
      <c r="AES42" s="65" t="s">
        <v>1108</v>
      </c>
      <c r="AET42" s="65" t="s">
        <v>1109</v>
      </c>
      <c r="AEU42" s="354" t="s">
        <v>1110</v>
      </c>
      <c r="AEV42" s="355"/>
      <c r="AEW42" s="354" t="s">
        <v>1111</v>
      </c>
      <c r="AEX42" s="356"/>
      <c r="AEY42" s="64">
        <f t="shared" ref="AEY42" si="85">IF(AND(AEO42&gt;1,AEO47=1,AEO53=1),AEO42-1,IF(AND(AEO42=1,AEO47=1,AEO53=1),0,AEO42))</f>
        <v>0</v>
      </c>
      <c r="AEZ42" s="65" t="s">
        <v>1105</v>
      </c>
      <c r="AFA42" s="65" t="s">
        <v>1106</v>
      </c>
      <c r="AFB42" s="65" t="s">
        <v>1107</v>
      </c>
      <c r="AFC42" s="65" t="s">
        <v>1108</v>
      </c>
      <c r="AFD42" s="65" t="s">
        <v>1109</v>
      </c>
      <c r="AFE42" s="354" t="s">
        <v>1110</v>
      </c>
      <c r="AFF42" s="355"/>
      <c r="AFG42" s="354" t="s">
        <v>1111</v>
      </c>
      <c r="AFH42" s="356"/>
      <c r="AFI42" s="64">
        <f t="shared" ref="AFI42" si="86">IF(AND(AEY42&gt;1,AEY47=1,AEY53=1),AEY42-1,IF(AND(AEY42=1,AEY47=1,AEY53=1),0,AEY42))</f>
        <v>0</v>
      </c>
      <c r="AFJ42" s="65" t="s">
        <v>1105</v>
      </c>
      <c r="AFK42" s="65" t="s">
        <v>1106</v>
      </c>
      <c r="AFL42" s="65" t="s">
        <v>1107</v>
      </c>
      <c r="AFM42" s="65" t="s">
        <v>1108</v>
      </c>
      <c r="AFN42" s="65" t="s">
        <v>1109</v>
      </c>
      <c r="AFO42" s="354" t="s">
        <v>1110</v>
      </c>
      <c r="AFP42" s="355"/>
      <c r="AFQ42" s="354" t="s">
        <v>1111</v>
      </c>
      <c r="AFR42" s="356"/>
      <c r="AFS42" s="64">
        <f t="shared" ref="AFS42" si="87">IF(AND(AFI42&gt;1,AFI47=1,AFI53=1),AFI42-1,IF(AND(AFI42=1,AFI47=1,AFI53=1),0,AFI42))</f>
        <v>0</v>
      </c>
      <c r="AFT42" s="65" t="s">
        <v>1105</v>
      </c>
      <c r="AFU42" s="65" t="s">
        <v>1106</v>
      </c>
      <c r="AFV42" s="65" t="s">
        <v>1107</v>
      </c>
      <c r="AFW42" s="65" t="s">
        <v>1108</v>
      </c>
      <c r="AFX42" s="65" t="s">
        <v>1109</v>
      </c>
      <c r="AFY42" s="354" t="s">
        <v>1110</v>
      </c>
      <c r="AFZ42" s="355"/>
      <c r="AGA42" s="354" t="s">
        <v>1111</v>
      </c>
      <c r="AGB42" s="356"/>
      <c r="AGC42" s="64">
        <f t="shared" ref="AGC42" si="88">IF(AND(AFS42&gt;1,AFS47=1,AFS53=1),AFS42-1,IF(AND(AFS42=1,AFS47=1,AFS53=1),0,AFS42))</f>
        <v>0</v>
      </c>
      <c r="AGD42" s="65" t="s">
        <v>1105</v>
      </c>
      <c r="AGE42" s="65" t="s">
        <v>1106</v>
      </c>
      <c r="AGF42" s="65" t="s">
        <v>1107</v>
      </c>
      <c r="AGG42" s="65" t="s">
        <v>1108</v>
      </c>
      <c r="AGH42" s="65" t="s">
        <v>1109</v>
      </c>
      <c r="AGI42" s="354" t="s">
        <v>1110</v>
      </c>
      <c r="AGJ42" s="355"/>
      <c r="AGK42" s="354" t="s">
        <v>1111</v>
      </c>
      <c r="AGL42" s="356"/>
      <c r="AGM42" s="64">
        <f t="shared" ref="AGM42" si="89">IF(AND(AGC42&gt;1,AGC47=1,AGC53=1),AGC42-1,IF(AND(AGC42=1,AGC47=1,AGC53=1),0,AGC42))</f>
        <v>0</v>
      </c>
      <c r="AGN42" s="65" t="s">
        <v>1105</v>
      </c>
      <c r="AGO42" s="65" t="s">
        <v>1106</v>
      </c>
      <c r="AGP42" s="65" t="s">
        <v>1107</v>
      </c>
      <c r="AGQ42" s="65" t="s">
        <v>1108</v>
      </c>
      <c r="AGR42" s="65" t="s">
        <v>1109</v>
      </c>
      <c r="AGS42" s="354" t="s">
        <v>1110</v>
      </c>
      <c r="AGT42" s="355"/>
      <c r="AGU42" s="354" t="s">
        <v>1111</v>
      </c>
      <c r="AGV42" s="356"/>
      <c r="AGW42" s="64">
        <f t="shared" ref="AGW42" si="90">IF(AND(AGM42&gt;1,AGM47=1,AGM53=1),AGM42-1,IF(AND(AGM42=1,AGM47=1,AGM53=1),0,AGM42))</f>
        <v>0</v>
      </c>
      <c r="AGX42" s="65" t="s">
        <v>1105</v>
      </c>
      <c r="AGY42" s="65" t="s">
        <v>1106</v>
      </c>
      <c r="AGZ42" s="65" t="s">
        <v>1107</v>
      </c>
      <c r="AHA42" s="65" t="s">
        <v>1108</v>
      </c>
      <c r="AHB42" s="65" t="s">
        <v>1109</v>
      </c>
      <c r="AHC42" s="354" t="s">
        <v>1110</v>
      </c>
      <c r="AHD42" s="355"/>
      <c r="AHE42" s="354" t="s">
        <v>1111</v>
      </c>
      <c r="AHF42" s="356"/>
      <c r="AHG42" s="64">
        <f t="shared" ref="AHG42" si="91">IF(AND(AGW42&gt;1,AGW47=1,AGW53=1),AGW42-1,IF(AND(AGW42=1,AGW47=1,AGW53=1),0,AGW42))</f>
        <v>0</v>
      </c>
      <c r="AHH42" s="65" t="s">
        <v>1105</v>
      </c>
      <c r="AHI42" s="65" t="s">
        <v>1106</v>
      </c>
      <c r="AHJ42" s="65" t="s">
        <v>1107</v>
      </c>
      <c r="AHK42" s="65" t="s">
        <v>1108</v>
      </c>
      <c r="AHL42" s="65" t="s">
        <v>1109</v>
      </c>
      <c r="AHM42" s="354" t="s">
        <v>1110</v>
      </c>
      <c r="AHN42" s="355"/>
      <c r="AHO42" s="354" t="s">
        <v>1111</v>
      </c>
      <c r="AHP42" s="356"/>
      <c r="AHQ42" s="64">
        <f t="shared" ref="AHQ42" si="92">IF(AND(AHG42&gt;1,AHG47=1,AHG53=1),AHG42-1,IF(AND(AHG42=1,AHG47=1,AHG53=1),0,AHG42))</f>
        <v>0</v>
      </c>
      <c r="AHR42" s="65" t="s">
        <v>1105</v>
      </c>
      <c r="AHS42" s="65" t="s">
        <v>1106</v>
      </c>
      <c r="AHT42" s="65" t="s">
        <v>1107</v>
      </c>
      <c r="AHU42" s="65" t="s">
        <v>1108</v>
      </c>
      <c r="AHV42" s="65" t="s">
        <v>1109</v>
      </c>
      <c r="AHW42" s="354" t="s">
        <v>1110</v>
      </c>
      <c r="AHX42" s="355"/>
      <c r="AHY42" s="354" t="s">
        <v>1111</v>
      </c>
      <c r="AHZ42" s="356"/>
      <c r="AIA42" s="64">
        <f t="shared" ref="AIA42" si="93">IF(AND(AHQ42&gt;1,AHQ47=1,AHQ53=1),AHQ42-1,IF(AND(AHQ42=1,AHQ47=1,AHQ53=1),0,AHQ42))</f>
        <v>0</v>
      </c>
      <c r="AIB42" s="65" t="s">
        <v>1105</v>
      </c>
      <c r="AIC42" s="65" t="s">
        <v>1106</v>
      </c>
      <c r="AID42" s="65" t="s">
        <v>1107</v>
      </c>
      <c r="AIE42" s="65" t="s">
        <v>1108</v>
      </c>
      <c r="AIF42" s="65" t="s">
        <v>1109</v>
      </c>
      <c r="AIG42" s="354" t="s">
        <v>1110</v>
      </c>
      <c r="AIH42" s="355"/>
      <c r="AII42" s="354" t="s">
        <v>1111</v>
      </c>
      <c r="AIJ42" s="356"/>
      <c r="AIK42" s="64">
        <f t="shared" ref="AIK42" si="94">IF(AND(AIA42&gt;1,AIA47=1,AIA53=1),AIA42-1,IF(AND(AIA42=1,AIA47=1,AIA53=1),0,AIA42))</f>
        <v>0</v>
      </c>
      <c r="AIL42" s="65" t="s">
        <v>1105</v>
      </c>
      <c r="AIM42" s="65" t="s">
        <v>1106</v>
      </c>
      <c r="AIN42" s="65" t="s">
        <v>1107</v>
      </c>
      <c r="AIO42" s="65" t="s">
        <v>1108</v>
      </c>
      <c r="AIP42" s="65" t="s">
        <v>1109</v>
      </c>
      <c r="AIQ42" s="354" t="s">
        <v>1110</v>
      </c>
      <c r="AIR42" s="355"/>
      <c r="AIS42" s="354" t="s">
        <v>1111</v>
      </c>
      <c r="AIT42" s="356"/>
      <c r="AIU42" s="64">
        <f t="shared" ref="AIU42" si="95">IF(AND(AIK42&gt;1,AIK47=1,AIK53=1),AIK42-1,IF(AND(AIK42=1,AIK47=1,AIK53=1),0,AIK42))</f>
        <v>0</v>
      </c>
      <c r="AIV42" s="65" t="s">
        <v>1105</v>
      </c>
      <c r="AIW42" s="65" t="s">
        <v>1106</v>
      </c>
      <c r="AIX42" s="65" t="s">
        <v>1107</v>
      </c>
      <c r="AIY42" s="65" t="s">
        <v>1108</v>
      </c>
      <c r="AIZ42" s="65" t="s">
        <v>1109</v>
      </c>
      <c r="AJA42" s="354" t="s">
        <v>1110</v>
      </c>
      <c r="AJB42" s="355"/>
      <c r="AJC42" s="354" t="s">
        <v>1111</v>
      </c>
      <c r="AJD42" s="356"/>
    </row>
    <row r="43" spans="1:940" ht="15.95" customHeight="1">
      <c r="A43" s="363" t="s">
        <v>1248</v>
      </c>
      <c r="B43" s="18">
        <v>12</v>
      </c>
      <c r="C43" s="19" t="s">
        <v>1158</v>
      </c>
      <c r="D43" s="18">
        <f>E41+1</f>
        <v>26</v>
      </c>
      <c r="E43" s="18">
        <f>D43+F43-1</f>
        <v>28</v>
      </c>
      <c r="F43" s="18">
        <v>3</v>
      </c>
      <c r="G43" s="301" t="str">
        <f>TRIM(MID($C$28,(D43-1)*3+1,F43*3))</f>
        <v/>
      </c>
      <c r="H43" s="301"/>
      <c r="I43" s="302">
        <f t="shared" ref="I43:I49" si="96">HEX2DEC(SUBSTITUTE(G43," ",""))</f>
        <v>0</v>
      </c>
      <c r="J43" s="305"/>
      <c r="K43" s="357" t="s">
        <v>1248</v>
      </c>
      <c r="L43" s="18">
        <v>11</v>
      </c>
      <c r="M43" s="19" t="s">
        <v>1158</v>
      </c>
      <c r="N43" s="18">
        <f>IF(K42=A42,D43,E56+(I56*4)+1)</f>
        <v>26</v>
      </c>
      <c r="O43" s="18">
        <f t="shared" ref="O43:O66" si="97">N43+P43-1</f>
        <v>28</v>
      </c>
      <c r="P43" s="18">
        <v>3</v>
      </c>
      <c r="Q43" s="301" t="str">
        <f t="shared" ref="Q43:Q56" si="98">IF(K$42=0,"",TRIM(MID($C$28,(N43-1)*3+1,P43*3)))</f>
        <v/>
      </c>
      <c r="R43" s="301"/>
      <c r="S43" s="302" t="str">
        <f t="shared" ref="S43:S56" si="99">IF(HEX2DEC(SUBSTITUTE(Q43," ",""))=0,"",HEX2DEC(SUBSTITUTE(Q43," ","")))</f>
        <v/>
      </c>
      <c r="T43" s="349"/>
      <c r="U43" s="357" t="s">
        <v>1248</v>
      </c>
      <c r="V43" s="18">
        <v>11</v>
      </c>
      <c r="W43" s="19" t="s">
        <v>1158</v>
      </c>
      <c r="X43" s="18">
        <f t="shared" ref="X43" si="100">IF(U42=K42,N43,O56+(S56*4)+1)</f>
        <v>26</v>
      </c>
      <c r="Y43" s="18">
        <f t="shared" ref="Y43:Y66" si="101">X43+Z43-1</f>
        <v>28</v>
      </c>
      <c r="Z43" s="18">
        <v>3</v>
      </c>
      <c r="AA43" s="301" t="str">
        <f t="shared" ref="AA43:AA56" si="102">IF(U$42=0,"",TRIM(MID($C$28,(X43-1)*3+1,Z43*3)))</f>
        <v/>
      </c>
      <c r="AB43" s="301"/>
      <c r="AC43" s="302" t="str">
        <f t="shared" ref="AC43:AC49" si="103">IF(HEX2DEC(SUBSTITUTE(AA43," ",""))=0,"",HEX2DEC(SUBSTITUTE(AA43," ","")))</f>
        <v/>
      </c>
      <c r="AD43" s="349"/>
      <c r="AE43" s="357" t="s">
        <v>1248</v>
      </c>
      <c r="AF43" s="18">
        <v>11</v>
      </c>
      <c r="AG43" s="19" t="s">
        <v>1158</v>
      </c>
      <c r="AH43" s="18">
        <f t="shared" ref="AH43" si="104">IF(AE42=U42,X43,Y56+(AC56*4)+1)</f>
        <v>26</v>
      </c>
      <c r="AI43" s="18">
        <f t="shared" ref="AI43:AI66" si="105">AH43+AJ43-1</f>
        <v>28</v>
      </c>
      <c r="AJ43" s="18">
        <v>3</v>
      </c>
      <c r="AK43" s="301" t="str">
        <f t="shared" ref="AK43:AK56" si="106">IF(AE$42=0,"",TRIM(MID($C$28,(AH43-1)*3+1,AJ43*3)))</f>
        <v/>
      </c>
      <c r="AL43" s="301"/>
      <c r="AM43" s="302" t="str">
        <f t="shared" ref="AM43:AM49" si="107">IF(HEX2DEC(SUBSTITUTE(AK43," ",""))=0,"",HEX2DEC(SUBSTITUTE(AK43," ","")))</f>
        <v/>
      </c>
      <c r="AN43" s="349"/>
      <c r="AO43" s="357" t="s">
        <v>1248</v>
      </c>
      <c r="AP43" s="18">
        <v>11</v>
      </c>
      <c r="AQ43" s="19" t="s">
        <v>1158</v>
      </c>
      <c r="AR43" s="18">
        <f t="shared" ref="AR43" si="108">IF(AO42=AE42,AH43,AI56+(AM56*4)+1)</f>
        <v>26</v>
      </c>
      <c r="AS43" s="18">
        <f t="shared" ref="AS43:AS66" si="109">AR43+AT43-1</f>
        <v>28</v>
      </c>
      <c r="AT43" s="18">
        <v>3</v>
      </c>
      <c r="AU43" s="301" t="str">
        <f t="shared" ref="AU43:AU56" si="110">IF(AO$42=0,"",TRIM(MID($C$28,(AR43-1)*3+1,AT43*3)))</f>
        <v/>
      </c>
      <c r="AV43" s="301"/>
      <c r="AW43" s="302" t="str">
        <f t="shared" ref="AW43:AW49" si="111">IF(HEX2DEC(SUBSTITUTE(AU43," ",""))=0,"",HEX2DEC(SUBSTITUTE(AU43," ","")))</f>
        <v/>
      </c>
      <c r="AX43" s="349"/>
      <c r="AY43" s="357" t="s">
        <v>1248</v>
      </c>
      <c r="AZ43" s="18">
        <v>11</v>
      </c>
      <c r="BA43" s="19" t="s">
        <v>1158</v>
      </c>
      <c r="BB43" s="18">
        <f t="shared" ref="BB43" si="112">IF(AY42=AO42,AR43,AS56+(AW56*4)+1)</f>
        <v>26</v>
      </c>
      <c r="BC43" s="18">
        <f t="shared" ref="BC43:BC66" si="113">BB43+BD43-1</f>
        <v>28</v>
      </c>
      <c r="BD43" s="18">
        <v>3</v>
      </c>
      <c r="BE43" s="301" t="str">
        <f t="shared" ref="BE43:BE56" si="114">IF(AY$42=0,"",TRIM(MID($C$28,(BB43-1)*3+1,BD43*3)))</f>
        <v/>
      </c>
      <c r="BF43" s="301"/>
      <c r="BG43" s="302" t="str">
        <f t="shared" ref="BG43:BG49" si="115">IF(HEX2DEC(SUBSTITUTE(BE43," ",""))=0,"",HEX2DEC(SUBSTITUTE(BE43," ","")))</f>
        <v/>
      </c>
      <c r="BH43" s="349"/>
      <c r="BI43" s="357" t="s">
        <v>1248</v>
      </c>
      <c r="BJ43" s="18">
        <v>11</v>
      </c>
      <c r="BK43" s="19" t="s">
        <v>1158</v>
      </c>
      <c r="BL43" s="18">
        <f t="shared" ref="BL43" si="116">IF(BI42=AY42,BB43,BC56+(BG56*4)+1)</f>
        <v>26</v>
      </c>
      <c r="BM43" s="18">
        <f t="shared" ref="BM43:BM66" si="117">BL43+BN43-1</f>
        <v>28</v>
      </c>
      <c r="BN43" s="18">
        <v>3</v>
      </c>
      <c r="BO43" s="301" t="str">
        <f t="shared" ref="BO43:BO56" si="118">IF(BI$42=0,"",TRIM(MID($C$28,(BL43-1)*3+1,BN43*3)))</f>
        <v/>
      </c>
      <c r="BP43" s="301"/>
      <c r="BQ43" s="302" t="str">
        <f t="shared" ref="BQ43:BQ49" si="119">IF(HEX2DEC(SUBSTITUTE(BO43," ",""))=0,"",HEX2DEC(SUBSTITUTE(BO43," ","")))</f>
        <v/>
      </c>
      <c r="BR43" s="349"/>
      <c r="BS43" s="357" t="s">
        <v>1248</v>
      </c>
      <c r="BT43" s="18">
        <v>11</v>
      </c>
      <c r="BU43" s="19" t="s">
        <v>1158</v>
      </c>
      <c r="BV43" s="18">
        <f t="shared" ref="BV43" si="120">IF(BS42=BI42,BL43,BM56+(BQ56*4)+1)</f>
        <v>26</v>
      </c>
      <c r="BW43" s="18">
        <f t="shared" ref="BW43:BW66" si="121">BV43+BX43-1</f>
        <v>28</v>
      </c>
      <c r="BX43" s="18">
        <v>3</v>
      </c>
      <c r="BY43" s="301" t="str">
        <f t="shared" ref="BY43:BY56" si="122">IF(BS$42=0,"",TRIM(MID($C$28,(BV43-1)*3+1,BX43*3)))</f>
        <v/>
      </c>
      <c r="BZ43" s="301"/>
      <c r="CA43" s="302" t="str">
        <f t="shared" ref="CA43:CA49" si="123">IF(HEX2DEC(SUBSTITUTE(BY43," ",""))=0,"",HEX2DEC(SUBSTITUTE(BY43," ","")))</f>
        <v/>
      </c>
      <c r="CB43" s="349"/>
      <c r="CC43" s="357" t="s">
        <v>1248</v>
      </c>
      <c r="CD43" s="18">
        <v>11</v>
      </c>
      <c r="CE43" s="19" t="s">
        <v>1158</v>
      </c>
      <c r="CF43" s="18">
        <f t="shared" ref="CF43" si="124">IF(CC42=BS42,BV43,BW56+(CA56*4)+1)</f>
        <v>26</v>
      </c>
      <c r="CG43" s="18">
        <f t="shared" ref="CG43:CG66" si="125">CF43+CH43-1</f>
        <v>28</v>
      </c>
      <c r="CH43" s="18">
        <v>3</v>
      </c>
      <c r="CI43" s="301" t="str">
        <f t="shared" ref="CI43:CI56" si="126">IF(CC$42=0,"",TRIM(MID($C$28,(CF43-1)*3+1,CH43*3)))</f>
        <v/>
      </c>
      <c r="CJ43" s="301"/>
      <c r="CK43" s="302" t="str">
        <f t="shared" ref="CK43:CK49" si="127">IF(HEX2DEC(SUBSTITUTE(CI43," ",""))=0,"",HEX2DEC(SUBSTITUTE(CI43," ","")))</f>
        <v/>
      </c>
      <c r="CL43" s="349"/>
      <c r="CM43" s="357" t="s">
        <v>1248</v>
      </c>
      <c r="CN43" s="18">
        <v>11</v>
      </c>
      <c r="CO43" s="19" t="s">
        <v>1158</v>
      </c>
      <c r="CP43" s="18">
        <f t="shared" ref="CP43" si="128">IF(CM42=CC42,CF43,CG56+(CK56*4)+1)</f>
        <v>26</v>
      </c>
      <c r="CQ43" s="18">
        <f t="shared" ref="CQ43:CQ66" si="129">CP43+CR43-1</f>
        <v>28</v>
      </c>
      <c r="CR43" s="18">
        <v>3</v>
      </c>
      <c r="CS43" s="301" t="str">
        <f t="shared" ref="CS43:CS56" si="130">IF(CM$42=0,"",TRIM(MID($C$28,(CP43-1)*3+1,CR43*3)))</f>
        <v/>
      </c>
      <c r="CT43" s="301"/>
      <c r="CU43" s="302" t="str">
        <f t="shared" ref="CU43:CU49" si="131">IF(HEX2DEC(SUBSTITUTE(CS43," ",""))=0,"",HEX2DEC(SUBSTITUTE(CS43," ","")))</f>
        <v/>
      </c>
      <c r="CV43" s="349"/>
      <c r="CW43" s="357" t="s">
        <v>1248</v>
      </c>
      <c r="CX43" s="18">
        <v>11</v>
      </c>
      <c r="CY43" s="19" t="s">
        <v>1158</v>
      </c>
      <c r="CZ43" s="18">
        <f t="shared" ref="CZ43" si="132">IF(CW42=CM42,CP43,CQ56+(CU56*4)+1)</f>
        <v>26</v>
      </c>
      <c r="DA43" s="18">
        <f t="shared" ref="DA43:DA66" si="133">CZ43+DB43-1</f>
        <v>28</v>
      </c>
      <c r="DB43" s="18">
        <v>3</v>
      </c>
      <c r="DC43" s="301" t="str">
        <f t="shared" ref="DC43:DC56" si="134">IF(CW$42=0,"",TRIM(MID($C$28,(CZ43-1)*3+1,DB43*3)))</f>
        <v/>
      </c>
      <c r="DD43" s="301"/>
      <c r="DE43" s="302" t="str">
        <f t="shared" ref="DE43:DE49" si="135">IF(HEX2DEC(SUBSTITUTE(DC43," ",""))=0,"",HEX2DEC(SUBSTITUTE(DC43," ","")))</f>
        <v/>
      </c>
      <c r="DF43" s="349"/>
      <c r="DG43" s="357" t="s">
        <v>1248</v>
      </c>
      <c r="DH43" s="18">
        <v>11</v>
      </c>
      <c r="DI43" s="19" t="s">
        <v>1158</v>
      </c>
      <c r="DJ43" s="18">
        <f t="shared" ref="DJ43" si="136">IF(DG42=CW42,CZ43,DA56+(DE56*4)+1)</f>
        <v>26</v>
      </c>
      <c r="DK43" s="18">
        <f t="shared" ref="DK43:DK66" si="137">DJ43+DL43-1</f>
        <v>28</v>
      </c>
      <c r="DL43" s="18">
        <v>3</v>
      </c>
      <c r="DM43" s="301" t="str">
        <f t="shared" ref="DM43:DM56" si="138">IF(DG$42=0,"",TRIM(MID($C$28,(DJ43-1)*3+1,DL43*3)))</f>
        <v/>
      </c>
      <c r="DN43" s="301"/>
      <c r="DO43" s="302" t="str">
        <f t="shared" ref="DO43:DO49" si="139">IF(HEX2DEC(SUBSTITUTE(DM43," ",""))=0,"",HEX2DEC(SUBSTITUTE(DM43," ","")))</f>
        <v/>
      </c>
      <c r="DP43" s="349"/>
      <c r="DQ43" s="357" t="s">
        <v>1248</v>
      </c>
      <c r="DR43" s="18">
        <v>11</v>
      </c>
      <c r="DS43" s="19" t="s">
        <v>1158</v>
      </c>
      <c r="DT43" s="18">
        <f t="shared" ref="DT43" si="140">IF(DQ42=DG42,DJ43,DK56+(DO56*4)+1)</f>
        <v>26</v>
      </c>
      <c r="DU43" s="18">
        <f t="shared" ref="DU43:DU66" si="141">DT43+DV43-1</f>
        <v>28</v>
      </c>
      <c r="DV43" s="18">
        <v>3</v>
      </c>
      <c r="DW43" s="301" t="str">
        <f t="shared" ref="DW43:DW56" si="142">IF(DQ$42=0,"",TRIM(MID($C$28,(DT43-1)*3+1,DV43*3)))</f>
        <v/>
      </c>
      <c r="DX43" s="301"/>
      <c r="DY43" s="302" t="str">
        <f t="shared" ref="DY43:DY49" si="143">IF(HEX2DEC(SUBSTITUTE(DW43," ",""))=0,"",HEX2DEC(SUBSTITUTE(DW43," ","")))</f>
        <v/>
      </c>
      <c r="DZ43" s="349"/>
      <c r="EA43" s="357" t="s">
        <v>1248</v>
      </c>
      <c r="EB43" s="18">
        <v>11</v>
      </c>
      <c r="EC43" s="19" t="s">
        <v>1158</v>
      </c>
      <c r="ED43" s="18">
        <f t="shared" ref="ED43" si="144">IF(EA42=DQ42,DT43,DU56+(DY56*4)+1)</f>
        <v>26</v>
      </c>
      <c r="EE43" s="18">
        <f t="shared" ref="EE43:EE66" si="145">ED43+EF43-1</f>
        <v>28</v>
      </c>
      <c r="EF43" s="18">
        <v>3</v>
      </c>
      <c r="EG43" s="301" t="str">
        <f t="shared" ref="EG43:EG56" si="146">IF(EA$42=0,"",TRIM(MID($C$28,(ED43-1)*3+1,EF43*3)))</f>
        <v/>
      </c>
      <c r="EH43" s="301"/>
      <c r="EI43" s="302" t="str">
        <f t="shared" ref="EI43:EI49" si="147">IF(HEX2DEC(SUBSTITUTE(EG43," ",""))=0,"",HEX2DEC(SUBSTITUTE(EG43," ","")))</f>
        <v/>
      </c>
      <c r="EJ43" s="349"/>
      <c r="EK43" s="357" t="s">
        <v>1248</v>
      </c>
      <c r="EL43" s="18">
        <v>11</v>
      </c>
      <c r="EM43" s="19" t="s">
        <v>1158</v>
      </c>
      <c r="EN43" s="18">
        <f t="shared" ref="EN43" si="148">IF(EK42=EA42,ED43,EE56+(EI56*4)+1)</f>
        <v>26</v>
      </c>
      <c r="EO43" s="18">
        <f t="shared" ref="EO43:EO66" si="149">EN43+EP43-1</f>
        <v>28</v>
      </c>
      <c r="EP43" s="18">
        <v>3</v>
      </c>
      <c r="EQ43" s="301" t="str">
        <f t="shared" ref="EQ43:EQ56" si="150">IF(EK$42=0,"",TRIM(MID($C$28,(EN43-1)*3+1,EP43*3)))</f>
        <v/>
      </c>
      <c r="ER43" s="301"/>
      <c r="ES43" s="302" t="str">
        <f t="shared" ref="ES43:ES49" si="151">IF(HEX2DEC(SUBSTITUTE(EQ43," ",""))=0,"",HEX2DEC(SUBSTITUTE(EQ43," ","")))</f>
        <v/>
      </c>
      <c r="ET43" s="349"/>
      <c r="EU43" s="357" t="s">
        <v>1248</v>
      </c>
      <c r="EV43" s="18">
        <v>11</v>
      </c>
      <c r="EW43" s="19" t="s">
        <v>1158</v>
      </c>
      <c r="EX43" s="18">
        <f t="shared" ref="EX43" si="152">IF(EU42=EK42,EN43,EO56+(ES56*4)+1)</f>
        <v>26</v>
      </c>
      <c r="EY43" s="18">
        <f t="shared" ref="EY43:EY66" si="153">EX43+EZ43-1</f>
        <v>28</v>
      </c>
      <c r="EZ43" s="18">
        <v>3</v>
      </c>
      <c r="FA43" s="301" t="str">
        <f t="shared" ref="FA43:FA56" si="154">IF(EU$42=0,"",TRIM(MID($C$28,(EX43-1)*3+1,EZ43*3)))</f>
        <v/>
      </c>
      <c r="FB43" s="301"/>
      <c r="FC43" s="302" t="str">
        <f t="shared" ref="FC43:FC49" si="155">IF(HEX2DEC(SUBSTITUTE(FA43," ",""))=0,"",HEX2DEC(SUBSTITUTE(FA43," ","")))</f>
        <v/>
      </c>
      <c r="FD43" s="349"/>
      <c r="FE43" s="357" t="s">
        <v>1248</v>
      </c>
      <c r="FF43" s="18">
        <v>11</v>
      </c>
      <c r="FG43" s="19" t="s">
        <v>1158</v>
      </c>
      <c r="FH43" s="18">
        <f t="shared" ref="FH43" si="156">IF(FE42=EU42,EX43,EY56+(FC56*4)+1)</f>
        <v>26</v>
      </c>
      <c r="FI43" s="18">
        <f t="shared" ref="FI43:FI66" si="157">FH43+FJ43-1</f>
        <v>28</v>
      </c>
      <c r="FJ43" s="18">
        <v>3</v>
      </c>
      <c r="FK43" s="301" t="str">
        <f t="shared" ref="FK43:FK56" si="158">IF(FE$42=0,"",TRIM(MID($C$28,(FH43-1)*3+1,FJ43*3)))</f>
        <v/>
      </c>
      <c r="FL43" s="301"/>
      <c r="FM43" s="302" t="str">
        <f t="shared" ref="FM43:FM49" si="159">IF(HEX2DEC(SUBSTITUTE(FK43," ",""))=0,"",HEX2DEC(SUBSTITUTE(FK43," ","")))</f>
        <v/>
      </c>
      <c r="FN43" s="349"/>
      <c r="FO43" s="357" t="s">
        <v>1248</v>
      </c>
      <c r="FP43" s="18">
        <v>11</v>
      </c>
      <c r="FQ43" s="19" t="s">
        <v>1158</v>
      </c>
      <c r="FR43" s="18">
        <f t="shared" ref="FR43" si="160">IF(FO42=FE42,FH43,FI56+(FM56*4)+1)</f>
        <v>26</v>
      </c>
      <c r="FS43" s="18">
        <f t="shared" ref="FS43:FS66" si="161">FR43+FT43-1</f>
        <v>28</v>
      </c>
      <c r="FT43" s="18">
        <v>3</v>
      </c>
      <c r="FU43" s="301" t="str">
        <f t="shared" ref="FU43:FU56" si="162">IF(FO$42=0,"",TRIM(MID($C$28,(FR43-1)*3+1,FT43*3)))</f>
        <v/>
      </c>
      <c r="FV43" s="301"/>
      <c r="FW43" s="302" t="str">
        <f t="shared" ref="FW43:FW49" si="163">IF(HEX2DEC(SUBSTITUTE(FU43," ",""))=0,"",HEX2DEC(SUBSTITUTE(FU43," ","")))</f>
        <v/>
      </c>
      <c r="FX43" s="349"/>
      <c r="FY43" s="357" t="s">
        <v>1248</v>
      </c>
      <c r="FZ43" s="18">
        <v>11</v>
      </c>
      <c r="GA43" s="19" t="s">
        <v>1158</v>
      </c>
      <c r="GB43" s="18">
        <f t="shared" ref="GB43" si="164">IF(FY42=FO42,FR43,FS56+(FW56*4)+1)</f>
        <v>26</v>
      </c>
      <c r="GC43" s="18">
        <f t="shared" ref="GC43:GC66" si="165">GB43+GD43-1</f>
        <v>28</v>
      </c>
      <c r="GD43" s="18">
        <v>3</v>
      </c>
      <c r="GE43" s="301" t="str">
        <f t="shared" ref="GE43:GE56" si="166">IF(FY$42=0,"",TRIM(MID($C$28,(GB43-1)*3+1,GD43*3)))</f>
        <v/>
      </c>
      <c r="GF43" s="301"/>
      <c r="GG43" s="302" t="str">
        <f t="shared" ref="GG43:GG49" si="167">IF(HEX2DEC(SUBSTITUTE(GE43," ",""))=0,"",HEX2DEC(SUBSTITUTE(GE43," ","")))</f>
        <v/>
      </c>
      <c r="GH43" s="349"/>
      <c r="GI43" s="357" t="s">
        <v>1248</v>
      </c>
      <c r="GJ43" s="18">
        <v>11</v>
      </c>
      <c r="GK43" s="19" t="s">
        <v>1158</v>
      </c>
      <c r="GL43" s="18">
        <f t="shared" ref="GL43" si="168">IF(GI42=FY42,GB43,GC56+(GG56*4)+1)</f>
        <v>26</v>
      </c>
      <c r="GM43" s="18">
        <f t="shared" ref="GM43:GM66" si="169">GL43+GN43-1</f>
        <v>28</v>
      </c>
      <c r="GN43" s="18">
        <v>3</v>
      </c>
      <c r="GO43" s="301" t="str">
        <f t="shared" ref="GO43:GO56" si="170">IF(GI$42=0,"",TRIM(MID($C$28,(GL43-1)*3+1,GN43*3)))</f>
        <v/>
      </c>
      <c r="GP43" s="301"/>
      <c r="GQ43" s="302" t="str">
        <f t="shared" ref="GQ43:GQ49" si="171">IF(HEX2DEC(SUBSTITUTE(GO43," ",""))=0,"",HEX2DEC(SUBSTITUTE(GO43," ","")))</f>
        <v/>
      </c>
      <c r="GR43" s="349"/>
      <c r="GS43" s="357" t="s">
        <v>1248</v>
      </c>
      <c r="GT43" s="18">
        <v>11</v>
      </c>
      <c r="GU43" s="19" t="s">
        <v>1158</v>
      </c>
      <c r="GV43" s="18">
        <f t="shared" ref="GV43" si="172">IF(GS42=GI42,GL43,GM56+(GQ56*4)+1)</f>
        <v>26</v>
      </c>
      <c r="GW43" s="18">
        <f t="shared" ref="GW43:GW66" si="173">GV43+GX43-1</f>
        <v>28</v>
      </c>
      <c r="GX43" s="18">
        <v>3</v>
      </c>
      <c r="GY43" s="301" t="str">
        <f t="shared" ref="GY43:GY56" si="174">IF(GS$42=0,"",TRIM(MID($C$28,(GV43-1)*3+1,GX43*3)))</f>
        <v/>
      </c>
      <c r="GZ43" s="301"/>
      <c r="HA43" s="302" t="str">
        <f t="shared" ref="HA43:HA49" si="175">IF(HEX2DEC(SUBSTITUTE(GY43," ",""))=0,"",HEX2DEC(SUBSTITUTE(GY43," ","")))</f>
        <v/>
      </c>
      <c r="HB43" s="349"/>
      <c r="HC43" s="357" t="s">
        <v>1248</v>
      </c>
      <c r="HD43" s="18">
        <v>11</v>
      </c>
      <c r="HE43" s="19" t="s">
        <v>1158</v>
      </c>
      <c r="HF43" s="18">
        <f t="shared" ref="HF43" si="176">IF(HC42=GS42,GV43,GW56+(HA56*4)+1)</f>
        <v>26</v>
      </c>
      <c r="HG43" s="18">
        <f t="shared" ref="HG43:HG66" si="177">HF43+HH43-1</f>
        <v>28</v>
      </c>
      <c r="HH43" s="18">
        <v>3</v>
      </c>
      <c r="HI43" s="301" t="str">
        <f t="shared" ref="HI43:HI56" si="178">IF(HC$42=0,"",TRIM(MID($C$28,(HF43-1)*3+1,HH43*3)))</f>
        <v/>
      </c>
      <c r="HJ43" s="301"/>
      <c r="HK43" s="302" t="str">
        <f t="shared" ref="HK43:HK49" si="179">IF(HEX2DEC(SUBSTITUTE(HI43," ",""))=0,"",HEX2DEC(SUBSTITUTE(HI43," ","")))</f>
        <v/>
      </c>
      <c r="HL43" s="349"/>
      <c r="HM43" s="357" t="s">
        <v>1248</v>
      </c>
      <c r="HN43" s="18">
        <v>11</v>
      </c>
      <c r="HO43" s="19" t="s">
        <v>1158</v>
      </c>
      <c r="HP43" s="18">
        <f t="shared" ref="HP43" si="180">IF(HM42=HC42,HF43,HG56+(HK56*4)+1)</f>
        <v>26</v>
      </c>
      <c r="HQ43" s="18">
        <f t="shared" ref="HQ43:HQ66" si="181">HP43+HR43-1</f>
        <v>28</v>
      </c>
      <c r="HR43" s="18">
        <v>3</v>
      </c>
      <c r="HS43" s="301" t="str">
        <f t="shared" ref="HS43:HS56" si="182">IF(HM$42=0,"",TRIM(MID($C$28,(HP43-1)*3+1,HR43*3)))</f>
        <v/>
      </c>
      <c r="HT43" s="301"/>
      <c r="HU43" s="302" t="str">
        <f t="shared" ref="HU43:HU49" si="183">IF(HEX2DEC(SUBSTITUTE(HS43," ",""))=0,"",HEX2DEC(SUBSTITUTE(HS43," ","")))</f>
        <v/>
      </c>
      <c r="HV43" s="349"/>
      <c r="HW43" s="357" t="s">
        <v>1248</v>
      </c>
      <c r="HX43" s="18">
        <v>11</v>
      </c>
      <c r="HY43" s="19" t="s">
        <v>1158</v>
      </c>
      <c r="HZ43" s="18">
        <f t="shared" ref="HZ43" si="184">IF(HW42=HM42,HP43,HQ56+(HU56*4)+1)</f>
        <v>26</v>
      </c>
      <c r="IA43" s="18">
        <f t="shared" ref="IA43:IA66" si="185">HZ43+IB43-1</f>
        <v>28</v>
      </c>
      <c r="IB43" s="18">
        <v>3</v>
      </c>
      <c r="IC43" s="301" t="str">
        <f t="shared" ref="IC43:IC56" si="186">IF(HW$42=0,"",TRIM(MID($C$28,(HZ43-1)*3+1,IB43*3)))</f>
        <v/>
      </c>
      <c r="ID43" s="301"/>
      <c r="IE43" s="302" t="str">
        <f t="shared" ref="IE43:IE49" si="187">IF(HEX2DEC(SUBSTITUTE(IC43," ",""))=0,"",HEX2DEC(SUBSTITUTE(IC43," ","")))</f>
        <v/>
      </c>
      <c r="IF43" s="349"/>
      <c r="IG43" s="357" t="s">
        <v>1248</v>
      </c>
      <c r="IH43" s="18">
        <v>11</v>
      </c>
      <c r="II43" s="19" t="s">
        <v>1158</v>
      </c>
      <c r="IJ43" s="18">
        <f t="shared" ref="IJ43" si="188">IF(IG42=HW42,HZ43,IA56+(IE56*4)+1)</f>
        <v>26</v>
      </c>
      <c r="IK43" s="18">
        <f t="shared" ref="IK43:IK66" si="189">IJ43+IL43-1</f>
        <v>28</v>
      </c>
      <c r="IL43" s="18">
        <v>3</v>
      </c>
      <c r="IM43" s="301" t="str">
        <f t="shared" ref="IM43:IM56" si="190">IF(IG$42=0,"",TRIM(MID($C$28,(IJ43-1)*3+1,IL43*3)))</f>
        <v/>
      </c>
      <c r="IN43" s="301"/>
      <c r="IO43" s="302" t="str">
        <f t="shared" ref="IO43:IO49" si="191">IF(HEX2DEC(SUBSTITUTE(IM43," ",""))=0,"",HEX2DEC(SUBSTITUTE(IM43," ","")))</f>
        <v/>
      </c>
      <c r="IP43" s="349"/>
      <c r="IQ43" s="357" t="s">
        <v>1248</v>
      </c>
      <c r="IR43" s="18">
        <v>11</v>
      </c>
      <c r="IS43" s="19" t="s">
        <v>1158</v>
      </c>
      <c r="IT43" s="18">
        <f t="shared" ref="IT43" si="192">IF(IQ42=IG42,IJ43,IK56+(IO56*4)+1)</f>
        <v>26</v>
      </c>
      <c r="IU43" s="18">
        <f t="shared" ref="IU43:IU66" si="193">IT43+IV43-1</f>
        <v>28</v>
      </c>
      <c r="IV43" s="18">
        <v>3</v>
      </c>
      <c r="IW43" s="301" t="str">
        <f t="shared" ref="IW43:IW56" si="194">IF(IQ$42=0,"",TRIM(MID($C$28,(IT43-1)*3+1,IV43*3)))</f>
        <v/>
      </c>
      <c r="IX43" s="301"/>
      <c r="IY43" s="302" t="str">
        <f t="shared" ref="IY43:IY49" si="195">IF(HEX2DEC(SUBSTITUTE(IW43," ",""))=0,"",HEX2DEC(SUBSTITUTE(IW43," ","")))</f>
        <v/>
      </c>
      <c r="IZ43" s="349"/>
      <c r="JA43" s="357" t="s">
        <v>1248</v>
      </c>
      <c r="JB43" s="18">
        <v>11</v>
      </c>
      <c r="JC43" s="19" t="s">
        <v>1158</v>
      </c>
      <c r="JD43" s="18">
        <f t="shared" ref="JD43" si="196">IF(JA42=IQ42,IT43,IU56+(IY56*4)+1)</f>
        <v>26</v>
      </c>
      <c r="JE43" s="18">
        <f t="shared" ref="JE43:JE66" si="197">JD43+JF43-1</f>
        <v>28</v>
      </c>
      <c r="JF43" s="18">
        <v>3</v>
      </c>
      <c r="JG43" s="301" t="str">
        <f t="shared" ref="JG43:JG56" si="198">IF(JA$42=0,"",TRIM(MID($C$28,(JD43-1)*3+1,JF43*3)))</f>
        <v/>
      </c>
      <c r="JH43" s="301"/>
      <c r="JI43" s="302" t="str">
        <f t="shared" ref="JI43:JI49" si="199">IF(HEX2DEC(SUBSTITUTE(JG43," ",""))=0,"",HEX2DEC(SUBSTITUTE(JG43," ","")))</f>
        <v/>
      </c>
      <c r="JJ43" s="349"/>
      <c r="JK43" s="357" t="s">
        <v>1248</v>
      </c>
      <c r="JL43" s="18">
        <v>11</v>
      </c>
      <c r="JM43" s="19" t="s">
        <v>1158</v>
      </c>
      <c r="JN43" s="18">
        <f t="shared" ref="JN43" si="200">IF(JK42=JA42,JD43,JE56+(JI56*4)+1)</f>
        <v>26</v>
      </c>
      <c r="JO43" s="18">
        <f t="shared" ref="JO43:JO66" si="201">JN43+JP43-1</f>
        <v>28</v>
      </c>
      <c r="JP43" s="18">
        <v>3</v>
      </c>
      <c r="JQ43" s="301" t="str">
        <f t="shared" ref="JQ43:JQ56" si="202">IF(JK$42=0,"",TRIM(MID($C$28,(JN43-1)*3+1,JP43*3)))</f>
        <v/>
      </c>
      <c r="JR43" s="301"/>
      <c r="JS43" s="302" t="str">
        <f t="shared" ref="JS43:JS49" si="203">IF(HEX2DEC(SUBSTITUTE(JQ43," ",""))=0,"",HEX2DEC(SUBSTITUTE(JQ43," ","")))</f>
        <v/>
      </c>
      <c r="JT43" s="349"/>
      <c r="JU43" s="357" t="s">
        <v>1248</v>
      </c>
      <c r="JV43" s="18">
        <v>11</v>
      </c>
      <c r="JW43" s="19" t="s">
        <v>1158</v>
      </c>
      <c r="JX43" s="18">
        <f t="shared" ref="JX43" si="204">IF(JU42=JK42,JN43,JO56+(JS56*4)+1)</f>
        <v>26</v>
      </c>
      <c r="JY43" s="18">
        <f t="shared" ref="JY43:JY66" si="205">JX43+JZ43-1</f>
        <v>28</v>
      </c>
      <c r="JZ43" s="18">
        <v>3</v>
      </c>
      <c r="KA43" s="301" t="str">
        <f t="shared" ref="KA43:KA56" si="206">IF(JU$42=0,"",TRIM(MID($C$28,(JX43-1)*3+1,JZ43*3)))</f>
        <v/>
      </c>
      <c r="KB43" s="301"/>
      <c r="KC43" s="302" t="str">
        <f t="shared" ref="KC43:KC49" si="207">IF(HEX2DEC(SUBSTITUTE(KA43," ",""))=0,"",HEX2DEC(SUBSTITUTE(KA43," ","")))</f>
        <v/>
      </c>
      <c r="KD43" s="349"/>
      <c r="KE43" s="357" t="s">
        <v>1248</v>
      </c>
      <c r="KF43" s="18">
        <v>11</v>
      </c>
      <c r="KG43" s="19" t="s">
        <v>1158</v>
      </c>
      <c r="KH43" s="18">
        <f t="shared" ref="KH43" si="208">IF(KE42=JU42,JX43,JY56+(KC56*4)+1)</f>
        <v>26</v>
      </c>
      <c r="KI43" s="18">
        <f t="shared" ref="KI43:KI66" si="209">KH43+KJ43-1</f>
        <v>28</v>
      </c>
      <c r="KJ43" s="18">
        <v>3</v>
      </c>
      <c r="KK43" s="301" t="str">
        <f t="shared" ref="KK43:KK56" si="210">IF(KE$42=0,"",TRIM(MID($C$28,(KH43-1)*3+1,KJ43*3)))</f>
        <v/>
      </c>
      <c r="KL43" s="301"/>
      <c r="KM43" s="302" t="str">
        <f t="shared" ref="KM43:KM49" si="211">IF(HEX2DEC(SUBSTITUTE(KK43," ",""))=0,"",HEX2DEC(SUBSTITUTE(KK43," ","")))</f>
        <v/>
      </c>
      <c r="KN43" s="349"/>
      <c r="KO43" s="357" t="s">
        <v>1248</v>
      </c>
      <c r="KP43" s="18">
        <v>11</v>
      </c>
      <c r="KQ43" s="19" t="s">
        <v>1158</v>
      </c>
      <c r="KR43" s="18">
        <f t="shared" ref="KR43" si="212">IF(KO42=KE42,KH43,KI56+(KM56*4)+1)</f>
        <v>26</v>
      </c>
      <c r="KS43" s="18">
        <f t="shared" ref="KS43:KS66" si="213">KR43+KT43-1</f>
        <v>28</v>
      </c>
      <c r="KT43" s="18">
        <v>3</v>
      </c>
      <c r="KU43" s="301" t="str">
        <f t="shared" ref="KU43:KU56" si="214">IF(KO$42=0,"",TRIM(MID($C$28,(KR43-1)*3+1,KT43*3)))</f>
        <v/>
      </c>
      <c r="KV43" s="301"/>
      <c r="KW43" s="302" t="str">
        <f t="shared" ref="KW43:KW49" si="215">IF(HEX2DEC(SUBSTITUTE(KU43," ",""))=0,"",HEX2DEC(SUBSTITUTE(KU43," ","")))</f>
        <v/>
      </c>
      <c r="KX43" s="349"/>
      <c r="KY43" s="357" t="s">
        <v>1248</v>
      </c>
      <c r="KZ43" s="18">
        <v>11</v>
      </c>
      <c r="LA43" s="19" t="s">
        <v>1158</v>
      </c>
      <c r="LB43" s="18">
        <f t="shared" ref="LB43" si="216">IF(KY42=KO42,KR43,KS56+(KW56*4)+1)</f>
        <v>26</v>
      </c>
      <c r="LC43" s="18">
        <f t="shared" ref="LC43:LC66" si="217">LB43+LD43-1</f>
        <v>28</v>
      </c>
      <c r="LD43" s="18">
        <v>3</v>
      </c>
      <c r="LE43" s="301" t="str">
        <f t="shared" ref="LE43:LE56" si="218">IF(KY$42=0,"",TRIM(MID($C$28,(LB43-1)*3+1,LD43*3)))</f>
        <v/>
      </c>
      <c r="LF43" s="301"/>
      <c r="LG43" s="302" t="str">
        <f t="shared" ref="LG43:LG49" si="219">IF(HEX2DEC(SUBSTITUTE(LE43," ",""))=0,"",HEX2DEC(SUBSTITUTE(LE43," ","")))</f>
        <v/>
      </c>
      <c r="LH43" s="349"/>
      <c r="LI43" s="357" t="s">
        <v>1248</v>
      </c>
      <c r="LJ43" s="18">
        <v>11</v>
      </c>
      <c r="LK43" s="19" t="s">
        <v>1158</v>
      </c>
      <c r="LL43" s="18">
        <f t="shared" ref="LL43" si="220">IF(LI42=KY42,LB43,LC56+(LG56*4)+1)</f>
        <v>26</v>
      </c>
      <c r="LM43" s="18">
        <f t="shared" ref="LM43:LM66" si="221">LL43+LN43-1</f>
        <v>28</v>
      </c>
      <c r="LN43" s="18">
        <v>3</v>
      </c>
      <c r="LO43" s="301" t="str">
        <f t="shared" ref="LO43:LO56" si="222">IF(LI$42=0,"",TRIM(MID($C$28,(LL43-1)*3+1,LN43*3)))</f>
        <v/>
      </c>
      <c r="LP43" s="301"/>
      <c r="LQ43" s="302" t="str">
        <f t="shared" ref="LQ43:LQ49" si="223">IF(HEX2DEC(SUBSTITUTE(LO43," ",""))=0,"",HEX2DEC(SUBSTITUTE(LO43," ","")))</f>
        <v/>
      </c>
      <c r="LR43" s="349"/>
      <c r="LS43" s="357" t="s">
        <v>1248</v>
      </c>
      <c r="LT43" s="18">
        <v>11</v>
      </c>
      <c r="LU43" s="19" t="s">
        <v>1158</v>
      </c>
      <c r="LV43" s="18">
        <f t="shared" ref="LV43" si="224">IF(LS42=LI42,LL43,LM56+(LQ56*4)+1)</f>
        <v>26</v>
      </c>
      <c r="LW43" s="18">
        <f t="shared" ref="LW43:LW66" si="225">LV43+LX43-1</f>
        <v>28</v>
      </c>
      <c r="LX43" s="18">
        <v>3</v>
      </c>
      <c r="LY43" s="301" t="str">
        <f t="shared" ref="LY43:LY56" si="226">IF(LS$42=0,"",TRIM(MID($C$28,(LV43-1)*3+1,LX43*3)))</f>
        <v/>
      </c>
      <c r="LZ43" s="301"/>
      <c r="MA43" s="302" t="str">
        <f t="shared" ref="MA43:MA49" si="227">IF(HEX2DEC(SUBSTITUTE(LY43," ",""))=0,"",HEX2DEC(SUBSTITUTE(LY43," ","")))</f>
        <v/>
      </c>
      <c r="MB43" s="349"/>
      <c r="MC43" s="357" t="s">
        <v>1248</v>
      </c>
      <c r="MD43" s="18">
        <v>11</v>
      </c>
      <c r="ME43" s="19" t="s">
        <v>1158</v>
      </c>
      <c r="MF43" s="18">
        <f t="shared" ref="MF43" si="228">IF(MC42=LS42,LV43,LW56+(MA56*4)+1)</f>
        <v>26</v>
      </c>
      <c r="MG43" s="18">
        <f t="shared" ref="MG43:MG66" si="229">MF43+MH43-1</f>
        <v>28</v>
      </c>
      <c r="MH43" s="18">
        <v>3</v>
      </c>
      <c r="MI43" s="301" t="str">
        <f t="shared" ref="MI43:MI56" si="230">IF(MC$42=0,"",TRIM(MID($C$28,(MF43-1)*3+1,MH43*3)))</f>
        <v/>
      </c>
      <c r="MJ43" s="301"/>
      <c r="MK43" s="302" t="str">
        <f t="shared" ref="MK43:MK49" si="231">IF(HEX2DEC(SUBSTITUTE(MI43," ",""))=0,"",HEX2DEC(SUBSTITUTE(MI43," ","")))</f>
        <v/>
      </c>
      <c r="ML43" s="349"/>
      <c r="MM43" s="357" t="s">
        <v>1248</v>
      </c>
      <c r="MN43" s="18">
        <v>11</v>
      </c>
      <c r="MO43" s="19" t="s">
        <v>1158</v>
      </c>
      <c r="MP43" s="18">
        <f t="shared" ref="MP43" si="232">IF(MM42=MC42,MF43,MG56+(MK56*4)+1)</f>
        <v>26</v>
      </c>
      <c r="MQ43" s="18">
        <f t="shared" ref="MQ43:MQ66" si="233">MP43+MR43-1</f>
        <v>28</v>
      </c>
      <c r="MR43" s="18">
        <v>3</v>
      </c>
      <c r="MS43" s="301" t="str">
        <f t="shared" ref="MS43:MS56" si="234">IF(MM$42=0,"",TRIM(MID($C$28,(MP43-1)*3+1,MR43*3)))</f>
        <v/>
      </c>
      <c r="MT43" s="301"/>
      <c r="MU43" s="302" t="str">
        <f t="shared" ref="MU43:MU49" si="235">IF(HEX2DEC(SUBSTITUTE(MS43," ",""))=0,"",HEX2DEC(SUBSTITUTE(MS43," ","")))</f>
        <v/>
      </c>
      <c r="MV43" s="349"/>
      <c r="MW43" s="357" t="s">
        <v>1248</v>
      </c>
      <c r="MX43" s="18">
        <v>11</v>
      </c>
      <c r="MY43" s="19" t="s">
        <v>1158</v>
      </c>
      <c r="MZ43" s="18">
        <f t="shared" ref="MZ43" si="236">IF(MW42=MM42,MP43,MQ56+(MU56*4)+1)</f>
        <v>26</v>
      </c>
      <c r="NA43" s="18">
        <f t="shared" ref="NA43:NA66" si="237">MZ43+NB43-1</f>
        <v>28</v>
      </c>
      <c r="NB43" s="18">
        <v>3</v>
      </c>
      <c r="NC43" s="301" t="str">
        <f t="shared" ref="NC43:NC56" si="238">IF(MW$42=0,"",TRIM(MID($C$28,(MZ43-1)*3+1,NB43*3)))</f>
        <v/>
      </c>
      <c r="ND43" s="301"/>
      <c r="NE43" s="302" t="str">
        <f t="shared" ref="NE43:NE49" si="239">IF(HEX2DEC(SUBSTITUTE(NC43," ",""))=0,"",HEX2DEC(SUBSTITUTE(NC43," ","")))</f>
        <v/>
      </c>
      <c r="NF43" s="349"/>
      <c r="NG43" s="357" t="s">
        <v>1248</v>
      </c>
      <c r="NH43" s="18">
        <v>11</v>
      </c>
      <c r="NI43" s="19" t="s">
        <v>1158</v>
      </c>
      <c r="NJ43" s="18">
        <f t="shared" ref="NJ43" si="240">IF(NG42=MW42,MZ43,NA56+(NE56*4)+1)</f>
        <v>26</v>
      </c>
      <c r="NK43" s="18">
        <f t="shared" ref="NK43:NK66" si="241">NJ43+NL43-1</f>
        <v>28</v>
      </c>
      <c r="NL43" s="18">
        <v>3</v>
      </c>
      <c r="NM43" s="301" t="str">
        <f t="shared" ref="NM43:NM56" si="242">IF(NG$42=0,"",TRIM(MID($C$28,(NJ43-1)*3+1,NL43*3)))</f>
        <v/>
      </c>
      <c r="NN43" s="301"/>
      <c r="NO43" s="302" t="str">
        <f t="shared" ref="NO43:NO49" si="243">IF(HEX2DEC(SUBSTITUTE(NM43," ",""))=0,"",HEX2DEC(SUBSTITUTE(NM43," ","")))</f>
        <v/>
      </c>
      <c r="NP43" s="349"/>
      <c r="NQ43" s="357" t="s">
        <v>1248</v>
      </c>
      <c r="NR43" s="18">
        <v>11</v>
      </c>
      <c r="NS43" s="19" t="s">
        <v>1158</v>
      </c>
      <c r="NT43" s="18">
        <f t="shared" ref="NT43" si="244">IF(NQ42=NG42,NJ43,NK56+(NO56*4)+1)</f>
        <v>26</v>
      </c>
      <c r="NU43" s="18">
        <f t="shared" ref="NU43:NU66" si="245">NT43+NV43-1</f>
        <v>28</v>
      </c>
      <c r="NV43" s="18">
        <v>3</v>
      </c>
      <c r="NW43" s="301" t="str">
        <f t="shared" ref="NW43:NW56" si="246">IF(NQ$42=0,"",TRIM(MID($C$28,(NT43-1)*3+1,NV43*3)))</f>
        <v/>
      </c>
      <c r="NX43" s="301"/>
      <c r="NY43" s="302" t="str">
        <f t="shared" ref="NY43:NY49" si="247">IF(HEX2DEC(SUBSTITUTE(NW43," ",""))=0,"",HEX2DEC(SUBSTITUTE(NW43," ","")))</f>
        <v/>
      </c>
      <c r="NZ43" s="349"/>
      <c r="OA43" s="357" t="s">
        <v>1248</v>
      </c>
      <c r="OB43" s="18">
        <v>11</v>
      </c>
      <c r="OC43" s="19" t="s">
        <v>1158</v>
      </c>
      <c r="OD43" s="18">
        <f t="shared" ref="OD43" si="248">IF(OA42=NQ42,NT43,NU56+(NY56*4)+1)</f>
        <v>26</v>
      </c>
      <c r="OE43" s="18">
        <f t="shared" ref="OE43:OE66" si="249">OD43+OF43-1</f>
        <v>28</v>
      </c>
      <c r="OF43" s="18">
        <v>3</v>
      </c>
      <c r="OG43" s="301" t="str">
        <f t="shared" ref="OG43:OG56" si="250">IF(OA$42=0,"",TRIM(MID($C$28,(OD43-1)*3+1,OF43*3)))</f>
        <v/>
      </c>
      <c r="OH43" s="301"/>
      <c r="OI43" s="302" t="str">
        <f t="shared" ref="OI43:OI49" si="251">IF(HEX2DEC(SUBSTITUTE(OG43," ",""))=0,"",HEX2DEC(SUBSTITUTE(OG43," ","")))</f>
        <v/>
      </c>
      <c r="OJ43" s="349"/>
      <c r="OK43" s="357" t="s">
        <v>1248</v>
      </c>
      <c r="OL43" s="18">
        <v>11</v>
      </c>
      <c r="OM43" s="19" t="s">
        <v>1158</v>
      </c>
      <c r="ON43" s="18">
        <f t="shared" ref="ON43" si="252">IF(OK42=OA42,OD43,OE56+(OI56*4)+1)</f>
        <v>26</v>
      </c>
      <c r="OO43" s="18">
        <f t="shared" ref="OO43:OO66" si="253">ON43+OP43-1</f>
        <v>28</v>
      </c>
      <c r="OP43" s="18">
        <v>3</v>
      </c>
      <c r="OQ43" s="301" t="str">
        <f t="shared" ref="OQ43:OQ56" si="254">IF(OK$42=0,"",TRIM(MID($C$28,(ON43-1)*3+1,OP43*3)))</f>
        <v/>
      </c>
      <c r="OR43" s="301"/>
      <c r="OS43" s="302" t="str">
        <f t="shared" ref="OS43:OS49" si="255">IF(HEX2DEC(SUBSTITUTE(OQ43," ",""))=0,"",HEX2DEC(SUBSTITUTE(OQ43," ","")))</f>
        <v/>
      </c>
      <c r="OT43" s="349"/>
      <c r="OU43" s="357" t="s">
        <v>1248</v>
      </c>
      <c r="OV43" s="18">
        <v>11</v>
      </c>
      <c r="OW43" s="19" t="s">
        <v>1158</v>
      </c>
      <c r="OX43" s="18">
        <f t="shared" ref="OX43" si="256">IF(OU42=OK42,ON43,OO56+(OS56*4)+1)</f>
        <v>26</v>
      </c>
      <c r="OY43" s="18">
        <f t="shared" ref="OY43:OY66" si="257">OX43+OZ43-1</f>
        <v>28</v>
      </c>
      <c r="OZ43" s="18">
        <v>3</v>
      </c>
      <c r="PA43" s="301" t="str">
        <f t="shared" ref="PA43:PA56" si="258">IF(OU$42=0,"",TRIM(MID($C$28,(OX43-1)*3+1,OZ43*3)))</f>
        <v/>
      </c>
      <c r="PB43" s="301"/>
      <c r="PC43" s="302" t="str">
        <f t="shared" ref="PC43:PC49" si="259">IF(HEX2DEC(SUBSTITUTE(PA43," ",""))=0,"",HEX2DEC(SUBSTITUTE(PA43," ","")))</f>
        <v/>
      </c>
      <c r="PD43" s="349"/>
      <c r="PE43" s="357" t="s">
        <v>1248</v>
      </c>
      <c r="PF43" s="18">
        <v>11</v>
      </c>
      <c r="PG43" s="19" t="s">
        <v>1158</v>
      </c>
      <c r="PH43" s="18">
        <f t="shared" ref="PH43" si="260">IF(PE42=OU42,OX43,OY56+(PC56*4)+1)</f>
        <v>26</v>
      </c>
      <c r="PI43" s="18">
        <f t="shared" ref="PI43:PI66" si="261">PH43+PJ43-1</f>
        <v>28</v>
      </c>
      <c r="PJ43" s="18">
        <v>3</v>
      </c>
      <c r="PK43" s="301" t="str">
        <f t="shared" ref="PK43:PK56" si="262">IF(PE$42=0,"",TRIM(MID($C$28,(PH43-1)*3+1,PJ43*3)))</f>
        <v/>
      </c>
      <c r="PL43" s="301"/>
      <c r="PM43" s="302" t="str">
        <f t="shared" ref="PM43:PM49" si="263">IF(HEX2DEC(SUBSTITUTE(PK43," ",""))=0,"",HEX2DEC(SUBSTITUTE(PK43," ","")))</f>
        <v/>
      </c>
      <c r="PN43" s="349"/>
      <c r="PO43" s="357" t="s">
        <v>1248</v>
      </c>
      <c r="PP43" s="18">
        <v>11</v>
      </c>
      <c r="PQ43" s="19" t="s">
        <v>1158</v>
      </c>
      <c r="PR43" s="18">
        <f t="shared" ref="PR43" si="264">IF(PO42=PE42,PH43,PI56+(PM56*4)+1)</f>
        <v>26</v>
      </c>
      <c r="PS43" s="18">
        <f t="shared" ref="PS43:PS66" si="265">PR43+PT43-1</f>
        <v>28</v>
      </c>
      <c r="PT43" s="18">
        <v>3</v>
      </c>
      <c r="PU43" s="301" t="str">
        <f t="shared" ref="PU43:PU56" si="266">IF(PO$42=0,"",TRIM(MID($C$28,(PR43-1)*3+1,PT43*3)))</f>
        <v/>
      </c>
      <c r="PV43" s="301"/>
      <c r="PW43" s="302" t="str">
        <f t="shared" ref="PW43:PW49" si="267">IF(HEX2DEC(SUBSTITUTE(PU43," ",""))=0,"",HEX2DEC(SUBSTITUTE(PU43," ","")))</f>
        <v/>
      </c>
      <c r="PX43" s="349"/>
      <c r="PY43" s="357" t="s">
        <v>1248</v>
      </c>
      <c r="PZ43" s="18">
        <v>11</v>
      </c>
      <c r="QA43" s="19" t="s">
        <v>1158</v>
      </c>
      <c r="QB43" s="18">
        <f t="shared" ref="QB43" si="268">IF(PY42=PO42,PR43,PS56+(PW56*4)+1)</f>
        <v>26</v>
      </c>
      <c r="QC43" s="18">
        <f t="shared" ref="QC43:QC66" si="269">QB43+QD43-1</f>
        <v>28</v>
      </c>
      <c r="QD43" s="18">
        <v>3</v>
      </c>
      <c r="QE43" s="301" t="str">
        <f t="shared" ref="QE43:QE56" si="270">IF(PY$42=0,"",TRIM(MID($C$28,(QB43-1)*3+1,QD43*3)))</f>
        <v/>
      </c>
      <c r="QF43" s="301"/>
      <c r="QG43" s="302" t="str">
        <f t="shared" ref="QG43:QG49" si="271">IF(HEX2DEC(SUBSTITUTE(QE43," ",""))=0,"",HEX2DEC(SUBSTITUTE(QE43," ","")))</f>
        <v/>
      </c>
      <c r="QH43" s="349"/>
      <c r="QI43" s="357" t="s">
        <v>1248</v>
      </c>
      <c r="QJ43" s="18">
        <v>11</v>
      </c>
      <c r="QK43" s="19" t="s">
        <v>1158</v>
      </c>
      <c r="QL43" s="18">
        <f t="shared" ref="QL43" si="272">IF(QI42=PY42,QB43,QC56+(QG56*4)+1)</f>
        <v>26</v>
      </c>
      <c r="QM43" s="18">
        <f t="shared" ref="QM43:QM66" si="273">QL43+QN43-1</f>
        <v>28</v>
      </c>
      <c r="QN43" s="18">
        <v>3</v>
      </c>
      <c r="QO43" s="301" t="str">
        <f t="shared" ref="QO43:QO56" si="274">IF(QI$42=0,"",TRIM(MID($C$28,(QL43-1)*3+1,QN43*3)))</f>
        <v/>
      </c>
      <c r="QP43" s="301"/>
      <c r="QQ43" s="302" t="str">
        <f t="shared" ref="QQ43:QQ49" si="275">IF(HEX2DEC(SUBSTITUTE(QO43," ",""))=0,"",HEX2DEC(SUBSTITUTE(QO43," ","")))</f>
        <v/>
      </c>
      <c r="QR43" s="349"/>
      <c r="QS43" s="357" t="s">
        <v>1248</v>
      </c>
      <c r="QT43" s="18">
        <v>11</v>
      </c>
      <c r="QU43" s="19" t="s">
        <v>1158</v>
      </c>
      <c r="QV43" s="18">
        <f t="shared" ref="QV43" si="276">IF(QS42=QI42,QL43,QM56+(QQ56*4)+1)</f>
        <v>26</v>
      </c>
      <c r="QW43" s="18">
        <f t="shared" ref="QW43:QW66" si="277">QV43+QX43-1</f>
        <v>28</v>
      </c>
      <c r="QX43" s="18">
        <v>3</v>
      </c>
      <c r="QY43" s="301" t="str">
        <f t="shared" ref="QY43:QY56" si="278">IF(QS$42=0,"",TRIM(MID($C$28,(QV43-1)*3+1,QX43*3)))</f>
        <v/>
      </c>
      <c r="QZ43" s="301"/>
      <c r="RA43" s="302" t="str">
        <f t="shared" ref="RA43:RA49" si="279">IF(HEX2DEC(SUBSTITUTE(QY43," ",""))=0,"",HEX2DEC(SUBSTITUTE(QY43," ","")))</f>
        <v/>
      </c>
      <c r="RB43" s="349"/>
      <c r="RC43" s="357" t="s">
        <v>1248</v>
      </c>
      <c r="RD43" s="18">
        <v>11</v>
      </c>
      <c r="RE43" s="19" t="s">
        <v>1158</v>
      </c>
      <c r="RF43" s="18">
        <f t="shared" ref="RF43" si="280">IF(RC42=QS42,QV43,QW56+(RA56*4)+1)</f>
        <v>26</v>
      </c>
      <c r="RG43" s="18">
        <f t="shared" ref="RG43:RG66" si="281">RF43+RH43-1</f>
        <v>28</v>
      </c>
      <c r="RH43" s="18">
        <v>3</v>
      </c>
      <c r="RI43" s="301" t="str">
        <f t="shared" ref="RI43:RI56" si="282">IF(RC$42=0,"",TRIM(MID($C$28,(RF43-1)*3+1,RH43*3)))</f>
        <v/>
      </c>
      <c r="RJ43" s="301"/>
      <c r="RK43" s="302" t="str">
        <f t="shared" ref="RK43:RK49" si="283">IF(HEX2DEC(SUBSTITUTE(RI43," ",""))=0,"",HEX2DEC(SUBSTITUTE(RI43," ","")))</f>
        <v/>
      </c>
      <c r="RL43" s="349"/>
      <c r="RM43" s="357" t="s">
        <v>1248</v>
      </c>
      <c r="RN43" s="18">
        <v>11</v>
      </c>
      <c r="RO43" s="19" t="s">
        <v>1158</v>
      </c>
      <c r="RP43" s="18">
        <f t="shared" ref="RP43" si="284">IF(RM42=RC42,RF43,RG56+(RK56*4)+1)</f>
        <v>26</v>
      </c>
      <c r="RQ43" s="18">
        <f t="shared" ref="RQ43:RQ66" si="285">RP43+RR43-1</f>
        <v>28</v>
      </c>
      <c r="RR43" s="18">
        <v>3</v>
      </c>
      <c r="RS43" s="301" t="str">
        <f t="shared" ref="RS43:RS56" si="286">IF(RM$42=0,"",TRIM(MID($C$28,(RP43-1)*3+1,RR43*3)))</f>
        <v/>
      </c>
      <c r="RT43" s="301"/>
      <c r="RU43" s="302" t="str">
        <f t="shared" ref="RU43:RU49" si="287">IF(HEX2DEC(SUBSTITUTE(RS43," ",""))=0,"",HEX2DEC(SUBSTITUTE(RS43," ","")))</f>
        <v/>
      </c>
      <c r="RV43" s="349"/>
      <c r="RW43" s="357" t="s">
        <v>1248</v>
      </c>
      <c r="RX43" s="18">
        <v>11</v>
      </c>
      <c r="RY43" s="19" t="s">
        <v>1158</v>
      </c>
      <c r="RZ43" s="18">
        <f t="shared" ref="RZ43" si="288">IF(RW42=RM42,RP43,RQ56+(RU56*4)+1)</f>
        <v>26</v>
      </c>
      <c r="SA43" s="18">
        <f t="shared" ref="SA43:SA66" si="289">RZ43+SB43-1</f>
        <v>28</v>
      </c>
      <c r="SB43" s="18">
        <v>3</v>
      </c>
      <c r="SC43" s="301" t="str">
        <f t="shared" ref="SC43:SC56" si="290">IF(RW$42=0,"",TRIM(MID($C$28,(RZ43-1)*3+1,SB43*3)))</f>
        <v/>
      </c>
      <c r="SD43" s="301"/>
      <c r="SE43" s="302" t="str">
        <f t="shared" ref="SE43:SE49" si="291">IF(HEX2DEC(SUBSTITUTE(SC43," ",""))=0,"",HEX2DEC(SUBSTITUTE(SC43," ","")))</f>
        <v/>
      </c>
      <c r="SF43" s="349"/>
      <c r="SG43" s="357" t="s">
        <v>1248</v>
      </c>
      <c r="SH43" s="18">
        <v>11</v>
      </c>
      <c r="SI43" s="19" t="s">
        <v>1158</v>
      </c>
      <c r="SJ43" s="18">
        <f t="shared" ref="SJ43" si="292">IF(SG42=RW42,RZ43,SA56+(SE56*4)+1)</f>
        <v>26</v>
      </c>
      <c r="SK43" s="18">
        <f t="shared" ref="SK43:SK66" si="293">SJ43+SL43-1</f>
        <v>28</v>
      </c>
      <c r="SL43" s="18">
        <v>3</v>
      </c>
      <c r="SM43" s="301" t="str">
        <f t="shared" ref="SM43:SM56" si="294">IF(SG$42=0,"",TRIM(MID($C$28,(SJ43-1)*3+1,SL43*3)))</f>
        <v/>
      </c>
      <c r="SN43" s="301"/>
      <c r="SO43" s="302" t="str">
        <f t="shared" ref="SO43:SO49" si="295">IF(HEX2DEC(SUBSTITUTE(SM43," ",""))=0,"",HEX2DEC(SUBSTITUTE(SM43," ","")))</f>
        <v/>
      </c>
      <c r="SP43" s="349"/>
      <c r="SQ43" s="357" t="s">
        <v>1248</v>
      </c>
      <c r="SR43" s="18">
        <v>11</v>
      </c>
      <c r="SS43" s="19" t="s">
        <v>1158</v>
      </c>
      <c r="ST43" s="18">
        <f t="shared" ref="ST43" si="296">IF(SQ42=SG42,SJ43,SK56+(SO56*4)+1)</f>
        <v>26</v>
      </c>
      <c r="SU43" s="18">
        <f t="shared" ref="SU43:SU66" si="297">ST43+SV43-1</f>
        <v>28</v>
      </c>
      <c r="SV43" s="18">
        <v>3</v>
      </c>
      <c r="SW43" s="301" t="str">
        <f t="shared" ref="SW43:SW56" si="298">IF(SQ$42=0,"",TRIM(MID($C$28,(ST43-1)*3+1,SV43*3)))</f>
        <v/>
      </c>
      <c r="SX43" s="301"/>
      <c r="SY43" s="302" t="str">
        <f t="shared" ref="SY43:SY49" si="299">IF(HEX2DEC(SUBSTITUTE(SW43," ",""))=0,"",HEX2DEC(SUBSTITUTE(SW43," ","")))</f>
        <v/>
      </c>
      <c r="SZ43" s="349"/>
      <c r="TA43" s="357" t="s">
        <v>1248</v>
      </c>
      <c r="TB43" s="18">
        <v>11</v>
      </c>
      <c r="TC43" s="19" t="s">
        <v>1158</v>
      </c>
      <c r="TD43" s="18">
        <f t="shared" ref="TD43" si="300">IF(TA42=SQ42,ST43,SU56+(SY56*4)+1)</f>
        <v>26</v>
      </c>
      <c r="TE43" s="18">
        <f t="shared" ref="TE43:TE66" si="301">TD43+TF43-1</f>
        <v>28</v>
      </c>
      <c r="TF43" s="18">
        <v>3</v>
      </c>
      <c r="TG43" s="301" t="str">
        <f t="shared" ref="TG43:TG56" si="302">IF(TA$42=0,"",TRIM(MID($C$28,(TD43-1)*3+1,TF43*3)))</f>
        <v/>
      </c>
      <c r="TH43" s="301"/>
      <c r="TI43" s="302" t="str">
        <f t="shared" ref="TI43:TI49" si="303">IF(HEX2DEC(SUBSTITUTE(TG43," ",""))=0,"",HEX2DEC(SUBSTITUTE(TG43," ","")))</f>
        <v/>
      </c>
      <c r="TJ43" s="349"/>
      <c r="TK43" s="357" t="s">
        <v>1248</v>
      </c>
      <c r="TL43" s="18">
        <v>11</v>
      </c>
      <c r="TM43" s="19" t="s">
        <v>1158</v>
      </c>
      <c r="TN43" s="18">
        <f t="shared" ref="TN43" si="304">IF(TK42=TA42,TD43,TE56+(TI56*4)+1)</f>
        <v>26</v>
      </c>
      <c r="TO43" s="18">
        <f t="shared" ref="TO43:TO66" si="305">TN43+TP43-1</f>
        <v>28</v>
      </c>
      <c r="TP43" s="18">
        <v>3</v>
      </c>
      <c r="TQ43" s="301" t="str">
        <f t="shared" ref="TQ43:TQ56" si="306">IF(TK$42=0,"",TRIM(MID($C$28,(TN43-1)*3+1,TP43*3)))</f>
        <v/>
      </c>
      <c r="TR43" s="301"/>
      <c r="TS43" s="302" t="str">
        <f t="shared" ref="TS43:TS49" si="307">IF(HEX2DEC(SUBSTITUTE(TQ43," ",""))=0,"",HEX2DEC(SUBSTITUTE(TQ43," ","")))</f>
        <v/>
      </c>
      <c r="TT43" s="349"/>
      <c r="TU43" s="357" t="s">
        <v>1248</v>
      </c>
      <c r="TV43" s="18">
        <v>11</v>
      </c>
      <c r="TW43" s="19" t="s">
        <v>1158</v>
      </c>
      <c r="TX43" s="18">
        <f t="shared" ref="TX43" si="308">IF(TU42=TK42,TN43,TO56+(TS56*4)+1)</f>
        <v>26</v>
      </c>
      <c r="TY43" s="18">
        <f t="shared" ref="TY43:TY66" si="309">TX43+TZ43-1</f>
        <v>28</v>
      </c>
      <c r="TZ43" s="18">
        <v>3</v>
      </c>
      <c r="UA43" s="301" t="str">
        <f t="shared" ref="UA43:UA56" si="310">IF(TU$42=0,"",TRIM(MID($C$28,(TX43-1)*3+1,TZ43*3)))</f>
        <v/>
      </c>
      <c r="UB43" s="301"/>
      <c r="UC43" s="302" t="str">
        <f t="shared" ref="UC43:UC49" si="311">IF(HEX2DEC(SUBSTITUTE(UA43," ",""))=0,"",HEX2DEC(SUBSTITUTE(UA43," ","")))</f>
        <v/>
      </c>
      <c r="UD43" s="349"/>
      <c r="UE43" s="357" t="s">
        <v>1248</v>
      </c>
      <c r="UF43" s="18">
        <v>11</v>
      </c>
      <c r="UG43" s="19" t="s">
        <v>1158</v>
      </c>
      <c r="UH43" s="18">
        <f t="shared" ref="UH43" si="312">IF(UE42=TU42,TX43,TY56+(UC56*4)+1)</f>
        <v>26</v>
      </c>
      <c r="UI43" s="18">
        <f t="shared" ref="UI43:UI66" si="313">UH43+UJ43-1</f>
        <v>28</v>
      </c>
      <c r="UJ43" s="18">
        <v>3</v>
      </c>
      <c r="UK43" s="301" t="str">
        <f t="shared" ref="UK43:UK56" si="314">IF(UE$42=0,"",TRIM(MID($C$28,(UH43-1)*3+1,UJ43*3)))</f>
        <v/>
      </c>
      <c r="UL43" s="301"/>
      <c r="UM43" s="302" t="str">
        <f t="shared" ref="UM43:UM49" si="315">IF(HEX2DEC(SUBSTITUTE(UK43," ",""))=0,"",HEX2DEC(SUBSTITUTE(UK43," ","")))</f>
        <v/>
      </c>
      <c r="UN43" s="349"/>
      <c r="UO43" s="357" t="s">
        <v>1248</v>
      </c>
      <c r="UP43" s="18">
        <v>11</v>
      </c>
      <c r="UQ43" s="19" t="s">
        <v>1158</v>
      </c>
      <c r="UR43" s="18">
        <f t="shared" ref="UR43" si="316">IF(UO42=UE42,UH43,UI56+(UM56*4)+1)</f>
        <v>26</v>
      </c>
      <c r="US43" s="18">
        <f t="shared" ref="US43:US66" si="317">UR43+UT43-1</f>
        <v>28</v>
      </c>
      <c r="UT43" s="18">
        <v>3</v>
      </c>
      <c r="UU43" s="301" t="str">
        <f t="shared" ref="UU43:UU56" si="318">IF(UO$42=0,"",TRIM(MID($C$28,(UR43-1)*3+1,UT43*3)))</f>
        <v/>
      </c>
      <c r="UV43" s="301"/>
      <c r="UW43" s="302" t="str">
        <f t="shared" ref="UW43:UW49" si="319">IF(HEX2DEC(SUBSTITUTE(UU43," ",""))=0,"",HEX2DEC(SUBSTITUTE(UU43," ","")))</f>
        <v/>
      </c>
      <c r="UX43" s="349"/>
      <c r="UY43" s="357" t="s">
        <v>1248</v>
      </c>
      <c r="UZ43" s="18">
        <v>11</v>
      </c>
      <c r="VA43" s="19" t="s">
        <v>1158</v>
      </c>
      <c r="VB43" s="18">
        <f t="shared" ref="VB43" si="320">IF(UY42=UO42,UR43,US56+(UW56*4)+1)</f>
        <v>26</v>
      </c>
      <c r="VC43" s="18">
        <f t="shared" ref="VC43:VC66" si="321">VB43+VD43-1</f>
        <v>28</v>
      </c>
      <c r="VD43" s="18">
        <v>3</v>
      </c>
      <c r="VE43" s="301" t="str">
        <f t="shared" ref="VE43:VE56" si="322">IF(UY$42=0,"",TRIM(MID($C$28,(VB43-1)*3+1,VD43*3)))</f>
        <v/>
      </c>
      <c r="VF43" s="301"/>
      <c r="VG43" s="302" t="str">
        <f t="shared" ref="VG43:VG49" si="323">IF(HEX2DEC(SUBSTITUTE(VE43," ",""))=0,"",HEX2DEC(SUBSTITUTE(VE43," ","")))</f>
        <v/>
      </c>
      <c r="VH43" s="349"/>
      <c r="VI43" s="357" t="s">
        <v>1248</v>
      </c>
      <c r="VJ43" s="18">
        <v>11</v>
      </c>
      <c r="VK43" s="19" t="s">
        <v>1158</v>
      </c>
      <c r="VL43" s="18">
        <f t="shared" ref="VL43" si="324">IF(VI42=UY42,VB43,VC56+(VG56*4)+1)</f>
        <v>26</v>
      </c>
      <c r="VM43" s="18">
        <f t="shared" ref="VM43:VM66" si="325">VL43+VN43-1</f>
        <v>28</v>
      </c>
      <c r="VN43" s="18">
        <v>3</v>
      </c>
      <c r="VO43" s="301" t="str">
        <f t="shared" ref="VO43:VO56" si="326">IF(VI$42=0,"",TRIM(MID($C$28,(VL43-1)*3+1,VN43*3)))</f>
        <v/>
      </c>
      <c r="VP43" s="301"/>
      <c r="VQ43" s="302" t="str">
        <f t="shared" ref="VQ43:VQ49" si="327">IF(HEX2DEC(SUBSTITUTE(VO43," ",""))=0,"",HEX2DEC(SUBSTITUTE(VO43," ","")))</f>
        <v/>
      </c>
      <c r="VR43" s="349"/>
      <c r="VS43" s="357" t="s">
        <v>1248</v>
      </c>
      <c r="VT43" s="18">
        <v>11</v>
      </c>
      <c r="VU43" s="19" t="s">
        <v>1158</v>
      </c>
      <c r="VV43" s="18">
        <f t="shared" ref="VV43" si="328">IF(VS42=VI42,VL43,VM56+(VQ56*4)+1)</f>
        <v>26</v>
      </c>
      <c r="VW43" s="18">
        <f t="shared" ref="VW43:VW66" si="329">VV43+VX43-1</f>
        <v>28</v>
      </c>
      <c r="VX43" s="18">
        <v>3</v>
      </c>
      <c r="VY43" s="301" t="str">
        <f t="shared" ref="VY43:VY56" si="330">IF(VS$42=0,"",TRIM(MID($C$28,(VV43-1)*3+1,VX43*3)))</f>
        <v/>
      </c>
      <c r="VZ43" s="301"/>
      <c r="WA43" s="302" t="str">
        <f t="shared" ref="WA43:WA49" si="331">IF(HEX2DEC(SUBSTITUTE(VY43," ",""))=0,"",HEX2DEC(SUBSTITUTE(VY43," ","")))</f>
        <v/>
      </c>
      <c r="WB43" s="349"/>
      <c r="WC43" s="357" t="s">
        <v>1248</v>
      </c>
      <c r="WD43" s="18">
        <v>11</v>
      </c>
      <c r="WE43" s="19" t="s">
        <v>1158</v>
      </c>
      <c r="WF43" s="18">
        <f t="shared" ref="WF43" si="332">IF(WC42=VS42,VV43,VW56+(WA56*4)+1)</f>
        <v>26</v>
      </c>
      <c r="WG43" s="18">
        <f t="shared" ref="WG43:WG66" si="333">WF43+WH43-1</f>
        <v>28</v>
      </c>
      <c r="WH43" s="18">
        <v>3</v>
      </c>
      <c r="WI43" s="301" t="str">
        <f t="shared" ref="WI43:WI56" si="334">IF(WC$42=0,"",TRIM(MID($C$28,(WF43-1)*3+1,WH43*3)))</f>
        <v/>
      </c>
      <c r="WJ43" s="301"/>
      <c r="WK43" s="302" t="str">
        <f t="shared" ref="WK43:WK49" si="335">IF(HEX2DEC(SUBSTITUTE(WI43," ",""))=0,"",HEX2DEC(SUBSTITUTE(WI43," ","")))</f>
        <v/>
      </c>
      <c r="WL43" s="349"/>
      <c r="WM43" s="357" t="s">
        <v>1248</v>
      </c>
      <c r="WN43" s="18">
        <v>11</v>
      </c>
      <c r="WO43" s="19" t="s">
        <v>1158</v>
      </c>
      <c r="WP43" s="18">
        <f t="shared" ref="WP43" si="336">IF(WM42=WC42,WF43,WG56+(WK56*4)+1)</f>
        <v>26</v>
      </c>
      <c r="WQ43" s="18">
        <f t="shared" ref="WQ43:WQ66" si="337">WP43+WR43-1</f>
        <v>28</v>
      </c>
      <c r="WR43" s="18">
        <v>3</v>
      </c>
      <c r="WS43" s="301" t="str">
        <f t="shared" ref="WS43:WS56" si="338">IF(WM$42=0,"",TRIM(MID($C$28,(WP43-1)*3+1,WR43*3)))</f>
        <v/>
      </c>
      <c r="WT43" s="301"/>
      <c r="WU43" s="302" t="str">
        <f t="shared" ref="WU43:WU49" si="339">IF(HEX2DEC(SUBSTITUTE(WS43," ",""))=0,"",HEX2DEC(SUBSTITUTE(WS43," ","")))</f>
        <v/>
      </c>
      <c r="WV43" s="349"/>
      <c r="WW43" s="357" t="s">
        <v>1248</v>
      </c>
      <c r="WX43" s="18">
        <v>11</v>
      </c>
      <c r="WY43" s="19" t="s">
        <v>1158</v>
      </c>
      <c r="WZ43" s="18">
        <f t="shared" ref="WZ43" si="340">IF(WW42=WM42,WP43,WQ56+(WU56*4)+1)</f>
        <v>26</v>
      </c>
      <c r="XA43" s="18">
        <f t="shared" ref="XA43:XA66" si="341">WZ43+XB43-1</f>
        <v>28</v>
      </c>
      <c r="XB43" s="18">
        <v>3</v>
      </c>
      <c r="XC43" s="301" t="str">
        <f t="shared" ref="XC43:XC56" si="342">IF(WW$42=0,"",TRIM(MID($C$28,(WZ43-1)*3+1,XB43*3)))</f>
        <v/>
      </c>
      <c r="XD43" s="301"/>
      <c r="XE43" s="302" t="str">
        <f t="shared" ref="XE43:XE49" si="343">IF(HEX2DEC(SUBSTITUTE(XC43," ",""))=0,"",HEX2DEC(SUBSTITUTE(XC43," ","")))</f>
        <v/>
      </c>
      <c r="XF43" s="349"/>
      <c r="XG43" s="357" t="s">
        <v>1248</v>
      </c>
      <c r="XH43" s="18">
        <v>11</v>
      </c>
      <c r="XI43" s="19" t="s">
        <v>1158</v>
      </c>
      <c r="XJ43" s="18">
        <f t="shared" ref="XJ43" si="344">IF(XG42=WW42,WZ43,XA56+(XE56*4)+1)</f>
        <v>26</v>
      </c>
      <c r="XK43" s="18">
        <f t="shared" ref="XK43:XK66" si="345">XJ43+XL43-1</f>
        <v>28</v>
      </c>
      <c r="XL43" s="18">
        <v>3</v>
      </c>
      <c r="XM43" s="301" t="str">
        <f t="shared" ref="XM43:XM56" si="346">IF(XG$42=0,"",TRIM(MID($C$28,(XJ43-1)*3+1,XL43*3)))</f>
        <v/>
      </c>
      <c r="XN43" s="301"/>
      <c r="XO43" s="302" t="str">
        <f t="shared" ref="XO43:XO49" si="347">IF(HEX2DEC(SUBSTITUTE(XM43," ",""))=0,"",HEX2DEC(SUBSTITUTE(XM43," ","")))</f>
        <v/>
      </c>
      <c r="XP43" s="349"/>
      <c r="XQ43" s="357" t="s">
        <v>1248</v>
      </c>
      <c r="XR43" s="18">
        <v>11</v>
      </c>
      <c r="XS43" s="19" t="s">
        <v>1158</v>
      </c>
      <c r="XT43" s="18">
        <f t="shared" ref="XT43" si="348">IF(XQ42=XG42,XJ43,XK56+(XO56*4)+1)</f>
        <v>26</v>
      </c>
      <c r="XU43" s="18">
        <f t="shared" ref="XU43:XU66" si="349">XT43+XV43-1</f>
        <v>28</v>
      </c>
      <c r="XV43" s="18">
        <v>3</v>
      </c>
      <c r="XW43" s="301" t="str">
        <f t="shared" ref="XW43:XW56" si="350">IF(XQ$42=0,"",TRIM(MID($C$28,(XT43-1)*3+1,XV43*3)))</f>
        <v/>
      </c>
      <c r="XX43" s="301"/>
      <c r="XY43" s="302" t="str">
        <f t="shared" ref="XY43:XY49" si="351">IF(HEX2DEC(SUBSTITUTE(XW43," ",""))=0,"",HEX2DEC(SUBSTITUTE(XW43," ","")))</f>
        <v/>
      </c>
      <c r="XZ43" s="349"/>
      <c r="YA43" s="357" t="s">
        <v>1248</v>
      </c>
      <c r="YB43" s="18">
        <v>11</v>
      </c>
      <c r="YC43" s="19" t="s">
        <v>1158</v>
      </c>
      <c r="YD43" s="18">
        <f t="shared" ref="YD43" si="352">IF(YA42=XQ42,XT43,XU56+(XY56*4)+1)</f>
        <v>26</v>
      </c>
      <c r="YE43" s="18">
        <f t="shared" ref="YE43:YE66" si="353">YD43+YF43-1</f>
        <v>28</v>
      </c>
      <c r="YF43" s="18">
        <v>3</v>
      </c>
      <c r="YG43" s="301" t="str">
        <f t="shared" ref="YG43:YG56" si="354">IF(YA$42=0,"",TRIM(MID($C$28,(YD43-1)*3+1,YF43*3)))</f>
        <v/>
      </c>
      <c r="YH43" s="301"/>
      <c r="YI43" s="302" t="str">
        <f t="shared" ref="YI43:YI49" si="355">IF(HEX2DEC(SUBSTITUTE(YG43," ",""))=0,"",HEX2DEC(SUBSTITUTE(YG43," ","")))</f>
        <v/>
      </c>
      <c r="YJ43" s="349"/>
      <c r="YK43" s="357" t="s">
        <v>1248</v>
      </c>
      <c r="YL43" s="18">
        <v>11</v>
      </c>
      <c r="YM43" s="19" t="s">
        <v>1158</v>
      </c>
      <c r="YN43" s="18">
        <f t="shared" ref="YN43" si="356">IF(YK42=YA42,YD43,YE56+(YI56*4)+1)</f>
        <v>26</v>
      </c>
      <c r="YO43" s="18">
        <f t="shared" ref="YO43:YO66" si="357">YN43+YP43-1</f>
        <v>28</v>
      </c>
      <c r="YP43" s="18">
        <v>3</v>
      </c>
      <c r="YQ43" s="301" t="str">
        <f t="shared" ref="YQ43:YQ56" si="358">IF(YK$42=0,"",TRIM(MID($C$28,(YN43-1)*3+1,YP43*3)))</f>
        <v/>
      </c>
      <c r="YR43" s="301"/>
      <c r="YS43" s="302" t="str">
        <f t="shared" ref="YS43:YS49" si="359">IF(HEX2DEC(SUBSTITUTE(YQ43," ",""))=0,"",HEX2DEC(SUBSTITUTE(YQ43," ","")))</f>
        <v/>
      </c>
      <c r="YT43" s="349"/>
      <c r="YU43" s="357" t="s">
        <v>1248</v>
      </c>
      <c r="YV43" s="18">
        <v>11</v>
      </c>
      <c r="YW43" s="19" t="s">
        <v>1158</v>
      </c>
      <c r="YX43" s="18">
        <f t="shared" ref="YX43" si="360">IF(YU42=YK42,YN43,YO56+(YS56*4)+1)</f>
        <v>26</v>
      </c>
      <c r="YY43" s="18">
        <f t="shared" ref="YY43:YY66" si="361">YX43+YZ43-1</f>
        <v>28</v>
      </c>
      <c r="YZ43" s="18">
        <v>3</v>
      </c>
      <c r="ZA43" s="301" t="str">
        <f t="shared" ref="ZA43:ZA56" si="362">IF(YU$42=0,"",TRIM(MID($C$28,(YX43-1)*3+1,YZ43*3)))</f>
        <v/>
      </c>
      <c r="ZB43" s="301"/>
      <c r="ZC43" s="302" t="str">
        <f t="shared" ref="ZC43:ZC49" si="363">IF(HEX2DEC(SUBSTITUTE(ZA43," ",""))=0,"",HEX2DEC(SUBSTITUTE(ZA43," ","")))</f>
        <v/>
      </c>
      <c r="ZD43" s="349"/>
      <c r="ZE43" s="357" t="s">
        <v>1248</v>
      </c>
      <c r="ZF43" s="18">
        <v>11</v>
      </c>
      <c r="ZG43" s="19" t="s">
        <v>1158</v>
      </c>
      <c r="ZH43" s="18">
        <f t="shared" ref="ZH43" si="364">IF(ZE42=YU42,YX43,YY56+(ZC56*4)+1)</f>
        <v>26</v>
      </c>
      <c r="ZI43" s="18">
        <f t="shared" ref="ZI43:ZI66" si="365">ZH43+ZJ43-1</f>
        <v>28</v>
      </c>
      <c r="ZJ43" s="18">
        <v>3</v>
      </c>
      <c r="ZK43" s="301" t="str">
        <f t="shared" ref="ZK43:ZK56" si="366">IF(ZE$42=0,"",TRIM(MID($C$28,(ZH43-1)*3+1,ZJ43*3)))</f>
        <v/>
      </c>
      <c r="ZL43" s="301"/>
      <c r="ZM43" s="302" t="str">
        <f t="shared" ref="ZM43:ZM49" si="367">IF(HEX2DEC(SUBSTITUTE(ZK43," ",""))=0,"",HEX2DEC(SUBSTITUTE(ZK43," ","")))</f>
        <v/>
      </c>
      <c r="ZN43" s="349"/>
      <c r="ZO43" s="357" t="s">
        <v>1248</v>
      </c>
      <c r="ZP43" s="18">
        <v>11</v>
      </c>
      <c r="ZQ43" s="19" t="s">
        <v>1158</v>
      </c>
      <c r="ZR43" s="18">
        <f t="shared" ref="ZR43" si="368">IF(ZO42=ZE42,ZH43,ZI56+(ZM56*4)+1)</f>
        <v>26</v>
      </c>
      <c r="ZS43" s="18">
        <f t="shared" ref="ZS43:ZS66" si="369">ZR43+ZT43-1</f>
        <v>28</v>
      </c>
      <c r="ZT43" s="18">
        <v>3</v>
      </c>
      <c r="ZU43" s="301" t="str">
        <f t="shared" ref="ZU43:ZU56" si="370">IF(ZO$42=0,"",TRIM(MID($C$28,(ZR43-1)*3+1,ZT43*3)))</f>
        <v/>
      </c>
      <c r="ZV43" s="301"/>
      <c r="ZW43" s="302" t="str">
        <f t="shared" ref="ZW43:ZW49" si="371">IF(HEX2DEC(SUBSTITUTE(ZU43," ",""))=0,"",HEX2DEC(SUBSTITUTE(ZU43," ","")))</f>
        <v/>
      </c>
      <c r="ZX43" s="349"/>
      <c r="ZY43" s="357" t="s">
        <v>1248</v>
      </c>
      <c r="ZZ43" s="18">
        <v>11</v>
      </c>
      <c r="AAA43" s="19" t="s">
        <v>1158</v>
      </c>
      <c r="AAB43" s="18">
        <f t="shared" ref="AAB43" si="372">IF(ZY42=ZO42,ZR43,ZS56+(ZW56*4)+1)</f>
        <v>26</v>
      </c>
      <c r="AAC43" s="18">
        <f t="shared" ref="AAC43:AAC66" si="373">AAB43+AAD43-1</f>
        <v>28</v>
      </c>
      <c r="AAD43" s="18">
        <v>3</v>
      </c>
      <c r="AAE43" s="301" t="str">
        <f t="shared" ref="AAE43:AAE56" si="374">IF(ZY$42=0,"",TRIM(MID($C$28,(AAB43-1)*3+1,AAD43*3)))</f>
        <v/>
      </c>
      <c r="AAF43" s="301"/>
      <c r="AAG43" s="302" t="str">
        <f t="shared" ref="AAG43:AAG49" si="375">IF(HEX2DEC(SUBSTITUTE(AAE43," ",""))=0,"",HEX2DEC(SUBSTITUTE(AAE43," ","")))</f>
        <v/>
      </c>
      <c r="AAH43" s="349"/>
      <c r="AAI43" s="357" t="s">
        <v>1248</v>
      </c>
      <c r="AAJ43" s="18">
        <v>11</v>
      </c>
      <c r="AAK43" s="19" t="s">
        <v>1158</v>
      </c>
      <c r="AAL43" s="18">
        <f t="shared" ref="AAL43" si="376">IF(AAI42=ZY42,AAB43,AAC56+(AAG56*4)+1)</f>
        <v>26</v>
      </c>
      <c r="AAM43" s="18">
        <f t="shared" ref="AAM43:AAM66" si="377">AAL43+AAN43-1</f>
        <v>28</v>
      </c>
      <c r="AAN43" s="18">
        <v>3</v>
      </c>
      <c r="AAO43" s="301" t="str">
        <f t="shared" ref="AAO43:AAO56" si="378">IF(AAI$42=0,"",TRIM(MID($C$28,(AAL43-1)*3+1,AAN43*3)))</f>
        <v/>
      </c>
      <c r="AAP43" s="301"/>
      <c r="AAQ43" s="302" t="str">
        <f t="shared" ref="AAQ43:AAQ49" si="379">IF(HEX2DEC(SUBSTITUTE(AAO43," ",""))=0,"",HEX2DEC(SUBSTITUTE(AAO43," ","")))</f>
        <v/>
      </c>
      <c r="AAR43" s="349"/>
      <c r="AAS43" s="357" t="s">
        <v>1248</v>
      </c>
      <c r="AAT43" s="18">
        <v>11</v>
      </c>
      <c r="AAU43" s="19" t="s">
        <v>1158</v>
      </c>
      <c r="AAV43" s="18">
        <f t="shared" ref="AAV43" si="380">IF(AAS42=AAI42,AAL43,AAM56+(AAQ56*4)+1)</f>
        <v>26</v>
      </c>
      <c r="AAW43" s="18">
        <f t="shared" ref="AAW43:AAW66" si="381">AAV43+AAX43-1</f>
        <v>28</v>
      </c>
      <c r="AAX43" s="18">
        <v>3</v>
      </c>
      <c r="AAY43" s="301" t="str">
        <f t="shared" ref="AAY43:AAY56" si="382">IF(AAS$42=0,"",TRIM(MID($C$28,(AAV43-1)*3+1,AAX43*3)))</f>
        <v/>
      </c>
      <c r="AAZ43" s="301"/>
      <c r="ABA43" s="302" t="str">
        <f t="shared" ref="ABA43:ABA49" si="383">IF(HEX2DEC(SUBSTITUTE(AAY43," ",""))=0,"",HEX2DEC(SUBSTITUTE(AAY43," ","")))</f>
        <v/>
      </c>
      <c r="ABB43" s="349"/>
      <c r="ABC43" s="357" t="s">
        <v>1248</v>
      </c>
      <c r="ABD43" s="18">
        <v>11</v>
      </c>
      <c r="ABE43" s="19" t="s">
        <v>1158</v>
      </c>
      <c r="ABF43" s="18">
        <f t="shared" ref="ABF43" si="384">IF(ABC42=AAS42,AAV43,AAW56+(ABA56*4)+1)</f>
        <v>26</v>
      </c>
      <c r="ABG43" s="18">
        <f t="shared" ref="ABG43:ABG66" si="385">ABF43+ABH43-1</f>
        <v>28</v>
      </c>
      <c r="ABH43" s="18">
        <v>3</v>
      </c>
      <c r="ABI43" s="301" t="str">
        <f t="shared" ref="ABI43:ABI56" si="386">IF(ABC$42=0,"",TRIM(MID($C$28,(ABF43-1)*3+1,ABH43*3)))</f>
        <v/>
      </c>
      <c r="ABJ43" s="301"/>
      <c r="ABK43" s="302" t="str">
        <f t="shared" ref="ABK43:ABK49" si="387">IF(HEX2DEC(SUBSTITUTE(ABI43," ",""))=0,"",HEX2DEC(SUBSTITUTE(ABI43," ","")))</f>
        <v/>
      </c>
      <c r="ABL43" s="349"/>
      <c r="ABM43" s="357" t="s">
        <v>1248</v>
      </c>
      <c r="ABN43" s="18">
        <v>11</v>
      </c>
      <c r="ABO43" s="19" t="s">
        <v>1158</v>
      </c>
      <c r="ABP43" s="18">
        <f t="shared" ref="ABP43" si="388">IF(ABM42=ABC42,ABF43,ABG56+(ABK56*4)+1)</f>
        <v>26</v>
      </c>
      <c r="ABQ43" s="18">
        <f t="shared" ref="ABQ43:ABQ66" si="389">ABP43+ABR43-1</f>
        <v>28</v>
      </c>
      <c r="ABR43" s="18">
        <v>3</v>
      </c>
      <c r="ABS43" s="301" t="str">
        <f t="shared" ref="ABS43:ABS56" si="390">IF(ABM$42=0,"",TRIM(MID($C$28,(ABP43-1)*3+1,ABR43*3)))</f>
        <v/>
      </c>
      <c r="ABT43" s="301"/>
      <c r="ABU43" s="302" t="str">
        <f t="shared" ref="ABU43:ABU49" si="391">IF(HEX2DEC(SUBSTITUTE(ABS43," ",""))=0,"",HEX2DEC(SUBSTITUTE(ABS43," ","")))</f>
        <v/>
      </c>
      <c r="ABV43" s="349"/>
      <c r="ABW43" s="357" t="s">
        <v>1248</v>
      </c>
      <c r="ABX43" s="18">
        <v>11</v>
      </c>
      <c r="ABY43" s="19" t="s">
        <v>1158</v>
      </c>
      <c r="ABZ43" s="18">
        <f t="shared" ref="ABZ43" si="392">IF(ABW42=ABM42,ABP43,ABQ56+(ABU56*4)+1)</f>
        <v>26</v>
      </c>
      <c r="ACA43" s="18">
        <f t="shared" ref="ACA43:ACA66" si="393">ABZ43+ACB43-1</f>
        <v>28</v>
      </c>
      <c r="ACB43" s="18">
        <v>3</v>
      </c>
      <c r="ACC43" s="301" t="str">
        <f t="shared" ref="ACC43:ACC56" si="394">IF(ABW$42=0,"",TRIM(MID($C$28,(ABZ43-1)*3+1,ACB43*3)))</f>
        <v/>
      </c>
      <c r="ACD43" s="301"/>
      <c r="ACE43" s="302" t="str">
        <f t="shared" ref="ACE43:ACE49" si="395">IF(HEX2DEC(SUBSTITUTE(ACC43," ",""))=0,"",HEX2DEC(SUBSTITUTE(ACC43," ","")))</f>
        <v/>
      </c>
      <c r="ACF43" s="349"/>
      <c r="ACG43" s="357" t="s">
        <v>1248</v>
      </c>
      <c r="ACH43" s="18">
        <v>11</v>
      </c>
      <c r="ACI43" s="19" t="s">
        <v>1158</v>
      </c>
      <c r="ACJ43" s="18">
        <f t="shared" ref="ACJ43" si="396">IF(ACG42=ABW42,ABZ43,ACA56+(ACE56*4)+1)</f>
        <v>26</v>
      </c>
      <c r="ACK43" s="18">
        <f t="shared" ref="ACK43:ACK66" si="397">ACJ43+ACL43-1</f>
        <v>28</v>
      </c>
      <c r="ACL43" s="18">
        <v>3</v>
      </c>
      <c r="ACM43" s="301" t="str">
        <f t="shared" ref="ACM43:ACM56" si="398">IF(ACG$42=0,"",TRIM(MID($C$28,(ACJ43-1)*3+1,ACL43*3)))</f>
        <v/>
      </c>
      <c r="ACN43" s="301"/>
      <c r="ACO43" s="302" t="str">
        <f t="shared" ref="ACO43:ACO49" si="399">IF(HEX2DEC(SUBSTITUTE(ACM43," ",""))=0,"",HEX2DEC(SUBSTITUTE(ACM43," ","")))</f>
        <v/>
      </c>
      <c r="ACP43" s="349"/>
      <c r="ACQ43" s="357" t="s">
        <v>1248</v>
      </c>
      <c r="ACR43" s="18">
        <v>11</v>
      </c>
      <c r="ACS43" s="19" t="s">
        <v>1158</v>
      </c>
      <c r="ACT43" s="18">
        <f t="shared" ref="ACT43" si="400">IF(ACQ42=ACG42,ACJ43,ACK56+(ACO56*4)+1)</f>
        <v>26</v>
      </c>
      <c r="ACU43" s="18">
        <f t="shared" ref="ACU43:ACU66" si="401">ACT43+ACV43-1</f>
        <v>28</v>
      </c>
      <c r="ACV43" s="18">
        <v>3</v>
      </c>
      <c r="ACW43" s="301" t="str">
        <f t="shared" ref="ACW43:ACW56" si="402">IF(ACQ$42=0,"",TRIM(MID($C$28,(ACT43-1)*3+1,ACV43*3)))</f>
        <v/>
      </c>
      <c r="ACX43" s="301"/>
      <c r="ACY43" s="302" t="str">
        <f t="shared" ref="ACY43:ACY49" si="403">IF(HEX2DEC(SUBSTITUTE(ACW43," ",""))=0,"",HEX2DEC(SUBSTITUTE(ACW43," ","")))</f>
        <v/>
      </c>
      <c r="ACZ43" s="349"/>
      <c r="ADA43" s="357" t="s">
        <v>1248</v>
      </c>
      <c r="ADB43" s="18">
        <v>11</v>
      </c>
      <c r="ADC43" s="19" t="s">
        <v>1158</v>
      </c>
      <c r="ADD43" s="18">
        <f t="shared" ref="ADD43" si="404">IF(ADA42=ACQ42,ACT43,ACU56+(ACY56*4)+1)</f>
        <v>26</v>
      </c>
      <c r="ADE43" s="18">
        <f t="shared" ref="ADE43:ADE66" si="405">ADD43+ADF43-1</f>
        <v>28</v>
      </c>
      <c r="ADF43" s="18">
        <v>3</v>
      </c>
      <c r="ADG43" s="301" t="str">
        <f t="shared" ref="ADG43:ADG56" si="406">IF(ADA$42=0,"",TRIM(MID($C$28,(ADD43-1)*3+1,ADF43*3)))</f>
        <v/>
      </c>
      <c r="ADH43" s="301"/>
      <c r="ADI43" s="302" t="str">
        <f t="shared" ref="ADI43:ADI49" si="407">IF(HEX2DEC(SUBSTITUTE(ADG43," ",""))=0,"",HEX2DEC(SUBSTITUTE(ADG43," ","")))</f>
        <v/>
      </c>
      <c r="ADJ43" s="349"/>
      <c r="ADK43" s="357" t="s">
        <v>1248</v>
      </c>
      <c r="ADL43" s="18">
        <v>11</v>
      </c>
      <c r="ADM43" s="19" t="s">
        <v>1158</v>
      </c>
      <c r="ADN43" s="18">
        <f t="shared" ref="ADN43" si="408">IF(ADK42=ADA42,ADD43,ADE56+(ADI56*4)+1)</f>
        <v>26</v>
      </c>
      <c r="ADO43" s="18">
        <f t="shared" ref="ADO43:ADO66" si="409">ADN43+ADP43-1</f>
        <v>28</v>
      </c>
      <c r="ADP43" s="18">
        <v>3</v>
      </c>
      <c r="ADQ43" s="301" t="str">
        <f t="shared" ref="ADQ43:ADQ56" si="410">IF(ADK$42=0,"",TRIM(MID($C$28,(ADN43-1)*3+1,ADP43*3)))</f>
        <v/>
      </c>
      <c r="ADR43" s="301"/>
      <c r="ADS43" s="302" t="str">
        <f t="shared" ref="ADS43:ADS49" si="411">IF(HEX2DEC(SUBSTITUTE(ADQ43," ",""))=0,"",HEX2DEC(SUBSTITUTE(ADQ43," ","")))</f>
        <v/>
      </c>
      <c r="ADT43" s="349"/>
      <c r="ADU43" s="357" t="s">
        <v>1248</v>
      </c>
      <c r="ADV43" s="18">
        <v>11</v>
      </c>
      <c r="ADW43" s="19" t="s">
        <v>1158</v>
      </c>
      <c r="ADX43" s="18">
        <f t="shared" ref="ADX43" si="412">IF(ADU42=ADK42,ADN43,ADO56+(ADS56*4)+1)</f>
        <v>26</v>
      </c>
      <c r="ADY43" s="18">
        <f t="shared" ref="ADY43:ADY66" si="413">ADX43+ADZ43-1</f>
        <v>28</v>
      </c>
      <c r="ADZ43" s="18">
        <v>3</v>
      </c>
      <c r="AEA43" s="301" t="str">
        <f t="shared" ref="AEA43:AEA56" si="414">IF(ADU$42=0,"",TRIM(MID($C$28,(ADX43-1)*3+1,ADZ43*3)))</f>
        <v/>
      </c>
      <c r="AEB43" s="301"/>
      <c r="AEC43" s="302" t="str">
        <f t="shared" ref="AEC43:AEC49" si="415">IF(HEX2DEC(SUBSTITUTE(AEA43," ",""))=0,"",HEX2DEC(SUBSTITUTE(AEA43," ","")))</f>
        <v/>
      </c>
      <c r="AED43" s="349"/>
      <c r="AEE43" s="357" t="s">
        <v>1248</v>
      </c>
      <c r="AEF43" s="18">
        <v>11</v>
      </c>
      <c r="AEG43" s="19" t="s">
        <v>1158</v>
      </c>
      <c r="AEH43" s="18">
        <f t="shared" ref="AEH43" si="416">IF(AEE42=ADU42,ADX43,ADY56+(AEC56*4)+1)</f>
        <v>26</v>
      </c>
      <c r="AEI43" s="18">
        <f t="shared" ref="AEI43:AEI66" si="417">AEH43+AEJ43-1</f>
        <v>28</v>
      </c>
      <c r="AEJ43" s="18">
        <v>3</v>
      </c>
      <c r="AEK43" s="301" t="str">
        <f t="shared" ref="AEK43:AEK56" si="418">IF(AEE$42=0,"",TRIM(MID($C$28,(AEH43-1)*3+1,AEJ43*3)))</f>
        <v/>
      </c>
      <c r="AEL43" s="301"/>
      <c r="AEM43" s="302" t="str">
        <f t="shared" ref="AEM43:AEM49" si="419">IF(HEX2DEC(SUBSTITUTE(AEK43," ",""))=0,"",HEX2DEC(SUBSTITUTE(AEK43," ","")))</f>
        <v/>
      </c>
      <c r="AEN43" s="349"/>
      <c r="AEO43" s="357" t="s">
        <v>1248</v>
      </c>
      <c r="AEP43" s="18">
        <v>11</v>
      </c>
      <c r="AEQ43" s="19" t="s">
        <v>1158</v>
      </c>
      <c r="AER43" s="18">
        <f t="shared" ref="AER43" si="420">IF(AEO42=AEE42,AEH43,AEI56+(AEM56*4)+1)</f>
        <v>26</v>
      </c>
      <c r="AES43" s="18">
        <f t="shared" ref="AES43:AES66" si="421">AER43+AET43-1</f>
        <v>28</v>
      </c>
      <c r="AET43" s="18">
        <v>3</v>
      </c>
      <c r="AEU43" s="301" t="str">
        <f t="shared" ref="AEU43:AEU56" si="422">IF(AEO$42=0,"",TRIM(MID($C$28,(AER43-1)*3+1,AET43*3)))</f>
        <v/>
      </c>
      <c r="AEV43" s="301"/>
      <c r="AEW43" s="302" t="str">
        <f t="shared" ref="AEW43:AEW49" si="423">IF(HEX2DEC(SUBSTITUTE(AEU43," ",""))=0,"",HEX2DEC(SUBSTITUTE(AEU43," ","")))</f>
        <v/>
      </c>
      <c r="AEX43" s="349"/>
      <c r="AEY43" s="357" t="s">
        <v>1248</v>
      </c>
      <c r="AEZ43" s="18">
        <v>11</v>
      </c>
      <c r="AFA43" s="19" t="s">
        <v>1158</v>
      </c>
      <c r="AFB43" s="18">
        <f t="shared" ref="AFB43" si="424">IF(AEY42=AEO42,AER43,AES56+(AEW56*4)+1)</f>
        <v>26</v>
      </c>
      <c r="AFC43" s="18">
        <f t="shared" ref="AFC43:AFC66" si="425">AFB43+AFD43-1</f>
        <v>28</v>
      </c>
      <c r="AFD43" s="18">
        <v>3</v>
      </c>
      <c r="AFE43" s="301" t="str">
        <f t="shared" ref="AFE43:AFE56" si="426">IF(AEY$42=0,"",TRIM(MID($C$28,(AFB43-1)*3+1,AFD43*3)))</f>
        <v/>
      </c>
      <c r="AFF43" s="301"/>
      <c r="AFG43" s="302" t="str">
        <f t="shared" ref="AFG43:AFG49" si="427">IF(HEX2DEC(SUBSTITUTE(AFE43," ",""))=0,"",HEX2DEC(SUBSTITUTE(AFE43," ","")))</f>
        <v/>
      </c>
      <c r="AFH43" s="349"/>
      <c r="AFI43" s="357" t="s">
        <v>1248</v>
      </c>
      <c r="AFJ43" s="18">
        <v>11</v>
      </c>
      <c r="AFK43" s="19" t="s">
        <v>1158</v>
      </c>
      <c r="AFL43" s="18">
        <f t="shared" ref="AFL43" si="428">IF(AFI42=AEY42,AFB43,AFC56+(AFG56*4)+1)</f>
        <v>26</v>
      </c>
      <c r="AFM43" s="18">
        <f t="shared" ref="AFM43:AFM66" si="429">AFL43+AFN43-1</f>
        <v>28</v>
      </c>
      <c r="AFN43" s="18">
        <v>3</v>
      </c>
      <c r="AFO43" s="301" t="str">
        <f t="shared" ref="AFO43:AFO56" si="430">IF(AFI$42=0,"",TRIM(MID($C$28,(AFL43-1)*3+1,AFN43*3)))</f>
        <v/>
      </c>
      <c r="AFP43" s="301"/>
      <c r="AFQ43" s="302" t="str">
        <f t="shared" ref="AFQ43:AFQ49" si="431">IF(HEX2DEC(SUBSTITUTE(AFO43," ",""))=0,"",HEX2DEC(SUBSTITUTE(AFO43," ","")))</f>
        <v/>
      </c>
      <c r="AFR43" s="349"/>
      <c r="AFS43" s="357" t="s">
        <v>1248</v>
      </c>
      <c r="AFT43" s="18">
        <v>11</v>
      </c>
      <c r="AFU43" s="19" t="s">
        <v>1158</v>
      </c>
      <c r="AFV43" s="18">
        <f t="shared" ref="AFV43" si="432">IF(AFS42=AFI42,AFL43,AFM56+(AFQ56*4)+1)</f>
        <v>26</v>
      </c>
      <c r="AFW43" s="18">
        <f t="shared" ref="AFW43:AFW66" si="433">AFV43+AFX43-1</f>
        <v>28</v>
      </c>
      <c r="AFX43" s="18">
        <v>3</v>
      </c>
      <c r="AFY43" s="301" t="str">
        <f t="shared" ref="AFY43:AFY56" si="434">IF(AFS$42=0,"",TRIM(MID($C$28,(AFV43-1)*3+1,AFX43*3)))</f>
        <v/>
      </c>
      <c r="AFZ43" s="301"/>
      <c r="AGA43" s="302" t="str">
        <f t="shared" ref="AGA43:AGA49" si="435">IF(HEX2DEC(SUBSTITUTE(AFY43," ",""))=0,"",HEX2DEC(SUBSTITUTE(AFY43," ","")))</f>
        <v/>
      </c>
      <c r="AGB43" s="349"/>
      <c r="AGC43" s="357" t="s">
        <v>1248</v>
      </c>
      <c r="AGD43" s="18">
        <v>11</v>
      </c>
      <c r="AGE43" s="19" t="s">
        <v>1158</v>
      </c>
      <c r="AGF43" s="18">
        <f t="shared" ref="AGF43" si="436">IF(AGC42=AFS42,AFV43,AFW56+(AGA56*4)+1)</f>
        <v>26</v>
      </c>
      <c r="AGG43" s="18">
        <f t="shared" ref="AGG43:AGG66" si="437">AGF43+AGH43-1</f>
        <v>28</v>
      </c>
      <c r="AGH43" s="18">
        <v>3</v>
      </c>
      <c r="AGI43" s="301" t="str">
        <f t="shared" ref="AGI43:AGI56" si="438">IF(AGC$42=0,"",TRIM(MID($C$28,(AGF43-1)*3+1,AGH43*3)))</f>
        <v/>
      </c>
      <c r="AGJ43" s="301"/>
      <c r="AGK43" s="302" t="str">
        <f t="shared" ref="AGK43:AGK49" si="439">IF(HEX2DEC(SUBSTITUTE(AGI43," ",""))=0,"",HEX2DEC(SUBSTITUTE(AGI43," ","")))</f>
        <v/>
      </c>
      <c r="AGL43" s="349"/>
      <c r="AGM43" s="357" t="s">
        <v>1248</v>
      </c>
      <c r="AGN43" s="18">
        <v>11</v>
      </c>
      <c r="AGO43" s="19" t="s">
        <v>1158</v>
      </c>
      <c r="AGP43" s="18">
        <f t="shared" ref="AGP43" si="440">IF(AGM42=AGC42,AGF43,AGG56+(AGK56*4)+1)</f>
        <v>26</v>
      </c>
      <c r="AGQ43" s="18">
        <f t="shared" ref="AGQ43:AGQ66" si="441">AGP43+AGR43-1</f>
        <v>28</v>
      </c>
      <c r="AGR43" s="18">
        <v>3</v>
      </c>
      <c r="AGS43" s="301" t="str">
        <f t="shared" ref="AGS43:AGS56" si="442">IF(AGM$42=0,"",TRIM(MID($C$28,(AGP43-1)*3+1,AGR43*3)))</f>
        <v/>
      </c>
      <c r="AGT43" s="301"/>
      <c r="AGU43" s="302" t="str">
        <f t="shared" ref="AGU43:AGU49" si="443">IF(HEX2DEC(SUBSTITUTE(AGS43," ",""))=0,"",HEX2DEC(SUBSTITUTE(AGS43," ","")))</f>
        <v/>
      </c>
      <c r="AGV43" s="349"/>
      <c r="AGW43" s="357" t="s">
        <v>1248</v>
      </c>
      <c r="AGX43" s="18">
        <v>11</v>
      </c>
      <c r="AGY43" s="19" t="s">
        <v>1158</v>
      </c>
      <c r="AGZ43" s="18">
        <f t="shared" ref="AGZ43" si="444">IF(AGW42=AGM42,AGP43,AGQ56+(AGU56*4)+1)</f>
        <v>26</v>
      </c>
      <c r="AHA43" s="18">
        <f t="shared" ref="AHA43:AHA66" si="445">AGZ43+AHB43-1</f>
        <v>28</v>
      </c>
      <c r="AHB43" s="18">
        <v>3</v>
      </c>
      <c r="AHC43" s="301" t="str">
        <f t="shared" ref="AHC43:AHC56" si="446">IF(AGW$42=0,"",TRIM(MID($C$28,(AGZ43-1)*3+1,AHB43*3)))</f>
        <v/>
      </c>
      <c r="AHD43" s="301"/>
      <c r="AHE43" s="302" t="str">
        <f t="shared" ref="AHE43:AHE49" si="447">IF(HEX2DEC(SUBSTITUTE(AHC43," ",""))=0,"",HEX2DEC(SUBSTITUTE(AHC43," ","")))</f>
        <v/>
      </c>
      <c r="AHF43" s="349"/>
      <c r="AHG43" s="357" t="s">
        <v>1248</v>
      </c>
      <c r="AHH43" s="18">
        <v>11</v>
      </c>
      <c r="AHI43" s="19" t="s">
        <v>1158</v>
      </c>
      <c r="AHJ43" s="18">
        <f t="shared" ref="AHJ43" si="448">IF(AHG42=AGW42,AGZ43,AHA56+(AHE56*4)+1)</f>
        <v>26</v>
      </c>
      <c r="AHK43" s="18">
        <f t="shared" ref="AHK43:AHK66" si="449">AHJ43+AHL43-1</f>
        <v>28</v>
      </c>
      <c r="AHL43" s="18">
        <v>3</v>
      </c>
      <c r="AHM43" s="301" t="str">
        <f t="shared" ref="AHM43:AHM56" si="450">IF(AHG$42=0,"",TRIM(MID($C$28,(AHJ43-1)*3+1,AHL43*3)))</f>
        <v/>
      </c>
      <c r="AHN43" s="301"/>
      <c r="AHO43" s="302" t="str">
        <f t="shared" ref="AHO43:AHO49" si="451">IF(HEX2DEC(SUBSTITUTE(AHM43," ",""))=0,"",HEX2DEC(SUBSTITUTE(AHM43," ","")))</f>
        <v/>
      </c>
      <c r="AHP43" s="349"/>
      <c r="AHQ43" s="357" t="s">
        <v>1248</v>
      </c>
      <c r="AHR43" s="18">
        <v>11</v>
      </c>
      <c r="AHS43" s="19" t="s">
        <v>1158</v>
      </c>
      <c r="AHT43" s="18">
        <f t="shared" ref="AHT43" si="452">IF(AHQ42=AHG42,AHJ43,AHK56+(AHO56*4)+1)</f>
        <v>26</v>
      </c>
      <c r="AHU43" s="18">
        <f t="shared" ref="AHU43:AHU66" si="453">AHT43+AHV43-1</f>
        <v>28</v>
      </c>
      <c r="AHV43" s="18">
        <v>3</v>
      </c>
      <c r="AHW43" s="301" t="str">
        <f t="shared" ref="AHW43:AHW56" si="454">IF(AHQ$42=0,"",TRIM(MID($C$28,(AHT43-1)*3+1,AHV43*3)))</f>
        <v/>
      </c>
      <c r="AHX43" s="301"/>
      <c r="AHY43" s="302" t="str">
        <f t="shared" ref="AHY43:AHY49" si="455">IF(HEX2DEC(SUBSTITUTE(AHW43," ",""))=0,"",HEX2DEC(SUBSTITUTE(AHW43," ","")))</f>
        <v/>
      </c>
      <c r="AHZ43" s="349"/>
      <c r="AIA43" s="357" t="s">
        <v>1248</v>
      </c>
      <c r="AIB43" s="18">
        <v>11</v>
      </c>
      <c r="AIC43" s="19" t="s">
        <v>1158</v>
      </c>
      <c r="AID43" s="18">
        <f t="shared" ref="AID43" si="456">IF(AIA42=AHQ42,AHT43,AHU56+(AHY56*4)+1)</f>
        <v>26</v>
      </c>
      <c r="AIE43" s="18">
        <f t="shared" ref="AIE43:AIE66" si="457">AID43+AIF43-1</f>
        <v>28</v>
      </c>
      <c r="AIF43" s="18">
        <v>3</v>
      </c>
      <c r="AIG43" s="301" t="str">
        <f t="shared" ref="AIG43:AIG56" si="458">IF(AIA$42=0,"",TRIM(MID($C$28,(AID43-1)*3+1,AIF43*3)))</f>
        <v/>
      </c>
      <c r="AIH43" s="301"/>
      <c r="AII43" s="302" t="str">
        <f t="shared" ref="AII43:AII49" si="459">IF(HEX2DEC(SUBSTITUTE(AIG43," ",""))=0,"",HEX2DEC(SUBSTITUTE(AIG43," ","")))</f>
        <v/>
      </c>
      <c r="AIJ43" s="349"/>
      <c r="AIK43" s="357" t="s">
        <v>1248</v>
      </c>
      <c r="AIL43" s="18">
        <v>11</v>
      </c>
      <c r="AIM43" s="19" t="s">
        <v>1158</v>
      </c>
      <c r="AIN43" s="18">
        <f t="shared" ref="AIN43" si="460">IF(AIK42=AIA42,AID43,AIE56+(AII56*4)+1)</f>
        <v>26</v>
      </c>
      <c r="AIO43" s="18">
        <f t="shared" ref="AIO43:AIO66" si="461">AIN43+AIP43-1</f>
        <v>28</v>
      </c>
      <c r="AIP43" s="18">
        <v>3</v>
      </c>
      <c r="AIQ43" s="301" t="str">
        <f t="shared" ref="AIQ43:AIQ56" si="462">IF(AIK$42=0,"",TRIM(MID($C$28,(AIN43-1)*3+1,AIP43*3)))</f>
        <v/>
      </c>
      <c r="AIR43" s="301"/>
      <c r="AIS43" s="302" t="str">
        <f t="shared" ref="AIS43:AIS49" si="463">IF(HEX2DEC(SUBSTITUTE(AIQ43," ",""))=0,"",HEX2DEC(SUBSTITUTE(AIQ43," ","")))</f>
        <v/>
      </c>
      <c r="AIT43" s="349"/>
      <c r="AIU43" s="357" t="s">
        <v>1248</v>
      </c>
      <c r="AIV43" s="18">
        <v>11</v>
      </c>
      <c r="AIW43" s="19" t="s">
        <v>1158</v>
      </c>
      <c r="AIX43" s="18">
        <f t="shared" ref="AIX43" si="464">IF(AIU42=AIK42,AIN43,AIO56+(AIS56*4)+1)</f>
        <v>26</v>
      </c>
      <c r="AIY43" s="18">
        <f t="shared" ref="AIY43:AIY66" si="465">AIX43+AIZ43-1</f>
        <v>28</v>
      </c>
      <c r="AIZ43" s="18">
        <v>3</v>
      </c>
      <c r="AJA43" s="301" t="str">
        <f t="shared" ref="AJA43:AJA56" si="466">IF(AIU$42=0,"",TRIM(MID($C$28,(AIX43-1)*3+1,AIZ43*3)))</f>
        <v/>
      </c>
      <c r="AJB43" s="301"/>
      <c r="AJC43" s="302" t="str">
        <f t="shared" ref="AJC43:AJC49" si="467">IF(HEX2DEC(SUBSTITUTE(AJA43," ",""))=0,"",HEX2DEC(SUBSTITUTE(AJA43," ","")))</f>
        <v/>
      </c>
      <c r="AJD43" s="349"/>
    </row>
    <row r="44" spans="1:940" ht="15.95" customHeight="1">
      <c r="A44" s="364"/>
      <c r="B44" s="18">
        <v>13</v>
      </c>
      <c r="C44" s="19" t="s">
        <v>1159</v>
      </c>
      <c r="D44" s="18">
        <f>E43+1</f>
        <v>29</v>
      </c>
      <c r="E44" s="18">
        <f>D44+F44-1</f>
        <v>31</v>
      </c>
      <c r="F44" s="18">
        <v>3</v>
      </c>
      <c r="G44" s="301" t="str">
        <f t="shared" ref="G44:G56" si="468">TRIM(MID($C$28,(D44-1)*3+1,F44*3))</f>
        <v/>
      </c>
      <c r="H44" s="301"/>
      <c r="I44" s="302">
        <f t="shared" si="96"/>
        <v>0</v>
      </c>
      <c r="J44" s="305"/>
      <c r="K44" s="358"/>
      <c r="L44" s="18">
        <v>12</v>
      </c>
      <c r="M44" s="19" t="s">
        <v>1159</v>
      </c>
      <c r="N44" s="18">
        <f>O43+1</f>
        <v>29</v>
      </c>
      <c r="O44" s="18">
        <f t="shared" si="97"/>
        <v>31</v>
      </c>
      <c r="P44" s="18">
        <v>3</v>
      </c>
      <c r="Q44" s="301" t="str">
        <f t="shared" si="98"/>
        <v/>
      </c>
      <c r="R44" s="301"/>
      <c r="S44" s="302" t="str">
        <f t="shared" si="99"/>
        <v/>
      </c>
      <c r="T44" s="349"/>
      <c r="U44" s="358"/>
      <c r="V44" s="18">
        <v>12</v>
      </c>
      <c r="W44" s="19" t="s">
        <v>1159</v>
      </c>
      <c r="X44" s="18">
        <f t="shared" ref="X44:X46" si="469">Y43+1</f>
        <v>29</v>
      </c>
      <c r="Y44" s="18">
        <f t="shared" si="101"/>
        <v>31</v>
      </c>
      <c r="Z44" s="18">
        <v>3</v>
      </c>
      <c r="AA44" s="301" t="str">
        <f t="shared" si="102"/>
        <v/>
      </c>
      <c r="AB44" s="301"/>
      <c r="AC44" s="302" t="str">
        <f t="shared" si="103"/>
        <v/>
      </c>
      <c r="AD44" s="349"/>
      <c r="AE44" s="358"/>
      <c r="AF44" s="18">
        <v>12</v>
      </c>
      <c r="AG44" s="19" t="s">
        <v>1159</v>
      </c>
      <c r="AH44" s="18">
        <f t="shared" ref="AH44:AH46" si="470">AI43+1</f>
        <v>29</v>
      </c>
      <c r="AI44" s="18">
        <f t="shared" si="105"/>
        <v>31</v>
      </c>
      <c r="AJ44" s="18">
        <v>3</v>
      </c>
      <c r="AK44" s="301" t="str">
        <f t="shared" si="106"/>
        <v/>
      </c>
      <c r="AL44" s="301"/>
      <c r="AM44" s="302" t="str">
        <f t="shared" si="107"/>
        <v/>
      </c>
      <c r="AN44" s="349"/>
      <c r="AO44" s="358"/>
      <c r="AP44" s="18">
        <v>12</v>
      </c>
      <c r="AQ44" s="19" t="s">
        <v>1159</v>
      </c>
      <c r="AR44" s="18">
        <f t="shared" ref="AR44:AR46" si="471">AS43+1</f>
        <v>29</v>
      </c>
      <c r="AS44" s="18">
        <f t="shared" si="109"/>
        <v>31</v>
      </c>
      <c r="AT44" s="18">
        <v>3</v>
      </c>
      <c r="AU44" s="301" t="str">
        <f t="shared" si="110"/>
        <v/>
      </c>
      <c r="AV44" s="301"/>
      <c r="AW44" s="302" t="str">
        <f t="shared" si="111"/>
        <v/>
      </c>
      <c r="AX44" s="349"/>
      <c r="AY44" s="358"/>
      <c r="AZ44" s="18">
        <v>12</v>
      </c>
      <c r="BA44" s="19" t="s">
        <v>1159</v>
      </c>
      <c r="BB44" s="18">
        <f t="shared" ref="BB44:BB46" si="472">BC43+1</f>
        <v>29</v>
      </c>
      <c r="BC44" s="18">
        <f t="shared" si="113"/>
        <v>31</v>
      </c>
      <c r="BD44" s="18">
        <v>3</v>
      </c>
      <c r="BE44" s="301" t="str">
        <f t="shared" si="114"/>
        <v/>
      </c>
      <c r="BF44" s="301"/>
      <c r="BG44" s="302" t="str">
        <f t="shared" si="115"/>
        <v/>
      </c>
      <c r="BH44" s="349"/>
      <c r="BI44" s="358"/>
      <c r="BJ44" s="18">
        <v>12</v>
      </c>
      <c r="BK44" s="19" t="s">
        <v>1159</v>
      </c>
      <c r="BL44" s="18">
        <f t="shared" ref="BL44:BL46" si="473">BM43+1</f>
        <v>29</v>
      </c>
      <c r="BM44" s="18">
        <f t="shared" si="117"/>
        <v>31</v>
      </c>
      <c r="BN44" s="18">
        <v>3</v>
      </c>
      <c r="BO44" s="301" t="str">
        <f t="shared" si="118"/>
        <v/>
      </c>
      <c r="BP44" s="301"/>
      <c r="BQ44" s="302" t="str">
        <f t="shared" si="119"/>
        <v/>
      </c>
      <c r="BR44" s="349"/>
      <c r="BS44" s="358"/>
      <c r="BT44" s="18">
        <v>12</v>
      </c>
      <c r="BU44" s="19" t="s">
        <v>1159</v>
      </c>
      <c r="BV44" s="18">
        <f t="shared" ref="BV44:BV46" si="474">BW43+1</f>
        <v>29</v>
      </c>
      <c r="BW44" s="18">
        <f t="shared" si="121"/>
        <v>31</v>
      </c>
      <c r="BX44" s="18">
        <v>3</v>
      </c>
      <c r="BY44" s="301" t="str">
        <f t="shared" si="122"/>
        <v/>
      </c>
      <c r="BZ44" s="301"/>
      <c r="CA44" s="302" t="str">
        <f t="shared" si="123"/>
        <v/>
      </c>
      <c r="CB44" s="349"/>
      <c r="CC44" s="358"/>
      <c r="CD44" s="18">
        <v>12</v>
      </c>
      <c r="CE44" s="19" t="s">
        <v>1159</v>
      </c>
      <c r="CF44" s="18">
        <f t="shared" ref="CF44:CF46" si="475">CG43+1</f>
        <v>29</v>
      </c>
      <c r="CG44" s="18">
        <f t="shared" si="125"/>
        <v>31</v>
      </c>
      <c r="CH44" s="18">
        <v>3</v>
      </c>
      <c r="CI44" s="301" t="str">
        <f t="shared" si="126"/>
        <v/>
      </c>
      <c r="CJ44" s="301"/>
      <c r="CK44" s="302" t="str">
        <f t="shared" si="127"/>
        <v/>
      </c>
      <c r="CL44" s="349"/>
      <c r="CM44" s="358"/>
      <c r="CN44" s="18">
        <v>12</v>
      </c>
      <c r="CO44" s="19" t="s">
        <v>1159</v>
      </c>
      <c r="CP44" s="18">
        <f t="shared" ref="CP44:CP46" si="476">CQ43+1</f>
        <v>29</v>
      </c>
      <c r="CQ44" s="18">
        <f t="shared" si="129"/>
        <v>31</v>
      </c>
      <c r="CR44" s="18">
        <v>3</v>
      </c>
      <c r="CS44" s="301" t="str">
        <f t="shared" si="130"/>
        <v/>
      </c>
      <c r="CT44" s="301"/>
      <c r="CU44" s="302" t="str">
        <f t="shared" si="131"/>
        <v/>
      </c>
      <c r="CV44" s="349"/>
      <c r="CW44" s="358"/>
      <c r="CX44" s="18">
        <v>12</v>
      </c>
      <c r="CY44" s="19" t="s">
        <v>1159</v>
      </c>
      <c r="CZ44" s="18">
        <f t="shared" ref="CZ44:CZ46" si="477">DA43+1</f>
        <v>29</v>
      </c>
      <c r="DA44" s="18">
        <f t="shared" si="133"/>
        <v>31</v>
      </c>
      <c r="DB44" s="18">
        <v>3</v>
      </c>
      <c r="DC44" s="301" t="str">
        <f t="shared" si="134"/>
        <v/>
      </c>
      <c r="DD44" s="301"/>
      <c r="DE44" s="302" t="str">
        <f t="shared" si="135"/>
        <v/>
      </c>
      <c r="DF44" s="349"/>
      <c r="DG44" s="358"/>
      <c r="DH44" s="18">
        <v>12</v>
      </c>
      <c r="DI44" s="19" t="s">
        <v>1159</v>
      </c>
      <c r="DJ44" s="18">
        <f t="shared" ref="DJ44:DJ46" si="478">DK43+1</f>
        <v>29</v>
      </c>
      <c r="DK44" s="18">
        <f t="shared" si="137"/>
        <v>31</v>
      </c>
      <c r="DL44" s="18">
        <v>3</v>
      </c>
      <c r="DM44" s="301" t="str">
        <f t="shared" si="138"/>
        <v/>
      </c>
      <c r="DN44" s="301"/>
      <c r="DO44" s="302" t="str">
        <f t="shared" si="139"/>
        <v/>
      </c>
      <c r="DP44" s="349"/>
      <c r="DQ44" s="358"/>
      <c r="DR44" s="18">
        <v>12</v>
      </c>
      <c r="DS44" s="19" t="s">
        <v>1159</v>
      </c>
      <c r="DT44" s="18">
        <f t="shared" ref="DT44:DT46" si="479">DU43+1</f>
        <v>29</v>
      </c>
      <c r="DU44" s="18">
        <f t="shared" si="141"/>
        <v>31</v>
      </c>
      <c r="DV44" s="18">
        <v>3</v>
      </c>
      <c r="DW44" s="301" t="str">
        <f t="shared" si="142"/>
        <v/>
      </c>
      <c r="DX44" s="301"/>
      <c r="DY44" s="302" t="str">
        <f t="shared" si="143"/>
        <v/>
      </c>
      <c r="DZ44" s="349"/>
      <c r="EA44" s="358"/>
      <c r="EB44" s="18">
        <v>12</v>
      </c>
      <c r="EC44" s="19" t="s">
        <v>1159</v>
      </c>
      <c r="ED44" s="18">
        <f t="shared" ref="ED44:ED46" si="480">EE43+1</f>
        <v>29</v>
      </c>
      <c r="EE44" s="18">
        <f t="shared" si="145"/>
        <v>31</v>
      </c>
      <c r="EF44" s="18">
        <v>3</v>
      </c>
      <c r="EG44" s="301" t="str">
        <f t="shared" si="146"/>
        <v/>
      </c>
      <c r="EH44" s="301"/>
      <c r="EI44" s="302" t="str">
        <f t="shared" si="147"/>
        <v/>
      </c>
      <c r="EJ44" s="349"/>
      <c r="EK44" s="358"/>
      <c r="EL44" s="18">
        <v>12</v>
      </c>
      <c r="EM44" s="19" t="s">
        <v>1159</v>
      </c>
      <c r="EN44" s="18">
        <f t="shared" ref="EN44:EN46" si="481">EO43+1</f>
        <v>29</v>
      </c>
      <c r="EO44" s="18">
        <f t="shared" si="149"/>
        <v>31</v>
      </c>
      <c r="EP44" s="18">
        <v>3</v>
      </c>
      <c r="EQ44" s="301" t="str">
        <f t="shared" si="150"/>
        <v/>
      </c>
      <c r="ER44" s="301"/>
      <c r="ES44" s="302" t="str">
        <f t="shared" si="151"/>
        <v/>
      </c>
      <c r="ET44" s="349"/>
      <c r="EU44" s="358"/>
      <c r="EV44" s="18">
        <v>12</v>
      </c>
      <c r="EW44" s="19" t="s">
        <v>1159</v>
      </c>
      <c r="EX44" s="18">
        <f t="shared" ref="EX44:EX46" si="482">EY43+1</f>
        <v>29</v>
      </c>
      <c r="EY44" s="18">
        <f t="shared" si="153"/>
        <v>31</v>
      </c>
      <c r="EZ44" s="18">
        <v>3</v>
      </c>
      <c r="FA44" s="301" t="str">
        <f t="shared" si="154"/>
        <v/>
      </c>
      <c r="FB44" s="301"/>
      <c r="FC44" s="302" t="str">
        <f t="shared" si="155"/>
        <v/>
      </c>
      <c r="FD44" s="349"/>
      <c r="FE44" s="358"/>
      <c r="FF44" s="18">
        <v>12</v>
      </c>
      <c r="FG44" s="19" t="s">
        <v>1159</v>
      </c>
      <c r="FH44" s="18">
        <f t="shared" ref="FH44:FH46" si="483">FI43+1</f>
        <v>29</v>
      </c>
      <c r="FI44" s="18">
        <f t="shared" si="157"/>
        <v>31</v>
      </c>
      <c r="FJ44" s="18">
        <v>3</v>
      </c>
      <c r="FK44" s="301" t="str">
        <f t="shared" si="158"/>
        <v/>
      </c>
      <c r="FL44" s="301"/>
      <c r="FM44" s="302" t="str">
        <f t="shared" si="159"/>
        <v/>
      </c>
      <c r="FN44" s="349"/>
      <c r="FO44" s="358"/>
      <c r="FP44" s="18">
        <v>12</v>
      </c>
      <c r="FQ44" s="19" t="s">
        <v>1159</v>
      </c>
      <c r="FR44" s="18">
        <f t="shared" ref="FR44:FR46" si="484">FS43+1</f>
        <v>29</v>
      </c>
      <c r="FS44" s="18">
        <f t="shared" si="161"/>
        <v>31</v>
      </c>
      <c r="FT44" s="18">
        <v>3</v>
      </c>
      <c r="FU44" s="301" t="str">
        <f t="shared" si="162"/>
        <v/>
      </c>
      <c r="FV44" s="301"/>
      <c r="FW44" s="302" t="str">
        <f t="shared" si="163"/>
        <v/>
      </c>
      <c r="FX44" s="349"/>
      <c r="FY44" s="358"/>
      <c r="FZ44" s="18">
        <v>12</v>
      </c>
      <c r="GA44" s="19" t="s">
        <v>1159</v>
      </c>
      <c r="GB44" s="18">
        <f t="shared" ref="GB44:GB46" si="485">GC43+1</f>
        <v>29</v>
      </c>
      <c r="GC44" s="18">
        <f t="shared" si="165"/>
        <v>31</v>
      </c>
      <c r="GD44" s="18">
        <v>3</v>
      </c>
      <c r="GE44" s="301" t="str">
        <f t="shared" si="166"/>
        <v/>
      </c>
      <c r="GF44" s="301"/>
      <c r="GG44" s="302" t="str">
        <f t="shared" si="167"/>
        <v/>
      </c>
      <c r="GH44" s="349"/>
      <c r="GI44" s="358"/>
      <c r="GJ44" s="18">
        <v>12</v>
      </c>
      <c r="GK44" s="19" t="s">
        <v>1159</v>
      </c>
      <c r="GL44" s="18">
        <f t="shared" ref="GL44:GL46" si="486">GM43+1</f>
        <v>29</v>
      </c>
      <c r="GM44" s="18">
        <f t="shared" si="169"/>
        <v>31</v>
      </c>
      <c r="GN44" s="18">
        <v>3</v>
      </c>
      <c r="GO44" s="301" t="str">
        <f t="shared" si="170"/>
        <v/>
      </c>
      <c r="GP44" s="301"/>
      <c r="GQ44" s="302" t="str">
        <f t="shared" si="171"/>
        <v/>
      </c>
      <c r="GR44" s="349"/>
      <c r="GS44" s="358"/>
      <c r="GT44" s="18">
        <v>12</v>
      </c>
      <c r="GU44" s="19" t="s">
        <v>1159</v>
      </c>
      <c r="GV44" s="18">
        <f t="shared" ref="GV44:GV46" si="487">GW43+1</f>
        <v>29</v>
      </c>
      <c r="GW44" s="18">
        <f t="shared" si="173"/>
        <v>31</v>
      </c>
      <c r="GX44" s="18">
        <v>3</v>
      </c>
      <c r="GY44" s="301" t="str">
        <f t="shared" si="174"/>
        <v/>
      </c>
      <c r="GZ44" s="301"/>
      <c r="HA44" s="302" t="str">
        <f t="shared" si="175"/>
        <v/>
      </c>
      <c r="HB44" s="349"/>
      <c r="HC44" s="358"/>
      <c r="HD44" s="18">
        <v>12</v>
      </c>
      <c r="HE44" s="19" t="s">
        <v>1159</v>
      </c>
      <c r="HF44" s="18">
        <f t="shared" ref="HF44:HF46" si="488">HG43+1</f>
        <v>29</v>
      </c>
      <c r="HG44" s="18">
        <f t="shared" si="177"/>
        <v>31</v>
      </c>
      <c r="HH44" s="18">
        <v>3</v>
      </c>
      <c r="HI44" s="301" t="str">
        <f t="shared" si="178"/>
        <v/>
      </c>
      <c r="HJ44" s="301"/>
      <c r="HK44" s="302" t="str">
        <f t="shared" si="179"/>
        <v/>
      </c>
      <c r="HL44" s="349"/>
      <c r="HM44" s="358"/>
      <c r="HN44" s="18">
        <v>12</v>
      </c>
      <c r="HO44" s="19" t="s">
        <v>1159</v>
      </c>
      <c r="HP44" s="18">
        <f t="shared" ref="HP44:HP46" si="489">HQ43+1</f>
        <v>29</v>
      </c>
      <c r="HQ44" s="18">
        <f t="shared" si="181"/>
        <v>31</v>
      </c>
      <c r="HR44" s="18">
        <v>3</v>
      </c>
      <c r="HS44" s="301" t="str">
        <f t="shared" si="182"/>
        <v/>
      </c>
      <c r="HT44" s="301"/>
      <c r="HU44" s="302" t="str">
        <f t="shared" si="183"/>
        <v/>
      </c>
      <c r="HV44" s="349"/>
      <c r="HW44" s="358"/>
      <c r="HX44" s="18">
        <v>12</v>
      </c>
      <c r="HY44" s="19" t="s">
        <v>1159</v>
      </c>
      <c r="HZ44" s="18">
        <f t="shared" ref="HZ44:HZ46" si="490">IA43+1</f>
        <v>29</v>
      </c>
      <c r="IA44" s="18">
        <f t="shared" si="185"/>
        <v>31</v>
      </c>
      <c r="IB44" s="18">
        <v>3</v>
      </c>
      <c r="IC44" s="301" t="str">
        <f t="shared" si="186"/>
        <v/>
      </c>
      <c r="ID44" s="301"/>
      <c r="IE44" s="302" t="str">
        <f t="shared" si="187"/>
        <v/>
      </c>
      <c r="IF44" s="349"/>
      <c r="IG44" s="358"/>
      <c r="IH44" s="18">
        <v>12</v>
      </c>
      <c r="II44" s="19" t="s">
        <v>1159</v>
      </c>
      <c r="IJ44" s="18">
        <f t="shared" ref="IJ44:IJ46" si="491">IK43+1</f>
        <v>29</v>
      </c>
      <c r="IK44" s="18">
        <f t="shared" si="189"/>
        <v>31</v>
      </c>
      <c r="IL44" s="18">
        <v>3</v>
      </c>
      <c r="IM44" s="301" t="str">
        <f t="shared" si="190"/>
        <v/>
      </c>
      <c r="IN44" s="301"/>
      <c r="IO44" s="302" t="str">
        <f t="shared" si="191"/>
        <v/>
      </c>
      <c r="IP44" s="349"/>
      <c r="IQ44" s="358"/>
      <c r="IR44" s="18">
        <v>12</v>
      </c>
      <c r="IS44" s="19" t="s">
        <v>1159</v>
      </c>
      <c r="IT44" s="18">
        <f t="shared" ref="IT44:IT46" si="492">IU43+1</f>
        <v>29</v>
      </c>
      <c r="IU44" s="18">
        <f t="shared" si="193"/>
        <v>31</v>
      </c>
      <c r="IV44" s="18">
        <v>3</v>
      </c>
      <c r="IW44" s="301" t="str">
        <f t="shared" si="194"/>
        <v/>
      </c>
      <c r="IX44" s="301"/>
      <c r="IY44" s="302" t="str">
        <f t="shared" si="195"/>
        <v/>
      </c>
      <c r="IZ44" s="349"/>
      <c r="JA44" s="358"/>
      <c r="JB44" s="18">
        <v>12</v>
      </c>
      <c r="JC44" s="19" t="s">
        <v>1159</v>
      </c>
      <c r="JD44" s="18">
        <f t="shared" ref="JD44:JD46" si="493">JE43+1</f>
        <v>29</v>
      </c>
      <c r="JE44" s="18">
        <f t="shared" si="197"/>
        <v>31</v>
      </c>
      <c r="JF44" s="18">
        <v>3</v>
      </c>
      <c r="JG44" s="301" t="str">
        <f t="shared" si="198"/>
        <v/>
      </c>
      <c r="JH44" s="301"/>
      <c r="JI44" s="302" t="str">
        <f t="shared" si="199"/>
        <v/>
      </c>
      <c r="JJ44" s="349"/>
      <c r="JK44" s="358"/>
      <c r="JL44" s="18">
        <v>12</v>
      </c>
      <c r="JM44" s="19" t="s">
        <v>1159</v>
      </c>
      <c r="JN44" s="18">
        <f t="shared" ref="JN44:JN46" si="494">JO43+1</f>
        <v>29</v>
      </c>
      <c r="JO44" s="18">
        <f t="shared" si="201"/>
        <v>31</v>
      </c>
      <c r="JP44" s="18">
        <v>3</v>
      </c>
      <c r="JQ44" s="301" t="str">
        <f t="shared" si="202"/>
        <v/>
      </c>
      <c r="JR44" s="301"/>
      <c r="JS44" s="302" t="str">
        <f t="shared" si="203"/>
        <v/>
      </c>
      <c r="JT44" s="349"/>
      <c r="JU44" s="358"/>
      <c r="JV44" s="18">
        <v>12</v>
      </c>
      <c r="JW44" s="19" t="s">
        <v>1159</v>
      </c>
      <c r="JX44" s="18">
        <f t="shared" ref="JX44:JX46" si="495">JY43+1</f>
        <v>29</v>
      </c>
      <c r="JY44" s="18">
        <f t="shared" si="205"/>
        <v>31</v>
      </c>
      <c r="JZ44" s="18">
        <v>3</v>
      </c>
      <c r="KA44" s="301" t="str">
        <f t="shared" si="206"/>
        <v/>
      </c>
      <c r="KB44" s="301"/>
      <c r="KC44" s="302" t="str">
        <f t="shared" si="207"/>
        <v/>
      </c>
      <c r="KD44" s="349"/>
      <c r="KE44" s="358"/>
      <c r="KF44" s="18">
        <v>12</v>
      </c>
      <c r="KG44" s="19" t="s">
        <v>1159</v>
      </c>
      <c r="KH44" s="18">
        <f t="shared" ref="KH44:KH46" si="496">KI43+1</f>
        <v>29</v>
      </c>
      <c r="KI44" s="18">
        <f t="shared" si="209"/>
        <v>31</v>
      </c>
      <c r="KJ44" s="18">
        <v>3</v>
      </c>
      <c r="KK44" s="301" t="str">
        <f t="shared" si="210"/>
        <v/>
      </c>
      <c r="KL44" s="301"/>
      <c r="KM44" s="302" t="str">
        <f t="shared" si="211"/>
        <v/>
      </c>
      <c r="KN44" s="349"/>
      <c r="KO44" s="358"/>
      <c r="KP44" s="18">
        <v>12</v>
      </c>
      <c r="KQ44" s="19" t="s">
        <v>1159</v>
      </c>
      <c r="KR44" s="18">
        <f t="shared" ref="KR44:KR46" si="497">KS43+1</f>
        <v>29</v>
      </c>
      <c r="KS44" s="18">
        <f t="shared" si="213"/>
        <v>31</v>
      </c>
      <c r="KT44" s="18">
        <v>3</v>
      </c>
      <c r="KU44" s="301" t="str">
        <f t="shared" si="214"/>
        <v/>
      </c>
      <c r="KV44" s="301"/>
      <c r="KW44" s="302" t="str">
        <f t="shared" si="215"/>
        <v/>
      </c>
      <c r="KX44" s="349"/>
      <c r="KY44" s="358"/>
      <c r="KZ44" s="18">
        <v>12</v>
      </c>
      <c r="LA44" s="19" t="s">
        <v>1159</v>
      </c>
      <c r="LB44" s="18">
        <f t="shared" ref="LB44:LB46" si="498">LC43+1</f>
        <v>29</v>
      </c>
      <c r="LC44" s="18">
        <f t="shared" si="217"/>
        <v>31</v>
      </c>
      <c r="LD44" s="18">
        <v>3</v>
      </c>
      <c r="LE44" s="301" t="str">
        <f t="shared" si="218"/>
        <v/>
      </c>
      <c r="LF44" s="301"/>
      <c r="LG44" s="302" t="str">
        <f t="shared" si="219"/>
        <v/>
      </c>
      <c r="LH44" s="349"/>
      <c r="LI44" s="358"/>
      <c r="LJ44" s="18">
        <v>12</v>
      </c>
      <c r="LK44" s="19" t="s">
        <v>1159</v>
      </c>
      <c r="LL44" s="18">
        <f t="shared" ref="LL44:LL46" si="499">LM43+1</f>
        <v>29</v>
      </c>
      <c r="LM44" s="18">
        <f t="shared" si="221"/>
        <v>31</v>
      </c>
      <c r="LN44" s="18">
        <v>3</v>
      </c>
      <c r="LO44" s="301" t="str">
        <f t="shared" si="222"/>
        <v/>
      </c>
      <c r="LP44" s="301"/>
      <c r="LQ44" s="302" t="str">
        <f t="shared" si="223"/>
        <v/>
      </c>
      <c r="LR44" s="349"/>
      <c r="LS44" s="358"/>
      <c r="LT44" s="18">
        <v>12</v>
      </c>
      <c r="LU44" s="19" t="s">
        <v>1159</v>
      </c>
      <c r="LV44" s="18">
        <f t="shared" ref="LV44:LV46" si="500">LW43+1</f>
        <v>29</v>
      </c>
      <c r="LW44" s="18">
        <f t="shared" si="225"/>
        <v>31</v>
      </c>
      <c r="LX44" s="18">
        <v>3</v>
      </c>
      <c r="LY44" s="301" t="str">
        <f t="shared" si="226"/>
        <v/>
      </c>
      <c r="LZ44" s="301"/>
      <c r="MA44" s="302" t="str">
        <f t="shared" si="227"/>
        <v/>
      </c>
      <c r="MB44" s="349"/>
      <c r="MC44" s="358"/>
      <c r="MD44" s="18">
        <v>12</v>
      </c>
      <c r="ME44" s="19" t="s">
        <v>1159</v>
      </c>
      <c r="MF44" s="18">
        <f t="shared" ref="MF44:MF46" si="501">MG43+1</f>
        <v>29</v>
      </c>
      <c r="MG44" s="18">
        <f t="shared" si="229"/>
        <v>31</v>
      </c>
      <c r="MH44" s="18">
        <v>3</v>
      </c>
      <c r="MI44" s="301" t="str">
        <f t="shared" si="230"/>
        <v/>
      </c>
      <c r="MJ44" s="301"/>
      <c r="MK44" s="302" t="str">
        <f t="shared" si="231"/>
        <v/>
      </c>
      <c r="ML44" s="349"/>
      <c r="MM44" s="358"/>
      <c r="MN44" s="18">
        <v>12</v>
      </c>
      <c r="MO44" s="19" t="s">
        <v>1159</v>
      </c>
      <c r="MP44" s="18">
        <f t="shared" ref="MP44:MP46" si="502">MQ43+1</f>
        <v>29</v>
      </c>
      <c r="MQ44" s="18">
        <f t="shared" si="233"/>
        <v>31</v>
      </c>
      <c r="MR44" s="18">
        <v>3</v>
      </c>
      <c r="MS44" s="301" t="str">
        <f t="shared" si="234"/>
        <v/>
      </c>
      <c r="MT44" s="301"/>
      <c r="MU44" s="302" t="str">
        <f t="shared" si="235"/>
        <v/>
      </c>
      <c r="MV44" s="349"/>
      <c r="MW44" s="358"/>
      <c r="MX44" s="18">
        <v>12</v>
      </c>
      <c r="MY44" s="19" t="s">
        <v>1159</v>
      </c>
      <c r="MZ44" s="18">
        <f t="shared" ref="MZ44:MZ46" si="503">NA43+1</f>
        <v>29</v>
      </c>
      <c r="NA44" s="18">
        <f t="shared" si="237"/>
        <v>31</v>
      </c>
      <c r="NB44" s="18">
        <v>3</v>
      </c>
      <c r="NC44" s="301" t="str">
        <f t="shared" si="238"/>
        <v/>
      </c>
      <c r="ND44" s="301"/>
      <c r="NE44" s="302" t="str">
        <f t="shared" si="239"/>
        <v/>
      </c>
      <c r="NF44" s="349"/>
      <c r="NG44" s="358"/>
      <c r="NH44" s="18">
        <v>12</v>
      </c>
      <c r="NI44" s="19" t="s">
        <v>1159</v>
      </c>
      <c r="NJ44" s="18">
        <f t="shared" ref="NJ44:NJ46" si="504">NK43+1</f>
        <v>29</v>
      </c>
      <c r="NK44" s="18">
        <f t="shared" si="241"/>
        <v>31</v>
      </c>
      <c r="NL44" s="18">
        <v>3</v>
      </c>
      <c r="NM44" s="301" t="str">
        <f t="shared" si="242"/>
        <v/>
      </c>
      <c r="NN44" s="301"/>
      <c r="NO44" s="302" t="str">
        <f t="shared" si="243"/>
        <v/>
      </c>
      <c r="NP44" s="349"/>
      <c r="NQ44" s="358"/>
      <c r="NR44" s="18">
        <v>12</v>
      </c>
      <c r="NS44" s="19" t="s">
        <v>1159</v>
      </c>
      <c r="NT44" s="18">
        <f t="shared" ref="NT44:NT46" si="505">NU43+1</f>
        <v>29</v>
      </c>
      <c r="NU44" s="18">
        <f t="shared" si="245"/>
        <v>31</v>
      </c>
      <c r="NV44" s="18">
        <v>3</v>
      </c>
      <c r="NW44" s="301" t="str">
        <f t="shared" si="246"/>
        <v/>
      </c>
      <c r="NX44" s="301"/>
      <c r="NY44" s="302" t="str">
        <f t="shared" si="247"/>
        <v/>
      </c>
      <c r="NZ44" s="349"/>
      <c r="OA44" s="358"/>
      <c r="OB44" s="18">
        <v>12</v>
      </c>
      <c r="OC44" s="19" t="s">
        <v>1159</v>
      </c>
      <c r="OD44" s="18">
        <f t="shared" ref="OD44:OD46" si="506">OE43+1</f>
        <v>29</v>
      </c>
      <c r="OE44" s="18">
        <f t="shared" si="249"/>
        <v>31</v>
      </c>
      <c r="OF44" s="18">
        <v>3</v>
      </c>
      <c r="OG44" s="301" t="str">
        <f t="shared" si="250"/>
        <v/>
      </c>
      <c r="OH44" s="301"/>
      <c r="OI44" s="302" t="str">
        <f t="shared" si="251"/>
        <v/>
      </c>
      <c r="OJ44" s="349"/>
      <c r="OK44" s="358"/>
      <c r="OL44" s="18">
        <v>12</v>
      </c>
      <c r="OM44" s="19" t="s">
        <v>1159</v>
      </c>
      <c r="ON44" s="18">
        <f t="shared" ref="ON44:ON46" si="507">OO43+1</f>
        <v>29</v>
      </c>
      <c r="OO44" s="18">
        <f t="shared" si="253"/>
        <v>31</v>
      </c>
      <c r="OP44" s="18">
        <v>3</v>
      </c>
      <c r="OQ44" s="301" t="str">
        <f t="shared" si="254"/>
        <v/>
      </c>
      <c r="OR44" s="301"/>
      <c r="OS44" s="302" t="str">
        <f t="shared" si="255"/>
        <v/>
      </c>
      <c r="OT44" s="349"/>
      <c r="OU44" s="358"/>
      <c r="OV44" s="18">
        <v>12</v>
      </c>
      <c r="OW44" s="19" t="s">
        <v>1159</v>
      </c>
      <c r="OX44" s="18">
        <f t="shared" ref="OX44:OX46" si="508">OY43+1</f>
        <v>29</v>
      </c>
      <c r="OY44" s="18">
        <f t="shared" si="257"/>
        <v>31</v>
      </c>
      <c r="OZ44" s="18">
        <v>3</v>
      </c>
      <c r="PA44" s="301" t="str">
        <f t="shared" si="258"/>
        <v/>
      </c>
      <c r="PB44" s="301"/>
      <c r="PC44" s="302" t="str">
        <f t="shared" si="259"/>
        <v/>
      </c>
      <c r="PD44" s="349"/>
      <c r="PE44" s="358"/>
      <c r="PF44" s="18">
        <v>12</v>
      </c>
      <c r="PG44" s="19" t="s">
        <v>1159</v>
      </c>
      <c r="PH44" s="18">
        <f t="shared" ref="PH44:PH46" si="509">PI43+1</f>
        <v>29</v>
      </c>
      <c r="PI44" s="18">
        <f t="shared" si="261"/>
        <v>31</v>
      </c>
      <c r="PJ44" s="18">
        <v>3</v>
      </c>
      <c r="PK44" s="301" t="str">
        <f t="shared" si="262"/>
        <v/>
      </c>
      <c r="PL44" s="301"/>
      <c r="PM44" s="302" t="str">
        <f t="shared" si="263"/>
        <v/>
      </c>
      <c r="PN44" s="349"/>
      <c r="PO44" s="358"/>
      <c r="PP44" s="18">
        <v>12</v>
      </c>
      <c r="PQ44" s="19" t="s">
        <v>1159</v>
      </c>
      <c r="PR44" s="18">
        <f t="shared" ref="PR44:PR46" si="510">PS43+1</f>
        <v>29</v>
      </c>
      <c r="PS44" s="18">
        <f t="shared" si="265"/>
        <v>31</v>
      </c>
      <c r="PT44" s="18">
        <v>3</v>
      </c>
      <c r="PU44" s="301" t="str">
        <f t="shared" si="266"/>
        <v/>
      </c>
      <c r="PV44" s="301"/>
      <c r="PW44" s="302" t="str">
        <f t="shared" si="267"/>
        <v/>
      </c>
      <c r="PX44" s="349"/>
      <c r="PY44" s="358"/>
      <c r="PZ44" s="18">
        <v>12</v>
      </c>
      <c r="QA44" s="19" t="s">
        <v>1159</v>
      </c>
      <c r="QB44" s="18">
        <f t="shared" ref="QB44:QB46" si="511">QC43+1</f>
        <v>29</v>
      </c>
      <c r="QC44" s="18">
        <f t="shared" si="269"/>
        <v>31</v>
      </c>
      <c r="QD44" s="18">
        <v>3</v>
      </c>
      <c r="QE44" s="301" t="str">
        <f t="shared" si="270"/>
        <v/>
      </c>
      <c r="QF44" s="301"/>
      <c r="QG44" s="302" t="str">
        <f t="shared" si="271"/>
        <v/>
      </c>
      <c r="QH44" s="349"/>
      <c r="QI44" s="358"/>
      <c r="QJ44" s="18">
        <v>12</v>
      </c>
      <c r="QK44" s="19" t="s">
        <v>1159</v>
      </c>
      <c r="QL44" s="18">
        <f t="shared" ref="QL44:QL46" si="512">QM43+1</f>
        <v>29</v>
      </c>
      <c r="QM44" s="18">
        <f t="shared" si="273"/>
        <v>31</v>
      </c>
      <c r="QN44" s="18">
        <v>3</v>
      </c>
      <c r="QO44" s="301" t="str">
        <f t="shared" si="274"/>
        <v/>
      </c>
      <c r="QP44" s="301"/>
      <c r="QQ44" s="302" t="str">
        <f t="shared" si="275"/>
        <v/>
      </c>
      <c r="QR44" s="349"/>
      <c r="QS44" s="358"/>
      <c r="QT44" s="18">
        <v>12</v>
      </c>
      <c r="QU44" s="19" t="s">
        <v>1159</v>
      </c>
      <c r="QV44" s="18">
        <f t="shared" ref="QV44:QV46" si="513">QW43+1</f>
        <v>29</v>
      </c>
      <c r="QW44" s="18">
        <f t="shared" si="277"/>
        <v>31</v>
      </c>
      <c r="QX44" s="18">
        <v>3</v>
      </c>
      <c r="QY44" s="301" t="str">
        <f t="shared" si="278"/>
        <v/>
      </c>
      <c r="QZ44" s="301"/>
      <c r="RA44" s="302" t="str">
        <f t="shared" si="279"/>
        <v/>
      </c>
      <c r="RB44" s="349"/>
      <c r="RC44" s="358"/>
      <c r="RD44" s="18">
        <v>12</v>
      </c>
      <c r="RE44" s="19" t="s">
        <v>1159</v>
      </c>
      <c r="RF44" s="18">
        <f t="shared" ref="RF44:RF46" si="514">RG43+1</f>
        <v>29</v>
      </c>
      <c r="RG44" s="18">
        <f t="shared" si="281"/>
        <v>31</v>
      </c>
      <c r="RH44" s="18">
        <v>3</v>
      </c>
      <c r="RI44" s="301" t="str">
        <f t="shared" si="282"/>
        <v/>
      </c>
      <c r="RJ44" s="301"/>
      <c r="RK44" s="302" t="str">
        <f t="shared" si="283"/>
        <v/>
      </c>
      <c r="RL44" s="349"/>
      <c r="RM44" s="358"/>
      <c r="RN44" s="18">
        <v>12</v>
      </c>
      <c r="RO44" s="19" t="s">
        <v>1159</v>
      </c>
      <c r="RP44" s="18">
        <f t="shared" ref="RP44:RP46" si="515">RQ43+1</f>
        <v>29</v>
      </c>
      <c r="RQ44" s="18">
        <f t="shared" si="285"/>
        <v>31</v>
      </c>
      <c r="RR44" s="18">
        <v>3</v>
      </c>
      <c r="RS44" s="301" t="str">
        <f t="shared" si="286"/>
        <v/>
      </c>
      <c r="RT44" s="301"/>
      <c r="RU44" s="302" t="str">
        <f t="shared" si="287"/>
        <v/>
      </c>
      <c r="RV44" s="349"/>
      <c r="RW44" s="358"/>
      <c r="RX44" s="18">
        <v>12</v>
      </c>
      <c r="RY44" s="19" t="s">
        <v>1159</v>
      </c>
      <c r="RZ44" s="18">
        <f t="shared" ref="RZ44:RZ46" si="516">SA43+1</f>
        <v>29</v>
      </c>
      <c r="SA44" s="18">
        <f t="shared" si="289"/>
        <v>31</v>
      </c>
      <c r="SB44" s="18">
        <v>3</v>
      </c>
      <c r="SC44" s="301" t="str">
        <f t="shared" si="290"/>
        <v/>
      </c>
      <c r="SD44" s="301"/>
      <c r="SE44" s="302" t="str">
        <f t="shared" si="291"/>
        <v/>
      </c>
      <c r="SF44" s="349"/>
      <c r="SG44" s="358"/>
      <c r="SH44" s="18">
        <v>12</v>
      </c>
      <c r="SI44" s="19" t="s">
        <v>1159</v>
      </c>
      <c r="SJ44" s="18">
        <f t="shared" ref="SJ44:SJ46" si="517">SK43+1</f>
        <v>29</v>
      </c>
      <c r="SK44" s="18">
        <f t="shared" si="293"/>
        <v>31</v>
      </c>
      <c r="SL44" s="18">
        <v>3</v>
      </c>
      <c r="SM44" s="301" t="str">
        <f t="shared" si="294"/>
        <v/>
      </c>
      <c r="SN44" s="301"/>
      <c r="SO44" s="302" t="str">
        <f t="shared" si="295"/>
        <v/>
      </c>
      <c r="SP44" s="349"/>
      <c r="SQ44" s="358"/>
      <c r="SR44" s="18">
        <v>12</v>
      </c>
      <c r="SS44" s="19" t="s">
        <v>1159</v>
      </c>
      <c r="ST44" s="18">
        <f t="shared" ref="ST44:ST46" si="518">SU43+1</f>
        <v>29</v>
      </c>
      <c r="SU44" s="18">
        <f t="shared" si="297"/>
        <v>31</v>
      </c>
      <c r="SV44" s="18">
        <v>3</v>
      </c>
      <c r="SW44" s="301" t="str">
        <f t="shared" si="298"/>
        <v/>
      </c>
      <c r="SX44" s="301"/>
      <c r="SY44" s="302" t="str">
        <f t="shared" si="299"/>
        <v/>
      </c>
      <c r="SZ44" s="349"/>
      <c r="TA44" s="358"/>
      <c r="TB44" s="18">
        <v>12</v>
      </c>
      <c r="TC44" s="19" t="s">
        <v>1159</v>
      </c>
      <c r="TD44" s="18">
        <f t="shared" ref="TD44:TD46" si="519">TE43+1</f>
        <v>29</v>
      </c>
      <c r="TE44" s="18">
        <f t="shared" si="301"/>
        <v>31</v>
      </c>
      <c r="TF44" s="18">
        <v>3</v>
      </c>
      <c r="TG44" s="301" t="str">
        <f t="shared" si="302"/>
        <v/>
      </c>
      <c r="TH44" s="301"/>
      <c r="TI44" s="302" t="str">
        <f t="shared" si="303"/>
        <v/>
      </c>
      <c r="TJ44" s="349"/>
      <c r="TK44" s="358"/>
      <c r="TL44" s="18">
        <v>12</v>
      </c>
      <c r="TM44" s="19" t="s">
        <v>1159</v>
      </c>
      <c r="TN44" s="18">
        <f t="shared" ref="TN44:TN46" si="520">TO43+1</f>
        <v>29</v>
      </c>
      <c r="TO44" s="18">
        <f t="shared" si="305"/>
        <v>31</v>
      </c>
      <c r="TP44" s="18">
        <v>3</v>
      </c>
      <c r="TQ44" s="301" t="str">
        <f t="shared" si="306"/>
        <v/>
      </c>
      <c r="TR44" s="301"/>
      <c r="TS44" s="302" t="str">
        <f t="shared" si="307"/>
        <v/>
      </c>
      <c r="TT44" s="349"/>
      <c r="TU44" s="358"/>
      <c r="TV44" s="18">
        <v>12</v>
      </c>
      <c r="TW44" s="19" t="s">
        <v>1159</v>
      </c>
      <c r="TX44" s="18">
        <f t="shared" ref="TX44:TX46" si="521">TY43+1</f>
        <v>29</v>
      </c>
      <c r="TY44" s="18">
        <f t="shared" si="309"/>
        <v>31</v>
      </c>
      <c r="TZ44" s="18">
        <v>3</v>
      </c>
      <c r="UA44" s="301" t="str">
        <f t="shared" si="310"/>
        <v/>
      </c>
      <c r="UB44" s="301"/>
      <c r="UC44" s="302" t="str">
        <f t="shared" si="311"/>
        <v/>
      </c>
      <c r="UD44" s="349"/>
      <c r="UE44" s="358"/>
      <c r="UF44" s="18">
        <v>12</v>
      </c>
      <c r="UG44" s="19" t="s">
        <v>1159</v>
      </c>
      <c r="UH44" s="18">
        <f t="shared" ref="UH44:UH46" si="522">UI43+1</f>
        <v>29</v>
      </c>
      <c r="UI44" s="18">
        <f t="shared" si="313"/>
        <v>31</v>
      </c>
      <c r="UJ44" s="18">
        <v>3</v>
      </c>
      <c r="UK44" s="301" t="str">
        <f t="shared" si="314"/>
        <v/>
      </c>
      <c r="UL44" s="301"/>
      <c r="UM44" s="302" t="str">
        <f t="shared" si="315"/>
        <v/>
      </c>
      <c r="UN44" s="349"/>
      <c r="UO44" s="358"/>
      <c r="UP44" s="18">
        <v>12</v>
      </c>
      <c r="UQ44" s="19" t="s">
        <v>1159</v>
      </c>
      <c r="UR44" s="18">
        <f t="shared" ref="UR44:UR46" si="523">US43+1</f>
        <v>29</v>
      </c>
      <c r="US44" s="18">
        <f t="shared" si="317"/>
        <v>31</v>
      </c>
      <c r="UT44" s="18">
        <v>3</v>
      </c>
      <c r="UU44" s="301" t="str">
        <f t="shared" si="318"/>
        <v/>
      </c>
      <c r="UV44" s="301"/>
      <c r="UW44" s="302" t="str">
        <f t="shared" si="319"/>
        <v/>
      </c>
      <c r="UX44" s="349"/>
      <c r="UY44" s="358"/>
      <c r="UZ44" s="18">
        <v>12</v>
      </c>
      <c r="VA44" s="19" t="s">
        <v>1159</v>
      </c>
      <c r="VB44" s="18">
        <f t="shared" ref="VB44:VB46" si="524">VC43+1</f>
        <v>29</v>
      </c>
      <c r="VC44" s="18">
        <f t="shared" si="321"/>
        <v>31</v>
      </c>
      <c r="VD44" s="18">
        <v>3</v>
      </c>
      <c r="VE44" s="301" t="str">
        <f t="shared" si="322"/>
        <v/>
      </c>
      <c r="VF44" s="301"/>
      <c r="VG44" s="302" t="str">
        <f t="shared" si="323"/>
        <v/>
      </c>
      <c r="VH44" s="349"/>
      <c r="VI44" s="358"/>
      <c r="VJ44" s="18">
        <v>12</v>
      </c>
      <c r="VK44" s="19" t="s">
        <v>1159</v>
      </c>
      <c r="VL44" s="18">
        <f t="shared" ref="VL44:VL46" si="525">VM43+1</f>
        <v>29</v>
      </c>
      <c r="VM44" s="18">
        <f t="shared" si="325"/>
        <v>31</v>
      </c>
      <c r="VN44" s="18">
        <v>3</v>
      </c>
      <c r="VO44" s="301" t="str">
        <f t="shared" si="326"/>
        <v/>
      </c>
      <c r="VP44" s="301"/>
      <c r="VQ44" s="302" t="str">
        <f t="shared" si="327"/>
        <v/>
      </c>
      <c r="VR44" s="349"/>
      <c r="VS44" s="358"/>
      <c r="VT44" s="18">
        <v>12</v>
      </c>
      <c r="VU44" s="19" t="s">
        <v>1159</v>
      </c>
      <c r="VV44" s="18">
        <f t="shared" ref="VV44:VV46" si="526">VW43+1</f>
        <v>29</v>
      </c>
      <c r="VW44" s="18">
        <f t="shared" si="329"/>
        <v>31</v>
      </c>
      <c r="VX44" s="18">
        <v>3</v>
      </c>
      <c r="VY44" s="301" t="str">
        <f t="shared" si="330"/>
        <v/>
      </c>
      <c r="VZ44" s="301"/>
      <c r="WA44" s="302" t="str">
        <f t="shared" si="331"/>
        <v/>
      </c>
      <c r="WB44" s="349"/>
      <c r="WC44" s="358"/>
      <c r="WD44" s="18">
        <v>12</v>
      </c>
      <c r="WE44" s="19" t="s">
        <v>1159</v>
      </c>
      <c r="WF44" s="18">
        <f t="shared" ref="WF44:WF46" si="527">WG43+1</f>
        <v>29</v>
      </c>
      <c r="WG44" s="18">
        <f t="shared" si="333"/>
        <v>31</v>
      </c>
      <c r="WH44" s="18">
        <v>3</v>
      </c>
      <c r="WI44" s="301" t="str">
        <f t="shared" si="334"/>
        <v/>
      </c>
      <c r="WJ44" s="301"/>
      <c r="WK44" s="302" t="str">
        <f t="shared" si="335"/>
        <v/>
      </c>
      <c r="WL44" s="349"/>
      <c r="WM44" s="358"/>
      <c r="WN44" s="18">
        <v>12</v>
      </c>
      <c r="WO44" s="19" t="s">
        <v>1159</v>
      </c>
      <c r="WP44" s="18">
        <f t="shared" ref="WP44:WP46" si="528">WQ43+1</f>
        <v>29</v>
      </c>
      <c r="WQ44" s="18">
        <f t="shared" si="337"/>
        <v>31</v>
      </c>
      <c r="WR44" s="18">
        <v>3</v>
      </c>
      <c r="WS44" s="301" t="str">
        <f t="shared" si="338"/>
        <v/>
      </c>
      <c r="WT44" s="301"/>
      <c r="WU44" s="302" t="str">
        <f t="shared" si="339"/>
        <v/>
      </c>
      <c r="WV44" s="349"/>
      <c r="WW44" s="358"/>
      <c r="WX44" s="18">
        <v>12</v>
      </c>
      <c r="WY44" s="19" t="s">
        <v>1159</v>
      </c>
      <c r="WZ44" s="18">
        <f t="shared" ref="WZ44:WZ46" si="529">XA43+1</f>
        <v>29</v>
      </c>
      <c r="XA44" s="18">
        <f t="shared" si="341"/>
        <v>31</v>
      </c>
      <c r="XB44" s="18">
        <v>3</v>
      </c>
      <c r="XC44" s="301" t="str">
        <f t="shared" si="342"/>
        <v/>
      </c>
      <c r="XD44" s="301"/>
      <c r="XE44" s="302" t="str">
        <f t="shared" si="343"/>
        <v/>
      </c>
      <c r="XF44" s="349"/>
      <c r="XG44" s="358"/>
      <c r="XH44" s="18">
        <v>12</v>
      </c>
      <c r="XI44" s="19" t="s">
        <v>1159</v>
      </c>
      <c r="XJ44" s="18">
        <f t="shared" ref="XJ44:XJ46" si="530">XK43+1</f>
        <v>29</v>
      </c>
      <c r="XK44" s="18">
        <f t="shared" si="345"/>
        <v>31</v>
      </c>
      <c r="XL44" s="18">
        <v>3</v>
      </c>
      <c r="XM44" s="301" t="str">
        <f t="shared" si="346"/>
        <v/>
      </c>
      <c r="XN44" s="301"/>
      <c r="XO44" s="302" t="str">
        <f t="shared" si="347"/>
        <v/>
      </c>
      <c r="XP44" s="349"/>
      <c r="XQ44" s="358"/>
      <c r="XR44" s="18">
        <v>12</v>
      </c>
      <c r="XS44" s="19" t="s">
        <v>1159</v>
      </c>
      <c r="XT44" s="18">
        <f t="shared" ref="XT44:XT46" si="531">XU43+1</f>
        <v>29</v>
      </c>
      <c r="XU44" s="18">
        <f t="shared" si="349"/>
        <v>31</v>
      </c>
      <c r="XV44" s="18">
        <v>3</v>
      </c>
      <c r="XW44" s="301" t="str">
        <f t="shared" si="350"/>
        <v/>
      </c>
      <c r="XX44" s="301"/>
      <c r="XY44" s="302" t="str">
        <f t="shared" si="351"/>
        <v/>
      </c>
      <c r="XZ44" s="349"/>
      <c r="YA44" s="358"/>
      <c r="YB44" s="18">
        <v>12</v>
      </c>
      <c r="YC44" s="19" t="s">
        <v>1159</v>
      </c>
      <c r="YD44" s="18">
        <f t="shared" ref="YD44:YD46" si="532">YE43+1</f>
        <v>29</v>
      </c>
      <c r="YE44" s="18">
        <f t="shared" si="353"/>
        <v>31</v>
      </c>
      <c r="YF44" s="18">
        <v>3</v>
      </c>
      <c r="YG44" s="301" t="str">
        <f t="shared" si="354"/>
        <v/>
      </c>
      <c r="YH44" s="301"/>
      <c r="YI44" s="302" t="str">
        <f t="shared" si="355"/>
        <v/>
      </c>
      <c r="YJ44" s="349"/>
      <c r="YK44" s="358"/>
      <c r="YL44" s="18">
        <v>12</v>
      </c>
      <c r="YM44" s="19" t="s">
        <v>1159</v>
      </c>
      <c r="YN44" s="18">
        <f t="shared" ref="YN44:YN46" si="533">YO43+1</f>
        <v>29</v>
      </c>
      <c r="YO44" s="18">
        <f t="shared" si="357"/>
        <v>31</v>
      </c>
      <c r="YP44" s="18">
        <v>3</v>
      </c>
      <c r="YQ44" s="301" t="str">
        <f t="shared" si="358"/>
        <v/>
      </c>
      <c r="YR44" s="301"/>
      <c r="YS44" s="302" t="str">
        <f t="shared" si="359"/>
        <v/>
      </c>
      <c r="YT44" s="349"/>
      <c r="YU44" s="358"/>
      <c r="YV44" s="18">
        <v>12</v>
      </c>
      <c r="YW44" s="19" t="s">
        <v>1159</v>
      </c>
      <c r="YX44" s="18">
        <f t="shared" ref="YX44:YX46" si="534">YY43+1</f>
        <v>29</v>
      </c>
      <c r="YY44" s="18">
        <f t="shared" si="361"/>
        <v>31</v>
      </c>
      <c r="YZ44" s="18">
        <v>3</v>
      </c>
      <c r="ZA44" s="301" t="str">
        <f t="shared" si="362"/>
        <v/>
      </c>
      <c r="ZB44" s="301"/>
      <c r="ZC44" s="302" t="str">
        <f t="shared" si="363"/>
        <v/>
      </c>
      <c r="ZD44" s="349"/>
      <c r="ZE44" s="358"/>
      <c r="ZF44" s="18">
        <v>12</v>
      </c>
      <c r="ZG44" s="19" t="s">
        <v>1159</v>
      </c>
      <c r="ZH44" s="18">
        <f t="shared" ref="ZH44:ZH46" si="535">ZI43+1</f>
        <v>29</v>
      </c>
      <c r="ZI44" s="18">
        <f t="shared" si="365"/>
        <v>31</v>
      </c>
      <c r="ZJ44" s="18">
        <v>3</v>
      </c>
      <c r="ZK44" s="301" t="str">
        <f t="shared" si="366"/>
        <v/>
      </c>
      <c r="ZL44" s="301"/>
      <c r="ZM44" s="302" t="str">
        <f t="shared" si="367"/>
        <v/>
      </c>
      <c r="ZN44" s="349"/>
      <c r="ZO44" s="358"/>
      <c r="ZP44" s="18">
        <v>12</v>
      </c>
      <c r="ZQ44" s="19" t="s">
        <v>1159</v>
      </c>
      <c r="ZR44" s="18">
        <f t="shared" ref="ZR44:ZR46" si="536">ZS43+1</f>
        <v>29</v>
      </c>
      <c r="ZS44" s="18">
        <f t="shared" si="369"/>
        <v>31</v>
      </c>
      <c r="ZT44" s="18">
        <v>3</v>
      </c>
      <c r="ZU44" s="301" t="str">
        <f t="shared" si="370"/>
        <v/>
      </c>
      <c r="ZV44" s="301"/>
      <c r="ZW44" s="302" t="str">
        <f t="shared" si="371"/>
        <v/>
      </c>
      <c r="ZX44" s="349"/>
      <c r="ZY44" s="358"/>
      <c r="ZZ44" s="18">
        <v>12</v>
      </c>
      <c r="AAA44" s="19" t="s">
        <v>1159</v>
      </c>
      <c r="AAB44" s="18">
        <f t="shared" ref="AAB44:AAB46" si="537">AAC43+1</f>
        <v>29</v>
      </c>
      <c r="AAC44" s="18">
        <f t="shared" si="373"/>
        <v>31</v>
      </c>
      <c r="AAD44" s="18">
        <v>3</v>
      </c>
      <c r="AAE44" s="301" t="str">
        <f t="shared" si="374"/>
        <v/>
      </c>
      <c r="AAF44" s="301"/>
      <c r="AAG44" s="302" t="str">
        <f t="shared" si="375"/>
        <v/>
      </c>
      <c r="AAH44" s="349"/>
      <c r="AAI44" s="358"/>
      <c r="AAJ44" s="18">
        <v>12</v>
      </c>
      <c r="AAK44" s="19" t="s">
        <v>1159</v>
      </c>
      <c r="AAL44" s="18">
        <f t="shared" ref="AAL44:AAL46" si="538">AAM43+1</f>
        <v>29</v>
      </c>
      <c r="AAM44" s="18">
        <f t="shared" si="377"/>
        <v>31</v>
      </c>
      <c r="AAN44" s="18">
        <v>3</v>
      </c>
      <c r="AAO44" s="301" t="str">
        <f t="shared" si="378"/>
        <v/>
      </c>
      <c r="AAP44" s="301"/>
      <c r="AAQ44" s="302" t="str">
        <f t="shared" si="379"/>
        <v/>
      </c>
      <c r="AAR44" s="349"/>
      <c r="AAS44" s="358"/>
      <c r="AAT44" s="18">
        <v>12</v>
      </c>
      <c r="AAU44" s="19" t="s">
        <v>1159</v>
      </c>
      <c r="AAV44" s="18">
        <f t="shared" ref="AAV44:AAV46" si="539">AAW43+1</f>
        <v>29</v>
      </c>
      <c r="AAW44" s="18">
        <f t="shared" si="381"/>
        <v>31</v>
      </c>
      <c r="AAX44" s="18">
        <v>3</v>
      </c>
      <c r="AAY44" s="301" t="str">
        <f t="shared" si="382"/>
        <v/>
      </c>
      <c r="AAZ44" s="301"/>
      <c r="ABA44" s="302" t="str">
        <f t="shared" si="383"/>
        <v/>
      </c>
      <c r="ABB44" s="349"/>
      <c r="ABC44" s="358"/>
      <c r="ABD44" s="18">
        <v>12</v>
      </c>
      <c r="ABE44" s="19" t="s">
        <v>1159</v>
      </c>
      <c r="ABF44" s="18">
        <f t="shared" ref="ABF44:ABF46" si="540">ABG43+1</f>
        <v>29</v>
      </c>
      <c r="ABG44" s="18">
        <f t="shared" si="385"/>
        <v>31</v>
      </c>
      <c r="ABH44" s="18">
        <v>3</v>
      </c>
      <c r="ABI44" s="301" t="str">
        <f t="shared" si="386"/>
        <v/>
      </c>
      <c r="ABJ44" s="301"/>
      <c r="ABK44" s="302" t="str">
        <f t="shared" si="387"/>
        <v/>
      </c>
      <c r="ABL44" s="349"/>
      <c r="ABM44" s="358"/>
      <c r="ABN44" s="18">
        <v>12</v>
      </c>
      <c r="ABO44" s="19" t="s">
        <v>1159</v>
      </c>
      <c r="ABP44" s="18">
        <f t="shared" ref="ABP44:ABP46" si="541">ABQ43+1</f>
        <v>29</v>
      </c>
      <c r="ABQ44" s="18">
        <f t="shared" si="389"/>
        <v>31</v>
      </c>
      <c r="ABR44" s="18">
        <v>3</v>
      </c>
      <c r="ABS44" s="301" t="str">
        <f t="shared" si="390"/>
        <v/>
      </c>
      <c r="ABT44" s="301"/>
      <c r="ABU44" s="302" t="str">
        <f t="shared" si="391"/>
        <v/>
      </c>
      <c r="ABV44" s="349"/>
      <c r="ABW44" s="358"/>
      <c r="ABX44" s="18">
        <v>12</v>
      </c>
      <c r="ABY44" s="19" t="s">
        <v>1159</v>
      </c>
      <c r="ABZ44" s="18">
        <f t="shared" ref="ABZ44:ABZ46" si="542">ACA43+1</f>
        <v>29</v>
      </c>
      <c r="ACA44" s="18">
        <f t="shared" si="393"/>
        <v>31</v>
      </c>
      <c r="ACB44" s="18">
        <v>3</v>
      </c>
      <c r="ACC44" s="301" t="str">
        <f t="shared" si="394"/>
        <v/>
      </c>
      <c r="ACD44" s="301"/>
      <c r="ACE44" s="302" t="str">
        <f t="shared" si="395"/>
        <v/>
      </c>
      <c r="ACF44" s="349"/>
      <c r="ACG44" s="358"/>
      <c r="ACH44" s="18">
        <v>12</v>
      </c>
      <c r="ACI44" s="19" t="s">
        <v>1159</v>
      </c>
      <c r="ACJ44" s="18">
        <f t="shared" ref="ACJ44:ACJ46" si="543">ACK43+1</f>
        <v>29</v>
      </c>
      <c r="ACK44" s="18">
        <f t="shared" si="397"/>
        <v>31</v>
      </c>
      <c r="ACL44" s="18">
        <v>3</v>
      </c>
      <c r="ACM44" s="301" t="str">
        <f t="shared" si="398"/>
        <v/>
      </c>
      <c r="ACN44" s="301"/>
      <c r="ACO44" s="302" t="str">
        <f t="shared" si="399"/>
        <v/>
      </c>
      <c r="ACP44" s="349"/>
      <c r="ACQ44" s="358"/>
      <c r="ACR44" s="18">
        <v>12</v>
      </c>
      <c r="ACS44" s="19" t="s">
        <v>1159</v>
      </c>
      <c r="ACT44" s="18">
        <f t="shared" ref="ACT44:ACT46" si="544">ACU43+1</f>
        <v>29</v>
      </c>
      <c r="ACU44" s="18">
        <f t="shared" si="401"/>
        <v>31</v>
      </c>
      <c r="ACV44" s="18">
        <v>3</v>
      </c>
      <c r="ACW44" s="301" t="str">
        <f t="shared" si="402"/>
        <v/>
      </c>
      <c r="ACX44" s="301"/>
      <c r="ACY44" s="302" t="str">
        <f t="shared" si="403"/>
        <v/>
      </c>
      <c r="ACZ44" s="349"/>
      <c r="ADA44" s="358"/>
      <c r="ADB44" s="18">
        <v>12</v>
      </c>
      <c r="ADC44" s="19" t="s">
        <v>1159</v>
      </c>
      <c r="ADD44" s="18">
        <f t="shared" ref="ADD44:ADD46" si="545">ADE43+1</f>
        <v>29</v>
      </c>
      <c r="ADE44" s="18">
        <f t="shared" si="405"/>
        <v>31</v>
      </c>
      <c r="ADF44" s="18">
        <v>3</v>
      </c>
      <c r="ADG44" s="301" t="str">
        <f t="shared" si="406"/>
        <v/>
      </c>
      <c r="ADH44" s="301"/>
      <c r="ADI44" s="302" t="str">
        <f t="shared" si="407"/>
        <v/>
      </c>
      <c r="ADJ44" s="349"/>
      <c r="ADK44" s="358"/>
      <c r="ADL44" s="18">
        <v>12</v>
      </c>
      <c r="ADM44" s="19" t="s">
        <v>1159</v>
      </c>
      <c r="ADN44" s="18">
        <f t="shared" ref="ADN44:ADN46" si="546">ADO43+1</f>
        <v>29</v>
      </c>
      <c r="ADO44" s="18">
        <f t="shared" si="409"/>
        <v>31</v>
      </c>
      <c r="ADP44" s="18">
        <v>3</v>
      </c>
      <c r="ADQ44" s="301" t="str">
        <f t="shared" si="410"/>
        <v/>
      </c>
      <c r="ADR44" s="301"/>
      <c r="ADS44" s="302" t="str">
        <f t="shared" si="411"/>
        <v/>
      </c>
      <c r="ADT44" s="349"/>
      <c r="ADU44" s="358"/>
      <c r="ADV44" s="18">
        <v>12</v>
      </c>
      <c r="ADW44" s="19" t="s">
        <v>1159</v>
      </c>
      <c r="ADX44" s="18">
        <f t="shared" ref="ADX44:ADX46" si="547">ADY43+1</f>
        <v>29</v>
      </c>
      <c r="ADY44" s="18">
        <f t="shared" si="413"/>
        <v>31</v>
      </c>
      <c r="ADZ44" s="18">
        <v>3</v>
      </c>
      <c r="AEA44" s="301" t="str">
        <f t="shared" si="414"/>
        <v/>
      </c>
      <c r="AEB44" s="301"/>
      <c r="AEC44" s="302" t="str">
        <f t="shared" si="415"/>
        <v/>
      </c>
      <c r="AED44" s="349"/>
      <c r="AEE44" s="358"/>
      <c r="AEF44" s="18">
        <v>12</v>
      </c>
      <c r="AEG44" s="19" t="s">
        <v>1159</v>
      </c>
      <c r="AEH44" s="18">
        <f t="shared" ref="AEH44:AEH46" si="548">AEI43+1</f>
        <v>29</v>
      </c>
      <c r="AEI44" s="18">
        <f t="shared" si="417"/>
        <v>31</v>
      </c>
      <c r="AEJ44" s="18">
        <v>3</v>
      </c>
      <c r="AEK44" s="301" t="str">
        <f t="shared" si="418"/>
        <v/>
      </c>
      <c r="AEL44" s="301"/>
      <c r="AEM44" s="302" t="str">
        <f t="shared" si="419"/>
        <v/>
      </c>
      <c r="AEN44" s="349"/>
      <c r="AEO44" s="358"/>
      <c r="AEP44" s="18">
        <v>12</v>
      </c>
      <c r="AEQ44" s="19" t="s">
        <v>1159</v>
      </c>
      <c r="AER44" s="18">
        <f t="shared" ref="AER44:AER46" si="549">AES43+1</f>
        <v>29</v>
      </c>
      <c r="AES44" s="18">
        <f t="shared" si="421"/>
        <v>31</v>
      </c>
      <c r="AET44" s="18">
        <v>3</v>
      </c>
      <c r="AEU44" s="301" t="str">
        <f t="shared" si="422"/>
        <v/>
      </c>
      <c r="AEV44" s="301"/>
      <c r="AEW44" s="302" t="str">
        <f t="shared" si="423"/>
        <v/>
      </c>
      <c r="AEX44" s="349"/>
      <c r="AEY44" s="358"/>
      <c r="AEZ44" s="18">
        <v>12</v>
      </c>
      <c r="AFA44" s="19" t="s">
        <v>1159</v>
      </c>
      <c r="AFB44" s="18">
        <f t="shared" ref="AFB44:AFB46" si="550">AFC43+1</f>
        <v>29</v>
      </c>
      <c r="AFC44" s="18">
        <f t="shared" si="425"/>
        <v>31</v>
      </c>
      <c r="AFD44" s="18">
        <v>3</v>
      </c>
      <c r="AFE44" s="301" t="str">
        <f t="shared" si="426"/>
        <v/>
      </c>
      <c r="AFF44" s="301"/>
      <c r="AFG44" s="302" t="str">
        <f t="shared" si="427"/>
        <v/>
      </c>
      <c r="AFH44" s="349"/>
      <c r="AFI44" s="358"/>
      <c r="AFJ44" s="18">
        <v>12</v>
      </c>
      <c r="AFK44" s="19" t="s">
        <v>1159</v>
      </c>
      <c r="AFL44" s="18">
        <f t="shared" ref="AFL44:AFL46" si="551">AFM43+1</f>
        <v>29</v>
      </c>
      <c r="AFM44" s="18">
        <f t="shared" si="429"/>
        <v>31</v>
      </c>
      <c r="AFN44" s="18">
        <v>3</v>
      </c>
      <c r="AFO44" s="301" t="str">
        <f t="shared" si="430"/>
        <v/>
      </c>
      <c r="AFP44" s="301"/>
      <c r="AFQ44" s="302" t="str">
        <f t="shared" si="431"/>
        <v/>
      </c>
      <c r="AFR44" s="349"/>
      <c r="AFS44" s="358"/>
      <c r="AFT44" s="18">
        <v>12</v>
      </c>
      <c r="AFU44" s="19" t="s">
        <v>1159</v>
      </c>
      <c r="AFV44" s="18">
        <f t="shared" ref="AFV44:AFV46" si="552">AFW43+1</f>
        <v>29</v>
      </c>
      <c r="AFW44" s="18">
        <f t="shared" si="433"/>
        <v>31</v>
      </c>
      <c r="AFX44" s="18">
        <v>3</v>
      </c>
      <c r="AFY44" s="301" t="str">
        <f t="shared" si="434"/>
        <v/>
      </c>
      <c r="AFZ44" s="301"/>
      <c r="AGA44" s="302" t="str">
        <f t="shared" si="435"/>
        <v/>
      </c>
      <c r="AGB44" s="349"/>
      <c r="AGC44" s="358"/>
      <c r="AGD44" s="18">
        <v>12</v>
      </c>
      <c r="AGE44" s="19" t="s">
        <v>1159</v>
      </c>
      <c r="AGF44" s="18">
        <f t="shared" ref="AGF44:AGF46" si="553">AGG43+1</f>
        <v>29</v>
      </c>
      <c r="AGG44" s="18">
        <f t="shared" si="437"/>
        <v>31</v>
      </c>
      <c r="AGH44" s="18">
        <v>3</v>
      </c>
      <c r="AGI44" s="301" t="str">
        <f t="shared" si="438"/>
        <v/>
      </c>
      <c r="AGJ44" s="301"/>
      <c r="AGK44" s="302" t="str">
        <f t="shared" si="439"/>
        <v/>
      </c>
      <c r="AGL44" s="349"/>
      <c r="AGM44" s="358"/>
      <c r="AGN44" s="18">
        <v>12</v>
      </c>
      <c r="AGO44" s="19" t="s">
        <v>1159</v>
      </c>
      <c r="AGP44" s="18">
        <f t="shared" ref="AGP44:AGP46" si="554">AGQ43+1</f>
        <v>29</v>
      </c>
      <c r="AGQ44" s="18">
        <f t="shared" si="441"/>
        <v>31</v>
      </c>
      <c r="AGR44" s="18">
        <v>3</v>
      </c>
      <c r="AGS44" s="301" t="str">
        <f t="shared" si="442"/>
        <v/>
      </c>
      <c r="AGT44" s="301"/>
      <c r="AGU44" s="302" t="str">
        <f t="shared" si="443"/>
        <v/>
      </c>
      <c r="AGV44" s="349"/>
      <c r="AGW44" s="358"/>
      <c r="AGX44" s="18">
        <v>12</v>
      </c>
      <c r="AGY44" s="19" t="s">
        <v>1159</v>
      </c>
      <c r="AGZ44" s="18">
        <f t="shared" ref="AGZ44:AGZ46" si="555">AHA43+1</f>
        <v>29</v>
      </c>
      <c r="AHA44" s="18">
        <f t="shared" si="445"/>
        <v>31</v>
      </c>
      <c r="AHB44" s="18">
        <v>3</v>
      </c>
      <c r="AHC44" s="301" t="str">
        <f t="shared" si="446"/>
        <v/>
      </c>
      <c r="AHD44" s="301"/>
      <c r="AHE44" s="302" t="str">
        <f t="shared" si="447"/>
        <v/>
      </c>
      <c r="AHF44" s="349"/>
      <c r="AHG44" s="358"/>
      <c r="AHH44" s="18">
        <v>12</v>
      </c>
      <c r="AHI44" s="19" t="s">
        <v>1159</v>
      </c>
      <c r="AHJ44" s="18">
        <f t="shared" ref="AHJ44:AHJ46" si="556">AHK43+1</f>
        <v>29</v>
      </c>
      <c r="AHK44" s="18">
        <f t="shared" si="449"/>
        <v>31</v>
      </c>
      <c r="AHL44" s="18">
        <v>3</v>
      </c>
      <c r="AHM44" s="301" t="str">
        <f t="shared" si="450"/>
        <v/>
      </c>
      <c r="AHN44" s="301"/>
      <c r="AHO44" s="302" t="str">
        <f t="shared" si="451"/>
        <v/>
      </c>
      <c r="AHP44" s="349"/>
      <c r="AHQ44" s="358"/>
      <c r="AHR44" s="18">
        <v>12</v>
      </c>
      <c r="AHS44" s="19" t="s">
        <v>1159</v>
      </c>
      <c r="AHT44" s="18">
        <f t="shared" ref="AHT44:AHT46" si="557">AHU43+1</f>
        <v>29</v>
      </c>
      <c r="AHU44" s="18">
        <f t="shared" si="453"/>
        <v>31</v>
      </c>
      <c r="AHV44" s="18">
        <v>3</v>
      </c>
      <c r="AHW44" s="301" t="str">
        <f t="shared" si="454"/>
        <v/>
      </c>
      <c r="AHX44" s="301"/>
      <c r="AHY44" s="302" t="str">
        <f t="shared" si="455"/>
        <v/>
      </c>
      <c r="AHZ44" s="349"/>
      <c r="AIA44" s="358"/>
      <c r="AIB44" s="18">
        <v>12</v>
      </c>
      <c r="AIC44" s="19" t="s">
        <v>1159</v>
      </c>
      <c r="AID44" s="18">
        <f t="shared" ref="AID44:AID46" si="558">AIE43+1</f>
        <v>29</v>
      </c>
      <c r="AIE44" s="18">
        <f t="shared" si="457"/>
        <v>31</v>
      </c>
      <c r="AIF44" s="18">
        <v>3</v>
      </c>
      <c r="AIG44" s="301" t="str">
        <f t="shared" si="458"/>
        <v/>
      </c>
      <c r="AIH44" s="301"/>
      <c r="AII44" s="302" t="str">
        <f t="shared" si="459"/>
        <v/>
      </c>
      <c r="AIJ44" s="349"/>
      <c r="AIK44" s="358"/>
      <c r="AIL44" s="18">
        <v>12</v>
      </c>
      <c r="AIM44" s="19" t="s">
        <v>1159</v>
      </c>
      <c r="AIN44" s="18">
        <f t="shared" ref="AIN44:AIN46" si="559">AIO43+1</f>
        <v>29</v>
      </c>
      <c r="AIO44" s="18">
        <f t="shared" si="461"/>
        <v>31</v>
      </c>
      <c r="AIP44" s="18">
        <v>3</v>
      </c>
      <c r="AIQ44" s="301" t="str">
        <f t="shared" si="462"/>
        <v/>
      </c>
      <c r="AIR44" s="301"/>
      <c r="AIS44" s="302" t="str">
        <f t="shared" si="463"/>
        <v/>
      </c>
      <c r="AIT44" s="349"/>
      <c r="AIU44" s="358"/>
      <c r="AIV44" s="18">
        <v>12</v>
      </c>
      <c r="AIW44" s="19" t="s">
        <v>1159</v>
      </c>
      <c r="AIX44" s="18">
        <f t="shared" ref="AIX44:AIX46" si="560">AIY43+1</f>
        <v>29</v>
      </c>
      <c r="AIY44" s="18">
        <f t="shared" si="465"/>
        <v>31</v>
      </c>
      <c r="AIZ44" s="18">
        <v>3</v>
      </c>
      <c r="AJA44" s="301" t="str">
        <f t="shared" si="466"/>
        <v/>
      </c>
      <c r="AJB44" s="301"/>
      <c r="AJC44" s="302" t="str">
        <f t="shared" si="467"/>
        <v/>
      </c>
      <c r="AJD44" s="349"/>
    </row>
    <row r="45" spans="1:940" ht="15.95" customHeight="1">
      <c r="A45" s="364"/>
      <c r="B45" s="18">
        <v>14</v>
      </c>
      <c r="C45" s="19" t="s">
        <v>1160</v>
      </c>
      <c r="D45" s="18">
        <f t="shared" ref="D45:D66" si="561">E44+1</f>
        <v>32</v>
      </c>
      <c r="E45" s="18">
        <f>D45+F45-1</f>
        <v>34</v>
      </c>
      <c r="F45" s="18">
        <v>3</v>
      </c>
      <c r="G45" s="301" t="str">
        <f t="shared" si="468"/>
        <v/>
      </c>
      <c r="H45" s="301"/>
      <c r="I45" s="302">
        <f t="shared" si="96"/>
        <v>0</v>
      </c>
      <c r="J45" s="305"/>
      <c r="K45" s="358"/>
      <c r="L45" s="18">
        <v>13</v>
      </c>
      <c r="M45" s="19" t="s">
        <v>1160</v>
      </c>
      <c r="N45" s="18">
        <f t="shared" ref="N45:N66" si="562">O44+1</f>
        <v>32</v>
      </c>
      <c r="O45" s="18">
        <f t="shared" si="97"/>
        <v>34</v>
      </c>
      <c r="P45" s="18">
        <v>3</v>
      </c>
      <c r="Q45" s="301" t="str">
        <f t="shared" si="98"/>
        <v/>
      </c>
      <c r="R45" s="301"/>
      <c r="S45" s="302" t="str">
        <f t="shared" si="99"/>
        <v/>
      </c>
      <c r="T45" s="349"/>
      <c r="U45" s="358"/>
      <c r="V45" s="18">
        <v>13</v>
      </c>
      <c r="W45" s="19" t="s">
        <v>1160</v>
      </c>
      <c r="X45" s="18">
        <f t="shared" si="469"/>
        <v>32</v>
      </c>
      <c r="Y45" s="18">
        <f t="shared" si="101"/>
        <v>34</v>
      </c>
      <c r="Z45" s="18">
        <v>3</v>
      </c>
      <c r="AA45" s="301" t="str">
        <f t="shared" si="102"/>
        <v/>
      </c>
      <c r="AB45" s="301"/>
      <c r="AC45" s="302" t="str">
        <f t="shared" si="103"/>
        <v/>
      </c>
      <c r="AD45" s="349"/>
      <c r="AE45" s="358"/>
      <c r="AF45" s="18">
        <v>13</v>
      </c>
      <c r="AG45" s="19" t="s">
        <v>1160</v>
      </c>
      <c r="AH45" s="18">
        <f t="shared" si="470"/>
        <v>32</v>
      </c>
      <c r="AI45" s="18">
        <f t="shared" si="105"/>
        <v>34</v>
      </c>
      <c r="AJ45" s="18">
        <v>3</v>
      </c>
      <c r="AK45" s="301" t="str">
        <f t="shared" si="106"/>
        <v/>
      </c>
      <c r="AL45" s="301"/>
      <c r="AM45" s="302" t="str">
        <f t="shared" si="107"/>
        <v/>
      </c>
      <c r="AN45" s="349"/>
      <c r="AO45" s="358"/>
      <c r="AP45" s="18">
        <v>13</v>
      </c>
      <c r="AQ45" s="19" t="s">
        <v>1160</v>
      </c>
      <c r="AR45" s="18">
        <f t="shared" si="471"/>
        <v>32</v>
      </c>
      <c r="AS45" s="18">
        <f t="shared" si="109"/>
        <v>34</v>
      </c>
      <c r="AT45" s="18">
        <v>3</v>
      </c>
      <c r="AU45" s="301" t="str">
        <f t="shared" si="110"/>
        <v/>
      </c>
      <c r="AV45" s="301"/>
      <c r="AW45" s="302" t="str">
        <f t="shared" si="111"/>
        <v/>
      </c>
      <c r="AX45" s="349"/>
      <c r="AY45" s="358"/>
      <c r="AZ45" s="18">
        <v>13</v>
      </c>
      <c r="BA45" s="19" t="s">
        <v>1160</v>
      </c>
      <c r="BB45" s="18">
        <f t="shared" si="472"/>
        <v>32</v>
      </c>
      <c r="BC45" s="18">
        <f t="shared" si="113"/>
        <v>34</v>
      </c>
      <c r="BD45" s="18">
        <v>3</v>
      </c>
      <c r="BE45" s="301" t="str">
        <f t="shared" si="114"/>
        <v/>
      </c>
      <c r="BF45" s="301"/>
      <c r="BG45" s="302" t="str">
        <f t="shared" si="115"/>
        <v/>
      </c>
      <c r="BH45" s="349"/>
      <c r="BI45" s="358"/>
      <c r="BJ45" s="18">
        <v>13</v>
      </c>
      <c r="BK45" s="19" t="s">
        <v>1160</v>
      </c>
      <c r="BL45" s="18">
        <f t="shared" si="473"/>
        <v>32</v>
      </c>
      <c r="BM45" s="18">
        <f t="shared" si="117"/>
        <v>34</v>
      </c>
      <c r="BN45" s="18">
        <v>3</v>
      </c>
      <c r="BO45" s="301" t="str">
        <f t="shared" si="118"/>
        <v/>
      </c>
      <c r="BP45" s="301"/>
      <c r="BQ45" s="302" t="str">
        <f t="shared" si="119"/>
        <v/>
      </c>
      <c r="BR45" s="349"/>
      <c r="BS45" s="358"/>
      <c r="BT45" s="18">
        <v>13</v>
      </c>
      <c r="BU45" s="19" t="s">
        <v>1160</v>
      </c>
      <c r="BV45" s="18">
        <f t="shared" si="474"/>
        <v>32</v>
      </c>
      <c r="BW45" s="18">
        <f t="shared" si="121"/>
        <v>34</v>
      </c>
      <c r="BX45" s="18">
        <v>3</v>
      </c>
      <c r="BY45" s="301" t="str">
        <f t="shared" si="122"/>
        <v/>
      </c>
      <c r="BZ45" s="301"/>
      <c r="CA45" s="302" t="str">
        <f t="shared" si="123"/>
        <v/>
      </c>
      <c r="CB45" s="349"/>
      <c r="CC45" s="358"/>
      <c r="CD45" s="18">
        <v>13</v>
      </c>
      <c r="CE45" s="19" t="s">
        <v>1160</v>
      </c>
      <c r="CF45" s="18">
        <f t="shared" si="475"/>
        <v>32</v>
      </c>
      <c r="CG45" s="18">
        <f t="shared" si="125"/>
        <v>34</v>
      </c>
      <c r="CH45" s="18">
        <v>3</v>
      </c>
      <c r="CI45" s="301" t="str">
        <f t="shared" si="126"/>
        <v/>
      </c>
      <c r="CJ45" s="301"/>
      <c r="CK45" s="302" t="str">
        <f t="shared" si="127"/>
        <v/>
      </c>
      <c r="CL45" s="349"/>
      <c r="CM45" s="358"/>
      <c r="CN45" s="18">
        <v>13</v>
      </c>
      <c r="CO45" s="19" t="s">
        <v>1160</v>
      </c>
      <c r="CP45" s="18">
        <f t="shared" si="476"/>
        <v>32</v>
      </c>
      <c r="CQ45" s="18">
        <f t="shared" si="129"/>
        <v>34</v>
      </c>
      <c r="CR45" s="18">
        <v>3</v>
      </c>
      <c r="CS45" s="301" t="str">
        <f t="shared" si="130"/>
        <v/>
      </c>
      <c r="CT45" s="301"/>
      <c r="CU45" s="302" t="str">
        <f t="shared" si="131"/>
        <v/>
      </c>
      <c r="CV45" s="349"/>
      <c r="CW45" s="358"/>
      <c r="CX45" s="18">
        <v>13</v>
      </c>
      <c r="CY45" s="19" t="s">
        <v>1160</v>
      </c>
      <c r="CZ45" s="18">
        <f t="shared" si="477"/>
        <v>32</v>
      </c>
      <c r="DA45" s="18">
        <f t="shared" si="133"/>
        <v>34</v>
      </c>
      <c r="DB45" s="18">
        <v>3</v>
      </c>
      <c r="DC45" s="301" t="str">
        <f t="shared" si="134"/>
        <v/>
      </c>
      <c r="DD45" s="301"/>
      <c r="DE45" s="302" t="str">
        <f t="shared" si="135"/>
        <v/>
      </c>
      <c r="DF45" s="349"/>
      <c r="DG45" s="358"/>
      <c r="DH45" s="18">
        <v>13</v>
      </c>
      <c r="DI45" s="19" t="s">
        <v>1160</v>
      </c>
      <c r="DJ45" s="18">
        <f t="shared" si="478"/>
        <v>32</v>
      </c>
      <c r="DK45" s="18">
        <f t="shared" si="137"/>
        <v>34</v>
      </c>
      <c r="DL45" s="18">
        <v>3</v>
      </c>
      <c r="DM45" s="301" t="str">
        <f t="shared" si="138"/>
        <v/>
      </c>
      <c r="DN45" s="301"/>
      <c r="DO45" s="302" t="str">
        <f t="shared" si="139"/>
        <v/>
      </c>
      <c r="DP45" s="349"/>
      <c r="DQ45" s="358"/>
      <c r="DR45" s="18">
        <v>13</v>
      </c>
      <c r="DS45" s="19" t="s">
        <v>1160</v>
      </c>
      <c r="DT45" s="18">
        <f t="shared" si="479"/>
        <v>32</v>
      </c>
      <c r="DU45" s="18">
        <f t="shared" si="141"/>
        <v>34</v>
      </c>
      <c r="DV45" s="18">
        <v>3</v>
      </c>
      <c r="DW45" s="301" t="str">
        <f t="shared" si="142"/>
        <v/>
      </c>
      <c r="DX45" s="301"/>
      <c r="DY45" s="302" t="str">
        <f t="shared" si="143"/>
        <v/>
      </c>
      <c r="DZ45" s="349"/>
      <c r="EA45" s="358"/>
      <c r="EB45" s="18">
        <v>13</v>
      </c>
      <c r="EC45" s="19" t="s">
        <v>1160</v>
      </c>
      <c r="ED45" s="18">
        <f t="shared" si="480"/>
        <v>32</v>
      </c>
      <c r="EE45" s="18">
        <f t="shared" si="145"/>
        <v>34</v>
      </c>
      <c r="EF45" s="18">
        <v>3</v>
      </c>
      <c r="EG45" s="301" t="str">
        <f t="shared" si="146"/>
        <v/>
      </c>
      <c r="EH45" s="301"/>
      <c r="EI45" s="302" t="str">
        <f t="shared" si="147"/>
        <v/>
      </c>
      <c r="EJ45" s="349"/>
      <c r="EK45" s="358"/>
      <c r="EL45" s="18">
        <v>13</v>
      </c>
      <c r="EM45" s="19" t="s">
        <v>1160</v>
      </c>
      <c r="EN45" s="18">
        <f t="shared" si="481"/>
        <v>32</v>
      </c>
      <c r="EO45" s="18">
        <f t="shared" si="149"/>
        <v>34</v>
      </c>
      <c r="EP45" s="18">
        <v>3</v>
      </c>
      <c r="EQ45" s="301" t="str">
        <f t="shared" si="150"/>
        <v/>
      </c>
      <c r="ER45" s="301"/>
      <c r="ES45" s="302" t="str">
        <f t="shared" si="151"/>
        <v/>
      </c>
      <c r="ET45" s="349"/>
      <c r="EU45" s="358"/>
      <c r="EV45" s="18">
        <v>13</v>
      </c>
      <c r="EW45" s="19" t="s">
        <v>1160</v>
      </c>
      <c r="EX45" s="18">
        <f t="shared" si="482"/>
        <v>32</v>
      </c>
      <c r="EY45" s="18">
        <f t="shared" si="153"/>
        <v>34</v>
      </c>
      <c r="EZ45" s="18">
        <v>3</v>
      </c>
      <c r="FA45" s="301" t="str">
        <f t="shared" si="154"/>
        <v/>
      </c>
      <c r="FB45" s="301"/>
      <c r="FC45" s="302" t="str">
        <f t="shared" si="155"/>
        <v/>
      </c>
      <c r="FD45" s="349"/>
      <c r="FE45" s="358"/>
      <c r="FF45" s="18">
        <v>13</v>
      </c>
      <c r="FG45" s="19" t="s">
        <v>1160</v>
      </c>
      <c r="FH45" s="18">
        <f t="shared" si="483"/>
        <v>32</v>
      </c>
      <c r="FI45" s="18">
        <f t="shared" si="157"/>
        <v>34</v>
      </c>
      <c r="FJ45" s="18">
        <v>3</v>
      </c>
      <c r="FK45" s="301" t="str">
        <f t="shared" si="158"/>
        <v/>
      </c>
      <c r="FL45" s="301"/>
      <c r="FM45" s="302" t="str">
        <f t="shared" si="159"/>
        <v/>
      </c>
      <c r="FN45" s="349"/>
      <c r="FO45" s="358"/>
      <c r="FP45" s="18">
        <v>13</v>
      </c>
      <c r="FQ45" s="19" t="s">
        <v>1160</v>
      </c>
      <c r="FR45" s="18">
        <f t="shared" si="484"/>
        <v>32</v>
      </c>
      <c r="FS45" s="18">
        <f t="shared" si="161"/>
        <v>34</v>
      </c>
      <c r="FT45" s="18">
        <v>3</v>
      </c>
      <c r="FU45" s="301" t="str">
        <f t="shared" si="162"/>
        <v/>
      </c>
      <c r="FV45" s="301"/>
      <c r="FW45" s="302" t="str">
        <f t="shared" si="163"/>
        <v/>
      </c>
      <c r="FX45" s="349"/>
      <c r="FY45" s="358"/>
      <c r="FZ45" s="18">
        <v>13</v>
      </c>
      <c r="GA45" s="19" t="s">
        <v>1160</v>
      </c>
      <c r="GB45" s="18">
        <f t="shared" si="485"/>
        <v>32</v>
      </c>
      <c r="GC45" s="18">
        <f t="shared" si="165"/>
        <v>34</v>
      </c>
      <c r="GD45" s="18">
        <v>3</v>
      </c>
      <c r="GE45" s="301" t="str">
        <f t="shared" si="166"/>
        <v/>
      </c>
      <c r="GF45" s="301"/>
      <c r="GG45" s="302" t="str">
        <f t="shared" si="167"/>
        <v/>
      </c>
      <c r="GH45" s="349"/>
      <c r="GI45" s="358"/>
      <c r="GJ45" s="18">
        <v>13</v>
      </c>
      <c r="GK45" s="19" t="s">
        <v>1160</v>
      </c>
      <c r="GL45" s="18">
        <f t="shared" si="486"/>
        <v>32</v>
      </c>
      <c r="GM45" s="18">
        <f t="shared" si="169"/>
        <v>34</v>
      </c>
      <c r="GN45" s="18">
        <v>3</v>
      </c>
      <c r="GO45" s="301" t="str">
        <f t="shared" si="170"/>
        <v/>
      </c>
      <c r="GP45" s="301"/>
      <c r="GQ45" s="302" t="str">
        <f t="shared" si="171"/>
        <v/>
      </c>
      <c r="GR45" s="349"/>
      <c r="GS45" s="358"/>
      <c r="GT45" s="18">
        <v>13</v>
      </c>
      <c r="GU45" s="19" t="s">
        <v>1160</v>
      </c>
      <c r="GV45" s="18">
        <f t="shared" si="487"/>
        <v>32</v>
      </c>
      <c r="GW45" s="18">
        <f t="shared" si="173"/>
        <v>34</v>
      </c>
      <c r="GX45" s="18">
        <v>3</v>
      </c>
      <c r="GY45" s="301" t="str">
        <f t="shared" si="174"/>
        <v/>
      </c>
      <c r="GZ45" s="301"/>
      <c r="HA45" s="302" t="str">
        <f t="shared" si="175"/>
        <v/>
      </c>
      <c r="HB45" s="349"/>
      <c r="HC45" s="358"/>
      <c r="HD45" s="18">
        <v>13</v>
      </c>
      <c r="HE45" s="19" t="s">
        <v>1160</v>
      </c>
      <c r="HF45" s="18">
        <f t="shared" si="488"/>
        <v>32</v>
      </c>
      <c r="HG45" s="18">
        <f t="shared" si="177"/>
        <v>34</v>
      </c>
      <c r="HH45" s="18">
        <v>3</v>
      </c>
      <c r="HI45" s="301" t="str">
        <f t="shared" si="178"/>
        <v/>
      </c>
      <c r="HJ45" s="301"/>
      <c r="HK45" s="302" t="str">
        <f t="shared" si="179"/>
        <v/>
      </c>
      <c r="HL45" s="349"/>
      <c r="HM45" s="358"/>
      <c r="HN45" s="18">
        <v>13</v>
      </c>
      <c r="HO45" s="19" t="s">
        <v>1160</v>
      </c>
      <c r="HP45" s="18">
        <f t="shared" si="489"/>
        <v>32</v>
      </c>
      <c r="HQ45" s="18">
        <f t="shared" si="181"/>
        <v>34</v>
      </c>
      <c r="HR45" s="18">
        <v>3</v>
      </c>
      <c r="HS45" s="301" t="str">
        <f t="shared" si="182"/>
        <v/>
      </c>
      <c r="HT45" s="301"/>
      <c r="HU45" s="302" t="str">
        <f t="shared" si="183"/>
        <v/>
      </c>
      <c r="HV45" s="349"/>
      <c r="HW45" s="358"/>
      <c r="HX45" s="18">
        <v>13</v>
      </c>
      <c r="HY45" s="19" t="s">
        <v>1160</v>
      </c>
      <c r="HZ45" s="18">
        <f t="shared" si="490"/>
        <v>32</v>
      </c>
      <c r="IA45" s="18">
        <f t="shared" si="185"/>
        <v>34</v>
      </c>
      <c r="IB45" s="18">
        <v>3</v>
      </c>
      <c r="IC45" s="301" t="str">
        <f t="shared" si="186"/>
        <v/>
      </c>
      <c r="ID45" s="301"/>
      <c r="IE45" s="302" t="str">
        <f t="shared" si="187"/>
        <v/>
      </c>
      <c r="IF45" s="349"/>
      <c r="IG45" s="358"/>
      <c r="IH45" s="18">
        <v>13</v>
      </c>
      <c r="II45" s="19" t="s">
        <v>1160</v>
      </c>
      <c r="IJ45" s="18">
        <f t="shared" si="491"/>
        <v>32</v>
      </c>
      <c r="IK45" s="18">
        <f t="shared" si="189"/>
        <v>34</v>
      </c>
      <c r="IL45" s="18">
        <v>3</v>
      </c>
      <c r="IM45" s="301" t="str">
        <f t="shared" si="190"/>
        <v/>
      </c>
      <c r="IN45" s="301"/>
      <c r="IO45" s="302" t="str">
        <f t="shared" si="191"/>
        <v/>
      </c>
      <c r="IP45" s="349"/>
      <c r="IQ45" s="358"/>
      <c r="IR45" s="18">
        <v>13</v>
      </c>
      <c r="IS45" s="19" t="s">
        <v>1160</v>
      </c>
      <c r="IT45" s="18">
        <f t="shared" si="492"/>
        <v>32</v>
      </c>
      <c r="IU45" s="18">
        <f t="shared" si="193"/>
        <v>34</v>
      </c>
      <c r="IV45" s="18">
        <v>3</v>
      </c>
      <c r="IW45" s="301" t="str">
        <f t="shared" si="194"/>
        <v/>
      </c>
      <c r="IX45" s="301"/>
      <c r="IY45" s="302" t="str">
        <f t="shared" si="195"/>
        <v/>
      </c>
      <c r="IZ45" s="349"/>
      <c r="JA45" s="358"/>
      <c r="JB45" s="18">
        <v>13</v>
      </c>
      <c r="JC45" s="19" t="s">
        <v>1160</v>
      </c>
      <c r="JD45" s="18">
        <f t="shared" si="493"/>
        <v>32</v>
      </c>
      <c r="JE45" s="18">
        <f t="shared" si="197"/>
        <v>34</v>
      </c>
      <c r="JF45" s="18">
        <v>3</v>
      </c>
      <c r="JG45" s="301" t="str">
        <f t="shared" si="198"/>
        <v/>
      </c>
      <c r="JH45" s="301"/>
      <c r="JI45" s="302" t="str">
        <f t="shared" si="199"/>
        <v/>
      </c>
      <c r="JJ45" s="349"/>
      <c r="JK45" s="358"/>
      <c r="JL45" s="18">
        <v>13</v>
      </c>
      <c r="JM45" s="19" t="s">
        <v>1160</v>
      </c>
      <c r="JN45" s="18">
        <f t="shared" si="494"/>
        <v>32</v>
      </c>
      <c r="JO45" s="18">
        <f t="shared" si="201"/>
        <v>34</v>
      </c>
      <c r="JP45" s="18">
        <v>3</v>
      </c>
      <c r="JQ45" s="301" t="str">
        <f t="shared" si="202"/>
        <v/>
      </c>
      <c r="JR45" s="301"/>
      <c r="JS45" s="302" t="str">
        <f t="shared" si="203"/>
        <v/>
      </c>
      <c r="JT45" s="349"/>
      <c r="JU45" s="358"/>
      <c r="JV45" s="18">
        <v>13</v>
      </c>
      <c r="JW45" s="19" t="s">
        <v>1160</v>
      </c>
      <c r="JX45" s="18">
        <f t="shared" si="495"/>
        <v>32</v>
      </c>
      <c r="JY45" s="18">
        <f t="shared" si="205"/>
        <v>34</v>
      </c>
      <c r="JZ45" s="18">
        <v>3</v>
      </c>
      <c r="KA45" s="301" t="str">
        <f t="shared" si="206"/>
        <v/>
      </c>
      <c r="KB45" s="301"/>
      <c r="KC45" s="302" t="str">
        <f t="shared" si="207"/>
        <v/>
      </c>
      <c r="KD45" s="349"/>
      <c r="KE45" s="358"/>
      <c r="KF45" s="18">
        <v>13</v>
      </c>
      <c r="KG45" s="19" t="s">
        <v>1160</v>
      </c>
      <c r="KH45" s="18">
        <f t="shared" si="496"/>
        <v>32</v>
      </c>
      <c r="KI45" s="18">
        <f t="shared" si="209"/>
        <v>34</v>
      </c>
      <c r="KJ45" s="18">
        <v>3</v>
      </c>
      <c r="KK45" s="301" t="str">
        <f t="shared" si="210"/>
        <v/>
      </c>
      <c r="KL45" s="301"/>
      <c r="KM45" s="302" t="str">
        <f t="shared" si="211"/>
        <v/>
      </c>
      <c r="KN45" s="349"/>
      <c r="KO45" s="358"/>
      <c r="KP45" s="18">
        <v>13</v>
      </c>
      <c r="KQ45" s="19" t="s">
        <v>1160</v>
      </c>
      <c r="KR45" s="18">
        <f t="shared" si="497"/>
        <v>32</v>
      </c>
      <c r="KS45" s="18">
        <f t="shared" si="213"/>
        <v>34</v>
      </c>
      <c r="KT45" s="18">
        <v>3</v>
      </c>
      <c r="KU45" s="301" t="str">
        <f t="shared" si="214"/>
        <v/>
      </c>
      <c r="KV45" s="301"/>
      <c r="KW45" s="302" t="str">
        <f t="shared" si="215"/>
        <v/>
      </c>
      <c r="KX45" s="349"/>
      <c r="KY45" s="358"/>
      <c r="KZ45" s="18">
        <v>13</v>
      </c>
      <c r="LA45" s="19" t="s">
        <v>1160</v>
      </c>
      <c r="LB45" s="18">
        <f t="shared" si="498"/>
        <v>32</v>
      </c>
      <c r="LC45" s="18">
        <f t="shared" si="217"/>
        <v>34</v>
      </c>
      <c r="LD45" s="18">
        <v>3</v>
      </c>
      <c r="LE45" s="301" t="str">
        <f t="shared" si="218"/>
        <v/>
      </c>
      <c r="LF45" s="301"/>
      <c r="LG45" s="302" t="str">
        <f t="shared" si="219"/>
        <v/>
      </c>
      <c r="LH45" s="349"/>
      <c r="LI45" s="358"/>
      <c r="LJ45" s="18">
        <v>13</v>
      </c>
      <c r="LK45" s="19" t="s">
        <v>1160</v>
      </c>
      <c r="LL45" s="18">
        <f t="shared" si="499"/>
        <v>32</v>
      </c>
      <c r="LM45" s="18">
        <f t="shared" si="221"/>
        <v>34</v>
      </c>
      <c r="LN45" s="18">
        <v>3</v>
      </c>
      <c r="LO45" s="301" t="str">
        <f t="shared" si="222"/>
        <v/>
      </c>
      <c r="LP45" s="301"/>
      <c r="LQ45" s="302" t="str">
        <f t="shared" si="223"/>
        <v/>
      </c>
      <c r="LR45" s="349"/>
      <c r="LS45" s="358"/>
      <c r="LT45" s="18">
        <v>13</v>
      </c>
      <c r="LU45" s="19" t="s">
        <v>1160</v>
      </c>
      <c r="LV45" s="18">
        <f t="shared" si="500"/>
        <v>32</v>
      </c>
      <c r="LW45" s="18">
        <f t="shared" si="225"/>
        <v>34</v>
      </c>
      <c r="LX45" s="18">
        <v>3</v>
      </c>
      <c r="LY45" s="301" t="str">
        <f t="shared" si="226"/>
        <v/>
      </c>
      <c r="LZ45" s="301"/>
      <c r="MA45" s="302" t="str">
        <f t="shared" si="227"/>
        <v/>
      </c>
      <c r="MB45" s="349"/>
      <c r="MC45" s="358"/>
      <c r="MD45" s="18">
        <v>13</v>
      </c>
      <c r="ME45" s="19" t="s">
        <v>1160</v>
      </c>
      <c r="MF45" s="18">
        <f t="shared" si="501"/>
        <v>32</v>
      </c>
      <c r="MG45" s="18">
        <f t="shared" si="229"/>
        <v>34</v>
      </c>
      <c r="MH45" s="18">
        <v>3</v>
      </c>
      <c r="MI45" s="301" t="str">
        <f t="shared" si="230"/>
        <v/>
      </c>
      <c r="MJ45" s="301"/>
      <c r="MK45" s="302" t="str">
        <f t="shared" si="231"/>
        <v/>
      </c>
      <c r="ML45" s="349"/>
      <c r="MM45" s="358"/>
      <c r="MN45" s="18">
        <v>13</v>
      </c>
      <c r="MO45" s="19" t="s">
        <v>1160</v>
      </c>
      <c r="MP45" s="18">
        <f t="shared" si="502"/>
        <v>32</v>
      </c>
      <c r="MQ45" s="18">
        <f t="shared" si="233"/>
        <v>34</v>
      </c>
      <c r="MR45" s="18">
        <v>3</v>
      </c>
      <c r="MS45" s="301" t="str">
        <f t="shared" si="234"/>
        <v/>
      </c>
      <c r="MT45" s="301"/>
      <c r="MU45" s="302" t="str">
        <f t="shared" si="235"/>
        <v/>
      </c>
      <c r="MV45" s="349"/>
      <c r="MW45" s="358"/>
      <c r="MX45" s="18">
        <v>13</v>
      </c>
      <c r="MY45" s="19" t="s">
        <v>1160</v>
      </c>
      <c r="MZ45" s="18">
        <f t="shared" si="503"/>
        <v>32</v>
      </c>
      <c r="NA45" s="18">
        <f t="shared" si="237"/>
        <v>34</v>
      </c>
      <c r="NB45" s="18">
        <v>3</v>
      </c>
      <c r="NC45" s="301" t="str">
        <f t="shared" si="238"/>
        <v/>
      </c>
      <c r="ND45" s="301"/>
      <c r="NE45" s="302" t="str">
        <f t="shared" si="239"/>
        <v/>
      </c>
      <c r="NF45" s="349"/>
      <c r="NG45" s="358"/>
      <c r="NH45" s="18">
        <v>13</v>
      </c>
      <c r="NI45" s="19" t="s">
        <v>1160</v>
      </c>
      <c r="NJ45" s="18">
        <f t="shared" si="504"/>
        <v>32</v>
      </c>
      <c r="NK45" s="18">
        <f t="shared" si="241"/>
        <v>34</v>
      </c>
      <c r="NL45" s="18">
        <v>3</v>
      </c>
      <c r="NM45" s="301" t="str">
        <f t="shared" si="242"/>
        <v/>
      </c>
      <c r="NN45" s="301"/>
      <c r="NO45" s="302" t="str">
        <f t="shared" si="243"/>
        <v/>
      </c>
      <c r="NP45" s="349"/>
      <c r="NQ45" s="358"/>
      <c r="NR45" s="18">
        <v>13</v>
      </c>
      <c r="NS45" s="19" t="s">
        <v>1160</v>
      </c>
      <c r="NT45" s="18">
        <f t="shared" si="505"/>
        <v>32</v>
      </c>
      <c r="NU45" s="18">
        <f t="shared" si="245"/>
        <v>34</v>
      </c>
      <c r="NV45" s="18">
        <v>3</v>
      </c>
      <c r="NW45" s="301" t="str">
        <f t="shared" si="246"/>
        <v/>
      </c>
      <c r="NX45" s="301"/>
      <c r="NY45" s="302" t="str">
        <f t="shared" si="247"/>
        <v/>
      </c>
      <c r="NZ45" s="349"/>
      <c r="OA45" s="358"/>
      <c r="OB45" s="18">
        <v>13</v>
      </c>
      <c r="OC45" s="19" t="s">
        <v>1160</v>
      </c>
      <c r="OD45" s="18">
        <f t="shared" si="506"/>
        <v>32</v>
      </c>
      <c r="OE45" s="18">
        <f t="shared" si="249"/>
        <v>34</v>
      </c>
      <c r="OF45" s="18">
        <v>3</v>
      </c>
      <c r="OG45" s="301" t="str">
        <f t="shared" si="250"/>
        <v/>
      </c>
      <c r="OH45" s="301"/>
      <c r="OI45" s="302" t="str">
        <f t="shared" si="251"/>
        <v/>
      </c>
      <c r="OJ45" s="349"/>
      <c r="OK45" s="358"/>
      <c r="OL45" s="18">
        <v>13</v>
      </c>
      <c r="OM45" s="19" t="s">
        <v>1160</v>
      </c>
      <c r="ON45" s="18">
        <f t="shared" si="507"/>
        <v>32</v>
      </c>
      <c r="OO45" s="18">
        <f t="shared" si="253"/>
        <v>34</v>
      </c>
      <c r="OP45" s="18">
        <v>3</v>
      </c>
      <c r="OQ45" s="301" t="str">
        <f t="shared" si="254"/>
        <v/>
      </c>
      <c r="OR45" s="301"/>
      <c r="OS45" s="302" t="str">
        <f t="shared" si="255"/>
        <v/>
      </c>
      <c r="OT45" s="349"/>
      <c r="OU45" s="358"/>
      <c r="OV45" s="18">
        <v>13</v>
      </c>
      <c r="OW45" s="19" t="s">
        <v>1160</v>
      </c>
      <c r="OX45" s="18">
        <f t="shared" si="508"/>
        <v>32</v>
      </c>
      <c r="OY45" s="18">
        <f t="shared" si="257"/>
        <v>34</v>
      </c>
      <c r="OZ45" s="18">
        <v>3</v>
      </c>
      <c r="PA45" s="301" t="str">
        <f t="shared" si="258"/>
        <v/>
      </c>
      <c r="PB45" s="301"/>
      <c r="PC45" s="302" t="str">
        <f t="shared" si="259"/>
        <v/>
      </c>
      <c r="PD45" s="349"/>
      <c r="PE45" s="358"/>
      <c r="PF45" s="18">
        <v>13</v>
      </c>
      <c r="PG45" s="19" t="s">
        <v>1160</v>
      </c>
      <c r="PH45" s="18">
        <f t="shared" si="509"/>
        <v>32</v>
      </c>
      <c r="PI45" s="18">
        <f t="shared" si="261"/>
        <v>34</v>
      </c>
      <c r="PJ45" s="18">
        <v>3</v>
      </c>
      <c r="PK45" s="301" t="str">
        <f t="shared" si="262"/>
        <v/>
      </c>
      <c r="PL45" s="301"/>
      <c r="PM45" s="302" t="str">
        <f t="shared" si="263"/>
        <v/>
      </c>
      <c r="PN45" s="349"/>
      <c r="PO45" s="358"/>
      <c r="PP45" s="18">
        <v>13</v>
      </c>
      <c r="PQ45" s="19" t="s">
        <v>1160</v>
      </c>
      <c r="PR45" s="18">
        <f t="shared" si="510"/>
        <v>32</v>
      </c>
      <c r="PS45" s="18">
        <f t="shared" si="265"/>
        <v>34</v>
      </c>
      <c r="PT45" s="18">
        <v>3</v>
      </c>
      <c r="PU45" s="301" t="str">
        <f t="shared" si="266"/>
        <v/>
      </c>
      <c r="PV45" s="301"/>
      <c r="PW45" s="302" t="str">
        <f t="shared" si="267"/>
        <v/>
      </c>
      <c r="PX45" s="349"/>
      <c r="PY45" s="358"/>
      <c r="PZ45" s="18">
        <v>13</v>
      </c>
      <c r="QA45" s="19" t="s">
        <v>1160</v>
      </c>
      <c r="QB45" s="18">
        <f t="shared" si="511"/>
        <v>32</v>
      </c>
      <c r="QC45" s="18">
        <f t="shared" si="269"/>
        <v>34</v>
      </c>
      <c r="QD45" s="18">
        <v>3</v>
      </c>
      <c r="QE45" s="301" t="str">
        <f t="shared" si="270"/>
        <v/>
      </c>
      <c r="QF45" s="301"/>
      <c r="QG45" s="302" t="str">
        <f t="shared" si="271"/>
        <v/>
      </c>
      <c r="QH45" s="349"/>
      <c r="QI45" s="358"/>
      <c r="QJ45" s="18">
        <v>13</v>
      </c>
      <c r="QK45" s="19" t="s">
        <v>1160</v>
      </c>
      <c r="QL45" s="18">
        <f t="shared" si="512"/>
        <v>32</v>
      </c>
      <c r="QM45" s="18">
        <f t="shared" si="273"/>
        <v>34</v>
      </c>
      <c r="QN45" s="18">
        <v>3</v>
      </c>
      <c r="QO45" s="301" t="str">
        <f t="shared" si="274"/>
        <v/>
      </c>
      <c r="QP45" s="301"/>
      <c r="QQ45" s="302" t="str">
        <f t="shared" si="275"/>
        <v/>
      </c>
      <c r="QR45" s="349"/>
      <c r="QS45" s="358"/>
      <c r="QT45" s="18">
        <v>13</v>
      </c>
      <c r="QU45" s="19" t="s">
        <v>1160</v>
      </c>
      <c r="QV45" s="18">
        <f t="shared" si="513"/>
        <v>32</v>
      </c>
      <c r="QW45" s="18">
        <f t="shared" si="277"/>
        <v>34</v>
      </c>
      <c r="QX45" s="18">
        <v>3</v>
      </c>
      <c r="QY45" s="301" t="str">
        <f t="shared" si="278"/>
        <v/>
      </c>
      <c r="QZ45" s="301"/>
      <c r="RA45" s="302" t="str">
        <f t="shared" si="279"/>
        <v/>
      </c>
      <c r="RB45" s="349"/>
      <c r="RC45" s="358"/>
      <c r="RD45" s="18">
        <v>13</v>
      </c>
      <c r="RE45" s="19" t="s">
        <v>1160</v>
      </c>
      <c r="RF45" s="18">
        <f t="shared" si="514"/>
        <v>32</v>
      </c>
      <c r="RG45" s="18">
        <f t="shared" si="281"/>
        <v>34</v>
      </c>
      <c r="RH45" s="18">
        <v>3</v>
      </c>
      <c r="RI45" s="301" t="str">
        <f t="shared" si="282"/>
        <v/>
      </c>
      <c r="RJ45" s="301"/>
      <c r="RK45" s="302" t="str">
        <f t="shared" si="283"/>
        <v/>
      </c>
      <c r="RL45" s="349"/>
      <c r="RM45" s="358"/>
      <c r="RN45" s="18">
        <v>13</v>
      </c>
      <c r="RO45" s="19" t="s">
        <v>1160</v>
      </c>
      <c r="RP45" s="18">
        <f t="shared" si="515"/>
        <v>32</v>
      </c>
      <c r="RQ45" s="18">
        <f t="shared" si="285"/>
        <v>34</v>
      </c>
      <c r="RR45" s="18">
        <v>3</v>
      </c>
      <c r="RS45" s="301" t="str">
        <f t="shared" si="286"/>
        <v/>
      </c>
      <c r="RT45" s="301"/>
      <c r="RU45" s="302" t="str">
        <f t="shared" si="287"/>
        <v/>
      </c>
      <c r="RV45" s="349"/>
      <c r="RW45" s="358"/>
      <c r="RX45" s="18">
        <v>13</v>
      </c>
      <c r="RY45" s="19" t="s">
        <v>1160</v>
      </c>
      <c r="RZ45" s="18">
        <f t="shared" si="516"/>
        <v>32</v>
      </c>
      <c r="SA45" s="18">
        <f t="shared" si="289"/>
        <v>34</v>
      </c>
      <c r="SB45" s="18">
        <v>3</v>
      </c>
      <c r="SC45" s="301" t="str">
        <f t="shared" si="290"/>
        <v/>
      </c>
      <c r="SD45" s="301"/>
      <c r="SE45" s="302" t="str">
        <f t="shared" si="291"/>
        <v/>
      </c>
      <c r="SF45" s="349"/>
      <c r="SG45" s="358"/>
      <c r="SH45" s="18">
        <v>13</v>
      </c>
      <c r="SI45" s="19" t="s">
        <v>1160</v>
      </c>
      <c r="SJ45" s="18">
        <f t="shared" si="517"/>
        <v>32</v>
      </c>
      <c r="SK45" s="18">
        <f t="shared" si="293"/>
        <v>34</v>
      </c>
      <c r="SL45" s="18">
        <v>3</v>
      </c>
      <c r="SM45" s="301" t="str">
        <f t="shared" si="294"/>
        <v/>
      </c>
      <c r="SN45" s="301"/>
      <c r="SO45" s="302" t="str">
        <f t="shared" si="295"/>
        <v/>
      </c>
      <c r="SP45" s="349"/>
      <c r="SQ45" s="358"/>
      <c r="SR45" s="18">
        <v>13</v>
      </c>
      <c r="SS45" s="19" t="s">
        <v>1160</v>
      </c>
      <c r="ST45" s="18">
        <f t="shared" si="518"/>
        <v>32</v>
      </c>
      <c r="SU45" s="18">
        <f t="shared" si="297"/>
        <v>34</v>
      </c>
      <c r="SV45" s="18">
        <v>3</v>
      </c>
      <c r="SW45" s="301" t="str">
        <f t="shared" si="298"/>
        <v/>
      </c>
      <c r="SX45" s="301"/>
      <c r="SY45" s="302" t="str">
        <f t="shared" si="299"/>
        <v/>
      </c>
      <c r="SZ45" s="349"/>
      <c r="TA45" s="358"/>
      <c r="TB45" s="18">
        <v>13</v>
      </c>
      <c r="TC45" s="19" t="s">
        <v>1160</v>
      </c>
      <c r="TD45" s="18">
        <f t="shared" si="519"/>
        <v>32</v>
      </c>
      <c r="TE45" s="18">
        <f t="shared" si="301"/>
        <v>34</v>
      </c>
      <c r="TF45" s="18">
        <v>3</v>
      </c>
      <c r="TG45" s="301" t="str">
        <f t="shared" si="302"/>
        <v/>
      </c>
      <c r="TH45" s="301"/>
      <c r="TI45" s="302" t="str">
        <f t="shared" si="303"/>
        <v/>
      </c>
      <c r="TJ45" s="349"/>
      <c r="TK45" s="358"/>
      <c r="TL45" s="18">
        <v>13</v>
      </c>
      <c r="TM45" s="19" t="s">
        <v>1160</v>
      </c>
      <c r="TN45" s="18">
        <f t="shared" si="520"/>
        <v>32</v>
      </c>
      <c r="TO45" s="18">
        <f t="shared" si="305"/>
        <v>34</v>
      </c>
      <c r="TP45" s="18">
        <v>3</v>
      </c>
      <c r="TQ45" s="301" t="str">
        <f t="shared" si="306"/>
        <v/>
      </c>
      <c r="TR45" s="301"/>
      <c r="TS45" s="302" t="str">
        <f t="shared" si="307"/>
        <v/>
      </c>
      <c r="TT45" s="349"/>
      <c r="TU45" s="358"/>
      <c r="TV45" s="18">
        <v>13</v>
      </c>
      <c r="TW45" s="19" t="s">
        <v>1160</v>
      </c>
      <c r="TX45" s="18">
        <f t="shared" si="521"/>
        <v>32</v>
      </c>
      <c r="TY45" s="18">
        <f t="shared" si="309"/>
        <v>34</v>
      </c>
      <c r="TZ45" s="18">
        <v>3</v>
      </c>
      <c r="UA45" s="301" t="str">
        <f t="shared" si="310"/>
        <v/>
      </c>
      <c r="UB45" s="301"/>
      <c r="UC45" s="302" t="str">
        <f t="shared" si="311"/>
        <v/>
      </c>
      <c r="UD45" s="349"/>
      <c r="UE45" s="358"/>
      <c r="UF45" s="18">
        <v>13</v>
      </c>
      <c r="UG45" s="19" t="s">
        <v>1160</v>
      </c>
      <c r="UH45" s="18">
        <f t="shared" si="522"/>
        <v>32</v>
      </c>
      <c r="UI45" s="18">
        <f t="shared" si="313"/>
        <v>34</v>
      </c>
      <c r="UJ45" s="18">
        <v>3</v>
      </c>
      <c r="UK45" s="301" t="str">
        <f t="shared" si="314"/>
        <v/>
      </c>
      <c r="UL45" s="301"/>
      <c r="UM45" s="302" t="str">
        <f t="shared" si="315"/>
        <v/>
      </c>
      <c r="UN45" s="349"/>
      <c r="UO45" s="358"/>
      <c r="UP45" s="18">
        <v>13</v>
      </c>
      <c r="UQ45" s="19" t="s">
        <v>1160</v>
      </c>
      <c r="UR45" s="18">
        <f t="shared" si="523"/>
        <v>32</v>
      </c>
      <c r="US45" s="18">
        <f t="shared" si="317"/>
        <v>34</v>
      </c>
      <c r="UT45" s="18">
        <v>3</v>
      </c>
      <c r="UU45" s="301" t="str">
        <f t="shared" si="318"/>
        <v/>
      </c>
      <c r="UV45" s="301"/>
      <c r="UW45" s="302" t="str">
        <f t="shared" si="319"/>
        <v/>
      </c>
      <c r="UX45" s="349"/>
      <c r="UY45" s="358"/>
      <c r="UZ45" s="18">
        <v>13</v>
      </c>
      <c r="VA45" s="19" t="s">
        <v>1160</v>
      </c>
      <c r="VB45" s="18">
        <f t="shared" si="524"/>
        <v>32</v>
      </c>
      <c r="VC45" s="18">
        <f t="shared" si="321"/>
        <v>34</v>
      </c>
      <c r="VD45" s="18">
        <v>3</v>
      </c>
      <c r="VE45" s="301" t="str">
        <f t="shared" si="322"/>
        <v/>
      </c>
      <c r="VF45" s="301"/>
      <c r="VG45" s="302" t="str">
        <f t="shared" si="323"/>
        <v/>
      </c>
      <c r="VH45" s="349"/>
      <c r="VI45" s="358"/>
      <c r="VJ45" s="18">
        <v>13</v>
      </c>
      <c r="VK45" s="19" t="s">
        <v>1160</v>
      </c>
      <c r="VL45" s="18">
        <f t="shared" si="525"/>
        <v>32</v>
      </c>
      <c r="VM45" s="18">
        <f t="shared" si="325"/>
        <v>34</v>
      </c>
      <c r="VN45" s="18">
        <v>3</v>
      </c>
      <c r="VO45" s="301" t="str">
        <f t="shared" si="326"/>
        <v/>
      </c>
      <c r="VP45" s="301"/>
      <c r="VQ45" s="302" t="str">
        <f t="shared" si="327"/>
        <v/>
      </c>
      <c r="VR45" s="349"/>
      <c r="VS45" s="358"/>
      <c r="VT45" s="18">
        <v>13</v>
      </c>
      <c r="VU45" s="19" t="s">
        <v>1160</v>
      </c>
      <c r="VV45" s="18">
        <f t="shared" si="526"/>
        <v>32</v>
      </c>
      <c r="VW45" s="18">
        <f t="shared" si="329"/>
        <v>34</v>
      </c>
      <c r="VX45" s="18">
        <v>3</v>
      </c>
      <c r="VY45" s="301" t="str">
        <f t="shared" si="330"/>
        <v/>
      </c>
      <c r="VZ45" s="301"/>
      <c r="WA45" s="302" t="str">
        <f t="shared" si="331"/>
        <v/>
      </c>
      <c r="WB45" s="349"/>
      <c r="WC45" s="358"/>
      <c r="WD45" s="18">
        <v>13</v>
      </c>
      <c r="WE45" s="19" t="s">
        <v>1160</v>
      </c>
      <c r="WF45" s="18">
        <f t="shared" si="527"/>
        <v>32</v>
      </c>
      <c r="WG45" s="18">
        <f t="shared" si="333"/>
        <v>34</v>
      </c>
      <c r="WH45" s="18">
        <v>3</v>
      </c>
      <c r="WI45" s="301" t="str">
        <f t="shared" si="334"/>
        <v/>
      </c>
      <c r="WJ45" s="301"/>
      <c r="WK45" s="302" t="str">
        <f t="shared" si="335"/>
        <v/>
      </c>
      <c r="WL45" s="349"/>
      <c r="WM45" s="358"/>
      <c r="WN45" s="18">
        <v>13</v>
      </c>
      <c r="WO45" s="19" t="s">
        <v>1160</v>
      </c>
      <c r="WP45" s="18">
        <f t="shared" si="528"/>
        <v>32</v>
      </c>
      <c r="WQ45" s="18">
        <f t="shared" si="337"/>
        <v>34</v>
      </c>
      <c r="WR45" s="18">
        <v>3</v>
      </c>
      <c r="WS45" s="301" t="str">
        <f t="shared" si="338"/>
        <v/>
      </c>
      <c r="WT45" s="301"/>
      <c r="WU45" s="302" t="str">
        <f t="shared" si="339"/>
        <v/>
      </c>
      <c r="WV45" s="349"/>
      <c r="WW45" s="358"/>
      <c r="WX45" s="18">
        <v>13</v>
      </c>
      <c r="WY45" s="19" t="s">
        <v>1160</v>
      </c>
      <c r="WZ45" s="18">
        <f t="shared" si="529"/>
        <v>32</v>
      </c>
      <c r="XA45" s="18">
        <f t="shared" si="341"/>
        <v>34</v>
      </c>
      <c r="XB45" s="18">
        <v>3</v>
      </c>
      <c r="XC45" s="301" t="str">
        <f t="shared" si="342"/>
        <v/>
      </c>
      <c r="XD45" s="301"/>
      <c r="XE45" s="302" t="str">
        <f t="shared" si="343"/>
        <v/>
      </c>
      <c r="XF45" s="349"/>
      <c r="XG45" s="358"/>
      <c r="XH45" s="18">
        <v>13</v>
      </c>
      <c r="XI45" s="19" t="s">
        <v>1160</v>
      </c>
      <c r="XJ45" s="18">
        <f t="shared" si="530"/>
        <v>32</v>
      </c>
      <c r="XK45" s="18">
        <f t="shared" si="345"/>
        <v>34</v>
      </c>
      <c r="XL45" s="18">
        <v>3</v>
      </c>
      <c r="XM45" s="301" t="str">
        <f t="shared" si="346"/>
        <v/>
      </c>
      <c r="XN45" s="301"/>
      <c r="XO45" s="302" t="str">
        <f t="shared" si="347"/>
        <v/>
      </c>
      <c r="XP45" s="349"/>
      <c r="XQ45" s="358"/>
      <c r="XR45" s="18">
        <v>13</v>
      </c>
      <c r="XS45" s="19" t="s">
        <v>1160</v>
      </c>
      <c r="XT45" s="18">
        <f t="shared" si="531"/>
        <v>32</v>
      </c>
      <c r="XU45" s="18">
        <f t="shared" si="349"/>
        <v>34</v>
      </c>
      <c r="XV45" s="18">
        <v>3</v>
      </c>
      <c r="XW45" s="301" t="str">
        <f t="shared" si="350"/>
        <v/>
      </c>
      <c r="XX45" s="301"/>
      <c r="XY45" s="302" t="str">
        <f t="shared" si="351"/>
        <v/>
      </c>
      <c r="XZ45" s="349"/>
      <c r="YA45" s="358"/>
      <c r="YB45" s="18">
        <v>13</v>
      </c>
      <c r="YC45" s="19" t="s">
        <v>1160</v>
      </c>
      <c r="YD45" s="18">
        <f t="shared" si="532"/>
        <v>32</v>
      </c>
      <c r="YE45" s="18">
        <f t="shared" si="353"/>
        <v>34</v>
      </c>
      <c r="YF45" s="18">
        <v>3</v>
      </c>
      <c r="YG45" s="301" t="str">
        <f t="shared" si="354"/>
        <v/>
      </c>
      <c r="YH45" s="301"/>
      <c r="YI45" s="302" t="str">
        <f t="shared" si="355"/>
        <v/>
      </c>
      <c r="YJ45" s="349"/>
      <c r="YK45" s="358"/>
      <c r="YL45" s="18">
        <v>13</v>
      </c>
      <c r="YM45" s="19" t="s">
        <v>1160</v>
      </c>
      <c r="YN45" s="18">
        <f t="shared" si="533"/>
        <v>32</v>
      </c>
      <c r="YO45" s="18">
        <f t="shared" si="357"/>
        <v>34</v>
      </c>
      <c r="YP45" s="18">
        <v>3</v>
      </c>
      <c r="YQ45" s="301" t="str">
        <f t="shared" si="358"/>
        <v/>
      </c>
      <c r="YR45" s="301"/>
      <c r="YS45" s="302" t="str">
        <f t="shared" si="359"/>
        <v/>
      </c>
      <c r="YT45" s="349"/>
      <c r="YU45" s="358"/>
      <c r="YV45" s="18">
        <v>13</v>
      </c>
      <c r="YW45" s="19" t="s">
        <v>1160</v>
      </c>
      <c r="YX45" s="18">
        <f t="shared" si="534"/>
        <v>32</v>
      </c>
      <c r="YY45" s="18">
        <f t="shared" si="361"/>
        <v>34</v>
      </c>
      <c r="YZ45" s="18">
        <v>3</v>
      </c>
      <c r="ZA45" s="301" t="str">
        <f t="shared" si="362"/>
        <v/>
      </c>
      <c r="ZB45" s="301"/>
      <c r="ZC45" s="302" t="str">
        <f t="shared" si="363"/>
        <v/>
      </c>
      <c r="ZD45" s="349"/>
      <c r="ZE45" s="358"/>
      <c r="ZF45" s="18">
        <v>13</v>
      </c>
      <c r="ZG45" s="19" t="s">
        <v>1160</v>
      </c>
      <c r="ZH45" s="18">
        <f t="shared" si="535"/>
        <v>32</v>
      </c>
      <c r="ZI45" s="18">
        <f t="shared" si="365"/>
        <v>34</v>
      </c>
      <c r="ZJ45" s="18">
        <v>3</v>
      </c>
      <c r="ZK45" s="301" t="str">
        <f t="shared" si="366"/>
        <v/>
      </c>
      <c r="ZL45" s="301"/>
      <c r="ZM45" s="302" t="str">
        <f t="shared" si="367"/>
        <v/>
      </c>
      <c r="ZN45" s="349"/>
      <c r="ZO45" s="358"/>
      <c r="ZP45" s="18">
        <v>13</v>
      </c>
      <c r="ZQ45" s="19" t="s">
        <v>1160</v>
      </c>
      <c r="ZR45" s="18">
        <f t="shared" si="536"/>
        <v>32</v>
      </c>
      <c r="ZS45" s="18">
        <f t="shared" si="369"/>
        <v>34</v>
      </c>
      <c r="ZT45" s="18">
        <v>3</v>
      </c>
      <c r="ZU45" s="301" t="str">
        <f t="shared" si="370"/>
        <v/>
      </c>
      <c r="ZV45" s="301"/>
      <c r="ZW45" s="302" t="str">
        <f t="shared" si="371"/>
        <v/>
      </c>
      <c r="ZX45" s="349"/>
      <c r="ZY45" s="358"/>
      <c r="ZZ45" s="18">
        <v>13</v>
      </c>
      <c r="AAA45" s="19" t="s">
        <v>1160</v>
      </c>
      <c r="AAB45" s="18">
        <f t="shared" si="537"/>
        <v>32</v>
      </c>
      <c r="AAC45" s="18">
        <f t="shared" si="373"/>
        <v>34</v>
      </c>
      <c r="AAD45" s="18">
        <v>3</v>
      </c>
      <c r="AAE45" s="301" t="str">
        <f t="shared" si="374"/>
        <v/>
      </c>
      <c r="AAF45" s="301"/>
      <c r="AAG45" s="302" t="str">
        <f t="shared" si="375"/>
        <v/>
      </c>
      <c r="AAH45" s="349"/>
      <c r="AAI45" s="358"/>
      <c r="AAJ45" s="18">
        <v>13</v>
      </c>
      <c r="AAK45" s="19" t="s">
        <v>1160</v>
      </c>
      <c r="AAL45" s="18">
        <f t="shared" si="538"/>
        <v>32</v>
      </c>
      <c r="AAM45" s="18">
        <f t="shared" si="377"/>
        <v>34</v>
      </c>
      <c r="AAN45" s="18">
        <v>3</v>
      </c>
      <c r="AAO45" s="301" t="str">
        <f t="shared" si="378"/>
        <v/>
      </c>
      <c r="AAP45" s="301"/>
      <c r="AAQ45" s="302" t="str">
        <f t="shared" si="379"/>
        <v/>
      </c>
      <c r="AAR45" s="349"/>
      <c r="AAS45" s="358"/>
      <c r="AAT45" s="18">
        <v>13</v>
      </c>
      <c r="AAU45" s="19" t="s">
        <v>1160</v>
      </c>
      <c r="AAV45" s="18">
        <f t="shared" si="539"/>
        <v>32</v>
      </c>
      <c r="AAW45" s="18">
        <f t="shared" si="381"/>
        <v>34</v>
      </c>
      <c r="AAX45" s="18">
        <v>3</v>
      </c>
      <c r="AAY45" s="301" t="str">
        <f t="shared" si="382"/>
        <v/>
      </c>
      <c r="AAZ45" s="301"/>
      <c r="ABA45" s="302" t="str">
        <f t="shared" si="383"/>
        <v/>
      </c>
      <c r="ABB45" s="349"/>
      <c r="ABC45" s="358"/>
      <c r="ABD45" s="18">
        <v>13</v>
      </c>
      <c r="ABE45" s="19" t="s">
        <v>1160</v>
      </c>
      <c r="ABF45" s="18">
        <f t="shared" si="540"/>
        <v>32</v>
      </c>
      <c r="ABG45" s="18">
        <f t="shared" si="385"/>
        <v>34</v>
      </c>
      <c r="ABH45" s="18">
        <v>3</v>
      </c>
      <c r="ABI45" s="301" t="str">
        <f t="shared" si="386"/>
        <v/>
      </c>
      <c r="ABJ45" s="301"/>
      <c r="ABK45" s="302" t="str">
        <f t="shared" si="387"/>
        <v/>
      </c>
      <c r="ABL45" s="349"/>
      <c r="ABM45" s="358"/>
      <c r="ABN45" s="18">
        <v>13</v>
      </c>
      <c r="ABO45" s="19" t="s">
        <v>1160</v>
      </c>
      <c r="ABP45" s="18">
        <f t="shared" si="541"/>
        <v>32</v>
      </c>
      <c r="ABQ45" s="18">
        <f t="shared" si="389"/>
        <v>34</v>
      </c>
      <c r="ABR45" s="18">
        <v>3</v>
      </c>
      <c r="ABS45" s="301" t="str">
        <f t="shared" si="390"/>
        <v/>
      </c>
      <c r="ABT45" s="301"/>
      <c r="ABU45" s="302" t="str">
        <f t="shared" si="391"/>
        <v/>
      </c>
      <c r="ABV45" s="349"/>
      <c r="ABW45" s="358"/>
      <c r="ABX45" s="18">
        <v>13</v>
      </c>
      <c r="ABY45" s="19" t="s">
        <v>1160</v>
      </c>
      <c r="ABZ45" s="18">
        <f t="shared" si="542"/>
        <v>32</v>
      </c>
      <c r="ACA45" s="18">
        <f t="shared" si="393"/>
        <v>34</v>
      </c>
      <c r="ACB45" s="18">
        <v>3</v>
      </c>
      <c r="ACC45" s="301" t="str">
        <f t="shared" si="394"/>
        <v/>
      </c>
      <c r="ACD45" s="301"/>
      <c r="ACE45" s="302" t="str">
        <f t="shared" si="395"/>
        <v/>
      </c>
      <c r="ACF45" s="349"/>
      <c r="ACG45" s="358"/>
      <c r="ACH45" s="18">
        <v>13</v>
      </c>
      <c r="ACI45" s="19" t="s">
        <v>1160</v>
      </c>
      <c r="ACJ45" s="18">
        <f t="shared" si="543"/>
        <v>32</v>
      </c>
      <c r="ACK45" s="18">
        <f t="shared" si="397"/>
        <v>34</v>
      </c>
      <c r="ACL45" s="18">
        <v>3</v>
      </c>
      <c r="ACM45" s="301" t="str">
        <f t="shared" si="398"/>
        <v/>
      </c>
      <c r="ACN45" s="301"/>
      <c r="ACO45" s="302" t="str">
        <f t="shared" si="399"/>
        <v/>
      </c>
      <c r="ACP45" s="349"/>
      <c r="ACQ45" s="358"/>
      <c r="ACR45" s="18">
        <v>13</v>
      </c>
      <c r="ACS45" s="19" t="s">
        <v>1160</v>
      </c>
      <c r="ACT45" s="18">
        <f t="shared" si="544"/>
        <v>32</v>
      </c>
      <c r="ACU45" s="18">
        <f t="shared" si="401"/>
        <v>34</v>
      </c>
      <c r="ACV45" s="18">
        <v>3</v>
      </c>
      <c r="ACW45" s="301" t="str">
        <f t="shared" si="402"/>
        <v/>
      </c>
      <c r="ACX45" s="301"/>
      <c r="ACY45" s="302" t="str">
        <f t="shared" si="403"/>
        <v/>
      </c>
      <c r="ACZ45" s="349"/>
      <c r="ADA45" s="358"/>
      <c r="ADB45" s="18">
        <v>13</v>
      </c>
      <c r="ADC45" s="19" t="s">
        <v>1160</v>
      </c>
      <c r="ADD45" s="18">
        <f t="shared" si="545"/>
        <v>32</v>
      </c>
      <c r="ADE45" s="18">
        <f t="shared" si="405"/>
        <v>34</v>
      </c>
      <c r="ADF45" s="18">
        <v>3</v>
      </c>
      <c r="ADG45" s="301" t="str">
        <f t="shared" si="406"/>
        <v/>
      </c>
      <c r="ADH45" s="301"/>
      <c r="ADI45" s="302" t="str">
        <f t="shared" si="407"/>
        <v/>
      </c>
      <c r="ADJ45" s="349"/>
      <c r="ADK45" s="358"/>
      <c r="ADL45" s="18">
        <v>13</v>
      </c>
      <c r="ADM45" s="19" t="s">
        <v>1160</v>
      </c>
      <c r="ADN45" s="18">
        <f t="shared" si="546"/>
        <v>32</v>
      </c>
      <c r="ADO45" s="18">
        <f t="shared" si="409"/>
        <v>34</v>
      </c>
      <c r="ADP45" s="18">
        <v>3</v>
      </c>
      <c r="ADQ45" s="301" t="str">
        <f t="shared" si="410"/>
        <v/>
      </c>
      <c r="ADR45" s="301"/>
      <c r="ADS45" s="302" t="str">
        <f t="shared" si="411"/>
        <v/>
      </c>
      <c r="ADT45" s="349"/>
      <c r="ADU45" s="358"/>
      <c r="ADV45" s="18">
        <v>13</v>
      </c>
      <c r="ADW45" s="19" t="s">
        <v>1160</v>
      </c>
      <c r="ADX45" s="18">
        <f t="shared" si="547"/>
        <v>32</v>
      </c>
      <c r="ADY45" s="18">
        <f t="shared" si="413"/>
        <v>34</v>
      </c>
      <c r="ADZ45" s="18">
        <v>3</v>
      </c>
      <c r="AEA45" s="301" t="str">
        <f t="shared" si="414"/>
        <v/>
      </c>
      <c r="AEB45" s="301"/>
      <c r="AEC45" s="302" t="str">
        <f t="shared" si="415"/>
        <v/>
      </c>
      <c r="AED45" s="349"/>
      <c r="AEE45" s="358"/>
      <c r="AEF45" s="18">
        <v>13</v>
      </c>
      <c r="AEG45" s="19" t="s">
        <v>1160</v>
      </c>
      <c r="AEH45" s="18">
        <f t="shared" si="548"/>
        <v>32</v>
      </c>
      <c r="AEI45" s="18">
        <f t="shared" si="417"/>
        <v>34</v>
      </c>
      <c r="AEJ45" s="18">
        <v>3</v>
      </c>
      <c r="AEK45" s="301" t="str">
        <f t="shared" si="418"/>
        <v/>
      </c>
      <c r="AEL45" s="301"/>
      <c r="AEM45" s="302" t="str">
        <f t="shared" si="419"/>
        <v/>
      </c>
      <c r="AEN45" s="349"/>
      <c r="AEO45" s="358"/>
      <c r="AEP45" s="18">
        <v>13</v>
      </c>
      <c r="AEQ45" s="19" t="s">
        <v>1160</v>
      </c>
      <c r="AER45" s="18">
        <f t="shared" si="549"/>
        <v>32</v>
      </c>
      <c r="AES45" s="18">
        <f t="shared" si="421"/>
        <v>34</v>
      </c>
      <c r="AET45" s="18">
        <v>3</v>
      </c>
      <c r="AEU45" s="301" t="str">
        <f t="shared" si="422"/>
        <v/>
      </c>
      <c r="AEV45" s="301"/>
      <c r="AEW45" s="302" t="str">
        <f t="shared" si="423"/>
        <v/>
      </c>
      <c r="AEX45" s="349"/>
      <c r="AEY45" s="358"/>
      <c r="AEZ45" s="18">
        <v>13</v>
      </c>
      <c r="AFA45" s="19" t="s">
        <v>1160</v>
      </c>
      <c r="AFB45" s="18">
        <f t="shared" si="550"/>
        <v>32</v>
      </c>
      <c r="AFC45" s="18">
        <f t="shared" si="425"/>
        <v>34</v>
      </c>
      <c r="AFD45" s="18">
        <v>3</v>
      </c>
      <c r="AFE45" s="301" t="str">
        <f t="shared" si="426"/>
        <v/>
      </c>
      <c r="AFF45" s="301"/>
      <c r="AFG45" s="302" t="str">
        <f t="shared" si="427"/>
        <v/>
      </c>
      <c r="AFH45" s="349"/>
      <c r="AFI45" s="358"/>
      <c r="AFJ45" s="18">
        <v>13</v>
      </c>
      <c r="AFK45" s="19" t="s">
        <v>1160</v>
      </c>
      <c r="AFL45" s="18">
        <f t="shared" si="551"/>
        <v>32</v>
      </c>
      <c r="AFM45" s="18">
        <f t="shared" si="429"/>
        <v>34</v>
      </c>
      <c r="AFN45" s="18">
        <v>3</v>
      </c>
      <c r="AFO45" s="301" t="str">
        <f t="shared" si="430"/>
        <v/>
      </c>
      <c r="AFP45" s="301"/>
      <c r="AFQ45" s="302" t="str">
        <f t="shared" si="431"/>
        <v/>
      </c>
      <c r="AFR45" s="349"/>
      <c r="AFS45" s="358"/>
      <c r="AFT45" s="18">
        <v>13</v>
      </c>
      <c r="AFU45" s="19" t="s">
        <v>1160</v>
      </c>
      <c r="AFV45" s="18">
        <f t="shared" si="552"/>
        <v>32</v>
      </c>
      <c r="AFW45" s="18">
        <f t="shared" si="433"/>
        <v>34</v>
      </c>
      <c r="AFX45" s="18">
        <v>3</v>
      </c>
      <c r="AFY45" s="301" t="str">
        <f t="shared" si="434"/>
        <v/>
      </c>
      <c r="AFZ45" s="301"/>
      <c r="AGA45" s="302" t="str">
        <f t="shared" si="435"/>
        <v/>
      </c>
      <c r="AGB45" s="349"/>
      <c r="AGC45" s="358"/>
      <c r="AGD45" s="18">
        <v>13</v>
      </c>
      <c r="AGE45" s="19" t="s">
        <v>1160</v>
      </c>
      <c r="AGF45" s="18">
        <f t="shared" si="553"/>
        <v>32</v>
      </c>
      <c r="AGG45" s="18">
        <f t="shared" si="437"/>
        <v>34</v>
      </c>
      <c r="AGH45" s="18">
        <v>3</v>
      </c>
      <c r="AGI45" s="301" t="str">
        <f t="shared" si="438"/>
        <v/>
      </c>
      <c r="AGJ45" s="301"/>
      <c r="AGK45" s="302" t="str">
        <f t="shared" si="439"/>
        <v/>
      </c>
      <c r="AGL45" s="349"/>
      <c r="AGM45" s="358"/>
      <c r="AGN45" s="18">
        <v>13</v>
      </c>
      <c r="AGO45" s="19" t="s">
        <v>1160</v>
      </c>
      <c r="AGP45" s="18">
        <f t="shared" si="554"/>
        <v>32</v>
      </c>
      <c r="AGQ45" s="18">
        <f t="shared" si="441"/>
        <v>34</v>
      </c>
      <c r="AGR45" s="18">
        <v>3</v>
      </c>
      <c r="AGS45" s="301" t="str">
        <f t="shared" si="442"/>
        <v/>
      </c>
      <c r="AGT45" s="301"/>
      <c r="AGU45" s="302" t="str">
        <f t="shared" si="443"/>
        <v/>
      </c>
      <c r="AGV45" s="349"/>
      <c r="AGW45" s="358"/>
      <c r="AGX45" s="18">
        <v>13</v>
      </c>
      <c r="AGY45" s="19" t="s">
        <v>1160</v>
      </c>
      <c r="AGZ45" s="18">
        <f t="shared" si="555"/>
        <v>32</v>
      </c>
      <c r="AHA45" s="18">
        <f t="shared" si="445"/>
        <v>34</v>
      </c>
      <c r="AHB45" s="18">
        <v>3</v>
      </c>
      <c r="AHC45" s="301" t="str">
        <f t="shared" si="446"/>
        <v/>
      </c>
      <c r="AHD45" s="301"/>
      <c r="AHE45" s="302" t="str">
        <f t="shared" si="447"/>
        <v/>
      </c>
      <c r="AHF45" s="349"/>
      <c r="AHG45" s="358"/>
      <c r="AHH45" s="18">
        <v>13</v>
      </c>
      <c r="AHI45" s="19" t="s">
        <v>1160</v>
      </c>
      <c r="AHJ45" s="18">
        <f t="shared" si="556"/>
        <v>32</v>
      </c>
      <c r="AHK45" s="18">
        <f t="shared" si="449"/>
        <v>34</v>
      </c>
      <c r="AHL45" s="18">
        <v>3</v>
      </c>
      <c r="AHM45" s="301" t="str">
        <f t="shared" si="450"/>
        <v/>
      </c>
      <c r="AHN45" s="301"/>
      <c r="AHO45" s="302" t="str">
        <f t="shared" si="451"/>
        <v/>
      </c>
      <c r="AHP45" s="349"/>
      <c r="AHQ45" s="358"/>
      <c r="AHR45" s="18">
        <v>13</v>
      </c>
      <c r="AHS45" s="19" t="s">
        <v>1160</v>
      </c>
      <c r="AHT45" s="18">
        <f t="shared" si="557"/>
        <v>32</v>
      </c>
      <c r="AHU45" s="18">
        <f t="shared" si="453"/>
        <v>34</v>
      </c>
      <c r="AHV45" s="18">
        <v>3</v>
      </c>
      <c r="AHW45" s="301" t="str">
        <f t="shared" si="454"/>
        <v/>
      </c>
      <c r="AHX45" s="301"/>
      <c r="AHY45" s="302" t="str">
        <f t="shared" si="455"/>
        <v/>
      </c>
      <c r="AHZ45" s="349"/>
      <c r="AIA45" s="358"/>
      <c r="AIB45" s="18">
        <v>13</v>
      </c>
      <c r="AIC45" s="19" t="s">
        <v>1160</v>
      </c>
      <c r="AID45" s="18">
        <f t="shared" si="558"/>
        <v>32</v>
      </c>
      <c r="AIE45" s="18">
        <f t="shared" si="457"/>
        <v>34</v>
      </c>
      <c r="AIF45" s="18">
        <v>3</v>
      </c>
      <c r="AIG45" s="301" t="str">
        <f t="shared" si="458"/>
        <v/>
      </c>
      <c r="AIH45" s="301"/>
      <c r="AII45" s="302" t="str">
        <f t="shared" si="459"/>
        <v/>
      </c>
      <c r="AIJ45" s="349"/>
      <c r="AIK45" s="358"/>
      <c r="AIL45" s="18">
        <v>13</v>
      </c>
      <c r="AIM45" s="19" t="s">
        <v>1160</v>
      </c>
      <c r="AIN45" s="18">
        <f t="shared" si="559"/>
        <v>32</v>
      </c>
      <c r="AIO45" s="18">
        <f t="shared" si="461"/>
        <v>34</v>
      </c>
      <c r="AIP45" s="18">
        <v>3</v>
      </c>
      <c r="AIQ45" s="301" t="str">
        <f t="shared" si="462"/>
        <v/>
      </c>
      <c r="AIR45" s="301"/>
      <c r="AIS45" s="302" t="str">
        <f t="shared" si="463"/>
        <v/>
      </c>
      <c r="AIT45" s="349"/>
      <c r="AIU45" s="358"/>
      <c r="AIV45" s="18">
        <v>13</v>
      </c>
      <c r="AIW45" s="19" t="s">
        <v>1160</v>
      </c>
      <c r="AIX45" s="18">
        <f t="shared" si="560"/>
        <v>32</v>
      </c>
      <c r="AIY45" s="18">
        <f t="shared" si="465"/>
        <v>34</v>
      </c>
      <c r="AIZ45" s="18">
        <v>3</v>
      </c>
      <c r="AJA45" s="301" t="str">
        <f t="shared" si="466"/>
        <v/>
      </c>
      <c r="AJB45" s="301"/>
      <c r="AJC45" s="302" t="str">
        <f t="shared" si="467"/>
        <v/>
      </c>
      <c r="AJD45" s="349"/>
    </row>
    <row r="46" spans="1:940" ht="15.95" customHeight="1">
      <c r="A46" s="365"/>
      <c r="B46" s="18">
        <v>15</v>
      </c>
      <c r="C46" s="19" t="s">
        <v>1249</v>
      </c>
      <c r="D46" s="18">
        <f t="shared" si="561"/>
        <v>35</v>
      </c>
      <c r="E46" s="18">
        <f>D46+F46-1</f>
        <v>36</v>
      </c>
      <c r="F46" s="18">
        <v>2</v>
      </c>
      <c r="G46" s="301" t="str">
        <f t="shared" si="468"/>
        <v/>
      </c>
      <c r="H46" s="301"/>
      <c r="I46" s="302">
        <f t="shared" si="96"/>
        <v>0</v>
      </c>
      <c r="J46" s="305"/>
      <c r="K46" s="359"/>
      <c r="L46" s="18">
        <v>14</v>
      </c>
      <c r="M46" s="19" t="s">
        <v>1249</v>
      </c>
      <c r="N46" s="18">
        <f t="shared" si="562"/>
        <v>35</v>
      </c>
      <c r="O46" s="18">
        <f t="shared" si="97"/>
        <v>36</v>
      </c>
      <c r="P46" s="18">
        <v>2</v>
      </c>
      <c r="Q46" s="301" t="str">
        <f t="shared" si="98"/>
        <v/>
      </c>
      <c r="R46" s="301"/>
      <c r="S46" s="302" t="str">
        <f t="shared" si="99"/>
        <v/>
      </c>
      <c r="T46" s="349"/>
      <c r="U46" s="359"/>
      <c r="V46" s="18">
        <v>14</v>
      </c>
      <c r="W46" s="19" t="s">
        <v>1249</v>
      </c>
      <c r="X46" s="18">
        <f t="shared" si="469"/>
        <v>35</v>
      </c>
      <c r="Y46" s="18">
        <f t="shared" si="101"/>
        <v>36</v>
      </c>
      <c r="Z46" s="18">
        <v>2</v>
      </c>
      <c r="AA46" s="301" t="str">
        <f t="shared" si="102"/>
        <v/>
      </c>
      <c r="AB46" s="301"/>
      <c r="AC46" s="302" t="str">
        <f t="shared" si="103"/>
        <v/>
      </c>
      <c r="AD46" s="349"/>
      <c r="AE46" s="359"/>
      <c r="AF46" s="18">
        <v>14</v>
      </c>
      <c r="AG46" s="19" t="s">
        <v>1249</v>
      </c>
      <c r="AH46" s="18">
        <f t="shared" si="470"/>
        <v>35</v>
      </c>
      <c r="AI46" s="18">
        <f t="shared" si="105"/>
        <v>36</v>
      </c>
      <c r="AJ46" s="18">
        <v>2</v>
      </c>
      <c r="AK46" s="301" t="str">
        <f t="shared" si="106"/>
        <v/>
      </c>
      <c r="AL46" s="301"/>
      <c r="AM46" s="302" t="str">
        <f t="shared" si="107"/>
        <v/>
      </c>
      <c r="AN46" s="349"/>
      <c r="AO46" s="359"/>
      <c r="AP46" s="18">
        <v>14</v>
      </c>
      <c r="AQ46" s="19" t="s">
        <v>1249</v>
      </c>
      <c r="AR46" s="18">
        <f t="shared" si="471"/>
        <v>35</v>
      </c>
      <c r="AS46" s="18">
        <f t="shared" si="109"/>
        <v>36</v>
      </c>
      <c r="AT46" s="18">
        <v>2</v>
      </c>
      <c r="AU46" s="301" t="str">
        <f t="shared" si="110"/>
        <v/>
      </c>
      <c r="AV46" s="301"/>
      <c r="AW46" s="302" t="str">
        <f t="shared" si="111"/>
        <v/>
      </c>
      <c r="AX46" s="349"/>
      <c r="AY46" s="359"/>
      <c r="AZ46" s="18">
        <v>14</v>
      </c>
      <c r="BA46" s="19" t="s">
        <v>1249</v>
      </c>
      <c r="BB46" s="18">
        <f t="shared" si="472"/>
        <v>35</v>
      </c>
      <c r="BC46" s="18">
        <f t="shared" si="113"/>
        <v>36</v>
      </c>
      <c r="BD46" s="18">
        <v>2</v>
      </c>
      <c r="BE46" s="301" t="str">
        <f t="shared" si="114"/>
        <v/>
      </c>
      <c r="BF46" s="301"/>
      <c r="BG46" s="302" t="str">
        <f t="shared" si="115"/>
        <v/>
      </c>
      <c r="BH46" s="349"/>
      <c r="BI46" s="359"/>
      <c r="BJ46" s="18">
        <v>14</v>
      </c>
      <c r="BK46" s="19" t="s">
        <v>1249</v>
      </c>
      <c r="BL46" s="18">
        <f t="shared" si="473"/>
        <v>35</v>
      </c>
      <c r="BM46" s="18">
        <f t="shared" si="117"/>
        <v>36</v>
      </c>
      <c r="BN46" s="18">
        <v>2</v>
      </c>
      <c r="BO46" s="301" t="str">
        <f t="shared" si="118"/>
        <v/>
      </c>
      <c r="BP46" s="301"/>
      <c r="BQ46" s="302" t="str">
        <f t="shared" si="119"/>
        <v/>
      </c>
      <c r="BR46" s="349"/>
      <c r="BS46" s="359"/>
      <c r="BT46" s="18">
        <v>14</v>
      </c>
      <c r="BU46" s="19" t="s">
        <v>1249</v>
      </c>
      <c r="BV46" s="18">
        <f t="shared" si="474"/>
        <v>35</v>
      </c>
      <c r="BW46" s="18">
        <f t="shared" si="121"/>
        <v>36</v>
      </c>
      <c r="BX46" s="18">
        <v>2</v>
      </c>
      <c r="BY46" s="301" t="str">
        <f t="shared" si="122"/>
        <v/>
      </c>
      <c r="BZ46" s="301"/>
      <c r="CA46" s="302" t="str">
        <f t="shared" si="123"/>
        <v/>
      </c>
      <c r="CB46" s="349"/>
      <c r="CC46" s="359"/>
      <c r="CD46" s="18">
        <v>14</v>
      </c>
      <c r="CE46" s="19" t="s">
        <v>1249</v>
      </c>
      <c r="CF46" s="18">
        <f t="shared" si="475"/>
        <v>35</v>
      </c>
      <c r="CG46" s="18">
        <f t="shared" si="125"/>
        <v>36</v>
      </c>
      <c r="CH46" s="18">
        <v>2</v>
      </c>
      <c r="CI46" s="301" t="str">
        <f t="shared" si="126"/>
        <v/>
      </c>
      <c r="CJ46" s="301"/>
      <c r="CK46" s="302" t="str">
        <f t="shared" si="127"/>
        <v/>
      </c>
      <c r="CL46" s="349"/>
      <c r="CM46" s="359"/>
      <c r="CN46" s="18">
        <v>14</v>
      </c>
      <c r="CO46" s="19" t="s">
        <v>1249</v>
      </c>
      <c r="CP46" s="18">
        <f t="shared" si="476"/>
        <v>35</v>
      </c>
      <c r="CQ46" s="18">
        <f t="shared" si="129"/>
        <v>36</v>
      </c>
      <c r="CR46" s="18">
        <v>2</v>
      </c>
      <c r="CS46" s="301" t="str">
        <f t="shared" si="130"/>
        <v/>
      </c>
      <c r="CT46" s="301"/>
      <c r="CU46" s="302" t="str">
        <f t="shared" si="131"/>
        <v/>
      </c>
      <c r="CV46" s="349"/>
      <c r="CW46" s="359"/>
      <c r="CX46" s="18">
        <v>14</v>
      </c>
      <c r="CY46" s="19" t="s">
        <v>1249</v>
      </c>
      <c r="CZ46" s="18">
        <f t="shared" si="477"/>
        <v>35</v>
      </c>
      <c r="DA46" s="18">
        <f t="shared" si="133"/>
        <v>36</v>
      </c>
      <c r="DB46" s="18">
        <v>2</v>
      </c>
      <c r="DC46" s="301" t="str">
        <f t="shared" si="134"/>
        <v/>
      </c>
      <c r="DD46" s="301"/>
      <c r="DE46" s="302" t="str">
        <f t="shared" si="135"/>
        <v/>
      </c>
      <c r="DF46" s="349"/>
      <c r="DG46" s="359"/>
      <c r="DH46" s="18">
        <v>14</v>
      </c>
      <c r="DI46" s="19" t="s">
        <v>1249</v>
      </c>
      <c r="DJ46" s="18">
        <f t="shared" si="478"/>
        <v>35</v>
      </c>
      <c r="DK46" s="18">
        <f t="shared" si="137"/>
        <v>36</v>
      </c>
      <c r="DL46" s="18">
        <v>2</v>
      </c>
      <c r="DM46" s="301" t="str">
        <f t="shared" si="138"/>
        <v/>
      </c>
      <c r="DN46" s="301"/>
      <c r="DO46" s="302" t="str">
        <f t="shared" si="139"/>
        <v/>
      </c>
      <c r="DP46" s="349"/>
      <c r="DQ46" s="359"/>
      <c r="DR46" s="18">
        <v>14</v>
      </c>
      <c r="DS46" s="19" t="s">
        <v>1249</v>
      </c>
      <c r="DT46" s="18">
        <f t="shared" si="479"/>
        <v>35</v>
      </c>
      <c r="DU46" s="18">
        <f t="shared" si="141"/>
        <v>36</v>
      </c>
      <c r="DV46" s="18">
        <v>2</v>
      </c>
      <c r="DW46" s="301" t="str">
        <f t="shared" si="142"/>
        <v/>
      </c>
      <c r="DX46" s="301"/>
      <c r="DY46" s="302" t="str">
        <f t="shared" si="143"/>
        <v/>
      </c>
      <c r="DZ46" s="349"/>
      <c r="EA46" s="359"/>
      <c r="EB46" s="18">
        <v>14</v>
      </c>
      <c r="EC46" s="19" t="s">
        <v>1249</v>
      </c>
      <c r="ED46" s="18">
        <f t="shared" si="480"/>
        <v>35</v>
      </c>
      <c r="EE46" s="18">
        <f t="shared" si="145"/>
        <v>36</v>
      </c>
      <c r="EF46" s="18">
        <v>2</v>
      </c>
      <c r="EG46" s="301" t="str">
        <f t="shared" si="146"/>
        <v/>
      </c>
      <c r="EH46" s="301"/>
      <c r="EI46" s="302" t="str">
        <f t="shared" si="147"/>
        <v/>
      </c>
      <c r="EJ46" s="349"/>
      <c r="EK46" s="359"/>
      <c r="EL46" s="18">
        <v>14</v>
      </c>
      <c r="EM46" s="19" t="s">
        <v>1249</v>
      </c>
      <c r="EN46" s="18">
        <f t="shared" si="481"/>
        <v>35</v>
      </c>
      <c r="EO46" s="18">
        <f t="shared" si="149"/>
        <v>36</v>
      </c>
      <c r="EP46" s="18">
        <v>2</v>
      </c>
      <c r="EQ46" s="301" t="str">
        <f t="shared" si="150"/>
        <v/>
      </c>
      <c r="ER46" s="301"/>
      <c r="ES46" s="302" t="str">
        <f t="shared" si="151"/>
        <v/>
      </c>
      <c r="ET46" s="349"/>
      <c r="EU46" s="359"/>
      <c r="EV46" s="18">
        <v>14</v>
      </c>
      <c r="EW46" s="19" t="s">
        <v>1249</v>
      </c>
      <c r="EX46" s="18">
        <f t="shared" si="482"/>
        <v>35</v>
      </c>
      <c r="EY46" s="18">
        <f t="shared" si="153"/>
        <v>36</v>
      </c>
      <c r="EZ46" s="18">
        <v>2</v>
      </c>
      <c r="FA46" s="301" t="str">
        <f t="shared" si="154"/>
        <v/>
      </c>
      <c r="FB46" s="301"/>
      <c r="FC46" s="302" t="str">
        <f t="shared" si="155"/>
        <v/>
      </c>
      <c r="FD46" s="349"/>
      <c r="FE46" s="359"/>
      <c r="FF46" s="18">
        <v>14</v>
      </c>
      <c r="FG46" s="19" t="s">
        <v>1249</v>
      </c>
      <c r="FH46" s="18">
        <f t="shared" si="483"/>
        <v>35</v>
      </c>
      <c r="FI46" s="18">
        <f t="shared" si="157"/>
        <v>36</v>
      </c>
      <c r="FJ46" s="18">
        <v>2</v>
      </c>
      <c r="FK46" s="301" t="str">
        <f t="shared" si="158"/>
        <v/>
      </c>
      <c r="FL46" s="301"/>
      <c r="FM46" s="302" t="str">
        <f t="shared" si="159"/>
        <v/>
      </c>
      <c r="FN46" s="349"/>
      <c r="FO46" s="359"/>
      <c r="FP46" s="18">
        <v>14</v>
      </c>
      <c r="FQ46" s="19" t="s">
        <v>1249</v>
      </c>
      <c r="FR46" s="18">
        <f t="shared" si="484"/>
        <v>35</v>
      </c>
      <c r="FS46" s="18">
        <f t="shared" si="161"/>
        <v>36</v>
      </c>
      <c r="FT46" s="18">
        <v>2</v>
      </c>
      <c r="FU46" s="301" t="str">
        <f t="shared" si="162"/>
        <v/>
      </c>
      <c r="FV46" s="301"/>
      <c r="FW46" s="302" t="str">
        <f t="shared" si="163"/>
        <v/>
      </c>
      <c r="FX46" s="349"/>
      <c r="FY46" s="359"/>
      <c r="FZ46" s="18">
        <v>14</v>
      </c>
      <c r="GA46" s="19" t="s">
        <v>1249</v>
      </c>
      <c r="GB46" s="18">
        <f t="shared" si="485"/>
        <v>35</v>
      </c>
      <c r="GC46" s="18">
        <f t="shared" si="165"/>
        <v>36</v>
      </c>
      <c r="GD46" s="18">
        <v>2</v>
      </c>
      <c r="GE46" s="301" t="str">
        <f t="shared" si="166"/>
        <v/>
      </c>
      <c r="GF46" s="301"/>
      <c r="GG46" s="302" t="str">
        <f t="shared" si="167"/>
        <v/>
      </c>
      <c r="GH46" s="349"/>
      <c r="GI46" s="359"/>
      <c r="GJ46" s="18">
        <v>14</v>
      </c>
      <c r="GK46" s="19" t="s">
        <v>1249</v>
      </c>
      <c r="GL46" s="18">
        <f t="shared" si="486"/>
        <v>35</v>
      </c>
      <c r="GM46" s="18">
        <f t="shared" si="169"/>
        <v>36</v>
      </c>
      <c r="GN46" s="18">
        <v>2</v>
      </c>
      <c r="GO46" s="301" t="str">
        <f t="shared" si="170"/>
        <v/>
      </c>
      <c r="GP46" s="301"/>
      <c r="GQ46" s="302" t="str">
        <f t="shared" si="171"/>
        <v/>
      </c>
      <c r="GR46" s="349"/>
      <c r="GS46" s="359"/>
      <c r="GT46" s="18">
        <v>14</v>
      </c>
      <c r="GU46" s="19" t="s">
        <v>1249</v>
      </c>
      <c r="GV46" s="18">
        <f t="shared" si="487"/>
        <v>35</v>
      </c>
      <c r="GW46" s="18">
        <f t="shared" si="173"/>
        <v>36</v>
      </c>
      <c r="GX46" s="18">
        <v>2</v>
      </c>
      <c r="GY46" s="301" t="str">
        <f t="shared" si="174"/>
        <v/>
      </c>
      <c r="GZ46" s="301"/>
      <c r="HA46" s="302" t="str">
        <f t="shared" si="175"/>
        <v/>
      </c>
      <c r="HB46" s="349"/>
      <c r="HC46" s="359"/>
      <c r="HD46" s="18">
        <v>14</v>
      </c>
      <c r="HE46" s="19" t="s">
        <v>1249</v>
      </c>
      <c r="HF46" s="18">
        <f t="shared" si="488"/>
        <v>35</v>
      </c>
      <c r="HG46" s="18">
        <f t="shared" si="177"/>
        <v>36</v>
      </c>
      <c r="HH46" s="18">
        <v>2</v>
      </c>
      <c r="HI46" s="301" t="str">
        <f t="shared" si="178"/>
        <v/>
      </c>
      <c r="HJ46" s="301"/>
      <c r="HK46" s="302" t="str">
        <f t="shared" si="179"/>
        <v/>
      </c>
      <c r="HL46" s="349"/>
      <c r="HM46" s="359"/>
      <c r="HN46" s="18">
        <v>14</v>
      </c>
      <c r="HO46" s="19" t="s">
        <v>1249</v>
      </c>
      <c r="HP46" s="18">
        <f t="shared" si="489"/>
        <v>35</v>
      </c>
      <c r="HQ46" s="18">
        <f t="shared" si="181"/>
        <v>36</v>
      </c>
      <c r="HR46" s="18">
        <v>2</v>
      </c>
      <c r="HS46" s="301" t="str">
        <f t="shared" si="182"/>
        <v/>
      </c>
      <c r="HT46" s="301"/>
      <c r="HU46" s="302" t="str">
        <f t="shared" si="183"/>
        <v/>
      </c>
      <c r="HV46" s="349"/>
      <c r="HW46" s="359"/>
      <c r="HX46" s="18">
        <v>14</v>
      </c>
      <c r="HY46" s="19" t="s">
        <v>1249</v>
      </c>
      <c r="HZ46" s="18">
        <f t="shared" si="490"/>
        <v>35</v>
      </c>
      <c r="IA46" s="18">
        <f t="shared" si="185"/>
        <v>36</v>
      </c>
      <c r="IB46" s="18">
        <v>2</v>
      </c>
      <c r="IC46" s="301" t="str">
        <f t="shared" si="186"/>
        <v/>
      </c>
      <c r="ID46" s="301"/>
      <c r="IE46" s="302" t="str">
        <f t="shared" si="187"/>
        <v/>
      </c>
      <c r="IF46" s="349"/>
      <c r="IG46" s="359"/>
      <c r="IH46" s="18">
        <v>14</v>
      </c>
      <c r="II46" s="19" t="s">
        <v>1249</v>
      </c>
      <c r="IJ46" s="18">
        <f t="shared" si="491"/>
        <v>35</v>
      </c>
      <c r="IK46" s="18">
        <f t="shared" si="189"/>
        <v>36</v>
      </c>
      <c r="IL46" s="18">
        <v>2</v>
      </c>
      <c r="IM46" s="301" t="str">
        <f t="shared" si="190"/>
        <v/>
      </c>
      <c r="IN46" s="301"/>
      <c r="IO46" s="302" t="str">
        <f t="shared" si="191"/>
        <v/>
      </c>
      <c r="IP46" s="349"/>
      <c r="IQ46" s="359"/>
      <c r="IR46" s="18">
        <v>14</v>
      </c>
      <c r="IS46" s="19" t="s">
        <v>1249</v>
      </c>
      <c r="IT46" s="18">
        <f t="shared" si="492"/>
        <v>35</v>
      </c>
      <c r="IU46" s="18">
        <f t="shared" si="193"/>
        <v>36</v>
      </c>
      <c r="IV46" s="18">
        <v>2</v>
      </c>
      <c r="IW46" s="301" t="str">
        <f t="shared" si="194"/>
        <v/>
      </c>
      <c r="IX46" s="301"/>
      <c r="IY46" s="302" t="str">
        <f t="shared" si="195"/>
        <v/>
      </c>
      <c r="IZ46" s="349"/>
      <c r="JA46" s="359"/>
      <c r="JB46" s="18">
        <v>14</v>
      </c>
      <c r="JC46" s="19" t="s">
        <v>1249</v>
      </c>
      <c r="JD46" s="18">
        <f t="shared" si="493"/>
        <v>35</v>
      </c>
      <c r="JE46" s="18">
        <f t="shared" si="197"/>
        <v>36</v>
      </c>
      <c r="JF46" s="18">
        <v>2</v>
      </c>
      <c r="JG46" s="301" t="str">
        <f t="shared" si="198"/>
        <v/>
      </c>
      <c r="JH46" s="301"/>
      <c r="JI46" s="302" t="str">
        <f t="shared" si="199"/>
        <v/>
      </c>
      <c r="JJ46" s="349"/>
      <c r="JK46" s="359"/>
      <c r="JL46" s="18">
        <v>14</v>
      </c>
      <c r="JM46" s="19" t="s">
        <v>1249</v>
      </c>
      <c r="JN46" s="18">
        <f t="shared" si="494"/>
        <v>35</v>
      </c>
      <c r="JO46" s="18">
        <f t="shared" si="201"/>
        <v>36</v>
      </c>
      <c r="JP46" s="18">
        <v>2</v>
      </c>
      <c r="JQ46" s="301" t="str">
        <f t="shared" si="202"/>
        <v/>
      </c>
      <c r="JR46" s="301"/>
      <c r="JS46" s="302" t="str">
        <f t="shared" si="203"/>
        <v/>
      </c>
      <c r="JT46" s="349"/>
      <c r="JU46" s="359"/>
      <c r="JV46" s="18">
        <v>14</v>
      </c>
      <c r="JW46" s="19" t="s">
        <v>1249</v>
      </c>
      <c r="JX46" s="18">
        <f t="shared" si="495"/>
        <v>35</v>
      </c>
      <c r="JY46" s="18">
        <f t="shared" si="205"/>
        <v>36</v>
      </c>
      <c r="JZ46" s="18">
        <v>2</v>
      </c>
      <c r="KA46" s="301" t="str">
        <f t="shared" si="206"/>
        <v/>
      </c>
      <c r="KB46" s="301"/>
      <c r="KC46" s="302" t="str">
        <f t="shared" si="207"/>
        <v/>
      </c>
      <c r="KD46" s="349"/>
      <c r="KE46" s="359"/>
      <c r="KF46" s="18">
        <v>14</v>
      </c>
      <c r="KG46" s="19" t="s">
        <v>1249</v>
      </c>
      <c r="KH46" s="18">
        <f t="shared" si="496"/>
        <v>35</v>
      </c>
      <c r="KI46" s="18">
        <f t="shared" si="209"/>
        <v>36</v>
      </c>
      <c r="KJ46" s="18">
        <v>2</v>
      </c>
      <c r="KK46" s="301" t="str">
        <f t="shared" si="210"/>
        <v/>
      </c>
      <c r="KL46" s="301"/>
      <c r="KM46" s="302" t="str">
        <f t="shared" si="211"/>
        <v/>
      </c>
      <c r="KN46" s="349"/>
      <c r="KO46" s="359"/>
      <c r="KP46" s="18">
        <v>14</v>
      </c>
      <c r="KQ46" s="19" t="s">
        <v>1249</v>
      </c>
      <c r="KR46" s="18">
        <f t="shared" si="497"/>
        <v>35</v>
      </c>
      <c r="KS46" s="18">
        <f t="shared" si="213"/>
        <v>36</v>
      </c>
      <c r="KT46" s="18">
        <v>2</v>
      </c>
      <c r="KU46" s="301" t="str">
        <f t="shared" si="214"/>
        <v/>
      </c>
      <c r="KV46" s="301"/>
      <c r="KW46" s="302" t="str">
        <f t="shared" si="215"/>
        <v/>
      </c>
      <c r="KX46" s="349"/>
      <c r="KY46" s="359"/>
      <c r="KZ46" s="18">
        <v>14</v>
      </c>
      <c r="LA46" s="19" t="s">
        <v>1249</v>
      </c>
      <c r="LB46" s="18">
        <f t="shared" si="498"/>
        <v>35</v>
      </c>
      <c r="LC46" s="18">
        <f t="shared" si="217"/>
        <v>36</v>
      </c>
      <c r="LD46" s="18">
        <v>2</v>
      </c>
      <c r="LE46" s="301" t="str">
        <f t="shared" si="218"/>
        <v/>
      </c>
      <c r="LF46" s="301"/>
      <c r="LG46" s="302" t="str">
        <f t="shared" si="219"/>
        <v/>
      </c>
      <c r="LH46" s="349"/>
      <c r="LI46" s="359"/>
      <c r="LJ46" s="18">
        <v>14</v>
      </c>
      <c r="LK46" s="19" t="s">
        <v>1249</v>
      </c>
      <c r="LL46" s="18">
        <f t="shared" si="499"/>
        <v>35</v>
      </c>
      <c r="LM46" s="18">
        <f t="shared" si="221"/>
        <v>36</v>
      </c>
      <c r="LN46" s="18">
        <v>2</v>
      </c>
      <c r="LO46" s="301" t="str">
        <f t="shared" si="222"/>
        <v/>
      </c>
      <c r="LP46" s="301"/>
      <c r="LQ46" s="302" t="str">
        <f t="shared" si="223"/>
        <v/>
      </c>
      <c r="LR46" s="349"/>
      <c r="LS46" s="359"/>
      <c r="LT46" s="18">
        <v>14</v>
      </c>
      <c r="LU46" s="19" t="s">
        <v>1249</v>
      </c>
      <c r="LV46" s="18">
        <f t="shared" si="500"/>
        <v>35</v>
      </c>
      <c r="LW46" s="18">
        <f t="shared" si="225"/>
        <v>36</v>
      </c>
      <c r="LX46" s="18">
        <v>2</v>
      </c>
      <c r="LY46" s="301" t="str">
        <f t="shared" si="226"/>
        <v/>
      </c>
      <c r="LZ46" s="301"/>
      <c r="MA46" s="302" t="str">
        <f t="shared" si="227"/>
        <v/>
      </c>
      <c r="MB46" s="349"/>
      <c r="MC46" s="359"/>
      <c r="MD46" s="18">
        <v>14</v>
      </c>
      <c r="ME46" s="19" t="s">
        <v>1249</v>
      </c>
      <c r="MF46" s="18">
        <f t="shared" si="501"/>
        <v>35</v>
      </c>
      <c r="MG46" s="18">
        <f t="shared" si="229"/>
        <v>36</v>
      </c>
      <c r="MH46" s="18">
        <v>2</v>
      </c>
      <c r="MI46" s="301" t="str">
        <f t="shared" si="230"/>
        <v/>
      </c>
      <c r="MJ46" s="301"/>
      <c r="MK46" s="302" t="str">
        <f t="shared" si="231"/>
        <v/>
      </c>
      <c r="ML46" s="349"/>
      <c r="MM46" s="359"/>
      <c r="MN46" s="18">
        <v>14</v>
      </c>
      <c r="MO46" s="19" t="s">
        <v>1249</v>
      </c>
      <c r="MP46" s="18">
        <f t="shared" si="502"/>
        <v>35</v>
      </c>
      <c r="MQ46" s="18">
        <f t="shared" si="233"/>
        <v>36</v>
      </c>
      <c r="MR46" s="18">
        <v>2</v>
      </c>
      <c r="MS46" s="301" t="str">
        <f t="shared" si="234"/>
        <v/>
      </c>
      <c r="MT46" s="301"/>
      <c r="MU46" s="302" t="str">
        <f t="shared" si="235"/>
        <v/>
      </c>
      <c r="MV46" s="349"/>
      <c r="MW46" s="359"/>
      <c r="MX46" s="18">
        <v>14</v>
      </c>
      <c r="MY46" s="19" t="s">
        <v>1249</v>
      </c>
      <c r="MZ46" s="18">
        <f t="shared" si="503"/>
        <v>35</v>
      </c>
      <c r="NA46" s="18">
        <f t="shared" si="237"/>
        <v>36</v>
      </c>
      <c r="NB46" s="18">
        <v>2</v>
      </c>
      <c r="NC46" s="301" t="str">
        <f t="shared" si="238"/>
        <v/>
      </c>
      <c r="ND46" s="301"/>
      <c r="NE46" s="302" t="str">
        <f t="shared" si="239"/>
        <v/>
      </c>
      <c r="NF46" s="349"/>
      <c r="NG46" s="359"/>
      <c r="NH46" s="18">
        <v>14</v>
      </c>
      <c r="NI46" s="19" t="s">
        <v>1249</v>
      </c>
      <c r="NJ46" s="18">
        <f t="shared" si="504"/>
        <v>35</v>
      </c>
      <c r="NK46" s="18">
        <f t="shared" si="241"/>
        <v>36</v>
      </c>
      <c r="NL46" s="18">
        <v>2</v>
      </c>
      <c r="NM46" s="301" t="str">
        <f t="shared" si="242"/>
        <v/>
      </c>
      <c r="NN46" s="301"/>
      <c r="NO46" s="302" t="str">
        <f t="shared" si="243"/>
        <v/>
      </c>
      <c r="NP46" s="349"/>
      <c r="NQ46" s="359"/>
      <c r="NR46" s="18">
        <v>14</v>
      </c>
      <c r="NS46" s="19" t="s">
        <v>1249</v>
      </c>
      <c r="NT46" s="18">
        <f t="shared" si="505"/>
        <v>35</v>
      </c>
      <c r="NU46" s="18">
        <f t="shared" si="245"/>
        <v>36</v>
      </c>
      <c r="NV46" s="18">
        <v>2</v>
      </c>
      <c r="NW46" s="301" t="str">
        <f t="shared" si="246"/>
        <v/>
      </c>
      <c r="NX46" s="301"/>
      <c r="NY46" s="302" t="str">
        <f t="shared" si="247"/>
        <v/>
      </c>
      <c r="NZ46" s="349"/>
      <c r="OA46" s="359"/>
      <c r="OB46" s="18">
        <v>14</v>
      </c>
      <c r="OC46" s="19" t="s">
        <v>1249</v>
      </c>
      <c r="OD46" s="18">
        <f t="shared" si="506"/>
        <v>35</v>
      </c>
      <c r="OE46" s="18">
        <f t="shared" si="249"/>
        <v>36</v>
      </c>
      <c r="OF46" s="18">
        <v>2</v>
      </c>
      <c r="OG46" s="301" t="str">
        <f t="shared" si="250"/>
        <v/>
      </c>
      <c r="OH46" s="301"/>
      <c r="OI46" s="302" t="str">
        <f t="shared" si="251"/>
        <v/>
      </c>
      <c r="OJ46" s="349"/>
      <c r="OK46" s="359"/>
      <c r="OL46" s="18">
        <v>14</v>
      </c>
      <c r="OM46" s="19" t="s">
        <v>1249</v>
      </c>
      <c r="ON46" s="18">
        <f t="shared" si="507"/>
        <v>35</v>
      </c>
      <c r="OO46" s="18">
        <f t="shared" si="253"/>
        <v>36</v>
      </c>
      <c r="OP46" s="18">
        <v>2</v>
      </c>
      <c r="OQ46" s="301" t="str">
        <f t="shared" si="254"/>
        <v/>
      </c>
      <c r="OR46" s="301"/>
      <c r="OS46" s="302" t="str">
        <f t="shared" si="255"/>
        <v/>
      </c>
      <c r="OT46" s="349"/>
      <c r="OU46" s="359"/>
      <c r="OV46" s="18">
        <v>14</v>
      </c>
      <c r="OW46" s="19" t="s">
        <v>1249</v>
      </c>
      <c r="OX46" s="18">
        <f t="shared" si="508"/>
        <v>35</v>
      </c>
      <c r="OY46" s="18">
        <f t="shared" si="257"/>
        <v>36</v>
      </c>
      <c r="OZ46" s="18">
        <v>2</v>
      </c>
      <c r="PA46" s="301" t="str">
        <f t="shared" si="258"/>
        <v/>
      </c>
      <c r="PB46" s="301"/>
      <c r="PC46" s="302" t="str">
        <f t="shared" si="259"/>
        <v/>
      </c>
      <c r="PD46" s="349"/>
      <c r="PE46" s="359"/>
      <c r="PF46" s="18">
        <v>14</v>
      </c>
      <c r="PG46" s="19" t="s">
        <v>1249</v>
      </c>
      <c r="PH46" s="18">
        <f t="shared" si="509"/>
        <v>35</v>
      </c>
      <c r="PI46" s="18">
        <f t="shared" si="261"/>
        <v>36</v>
      </c>
      <c r="PJ46" s="18">
        <v>2</v>
      </c>
      <c r="PK46" s="301" t="str">
        <f t="shared" si="262"/>
        <v/>
      </c>
      <c r="PL46" s="301"/>
      <c r="PM46" s="302" t="str">
        <f t="shared" si="263"/>
        <v/>
      </c>
      <c r="PN46" s="349"/>
      <c r="PO46" s="359"/>
      <c r="PP46" s="18">
        <v>14</v>
      </c>
      <c r="PQ46" s="19" t="s">
        <v>1249</v>
      </c>
      <c r="PR46" s="18">
        <f t="shared" si="510"/>
        <v>35</v>
      </c>
      <c r="PS46" s="18">
        <f t="shared" si="265"/>
        <v>36</v>
      </c>
      <c r="PT46" s="18">
        <v>2</v>
      </c>
      <c r="PU46" s="301" t="str">
        <f t="shared" si="266"/>
        <v/>
      </c>
      <c r="PV46" s="301"/>
      <c r="PW46" s="302" t="str">
        <f t="shared" si="267"/>
        <v/>
      </c>
      <c r="PX46" s="349"/>
      <c r="PY46" s="359"/>
      <c r="PZ46" s="18">
        <v>14</v>
      </c>
      <c r="QA46" s="19" t="s">
        <v>1249</v>
      </c>
      <c r="QB46" s="18">
        <f t="shared" si="511"/>
        <v>35</v>
      </c>
      <c r="QC46" s="18">
        <f t="shared" si="269"/>
        <v>36</v>
      </c>
      <c r="QD46" s="18">
        <v>2</v>
      </c>
      <c r="QE46" s="301" t="str">
        <f t="shared" si="270"/>
        <v/>
      </c>
      <c r="QF46" s="301"/>
      <c r="QG46" s="302" t="str">
        <f t="shared" si="271"/>
        <v/>
      </c>
      <c r="QH46" s="349"/>
      <c r="QI46" s="359"/>
      <c r="QJ46" s="18">
        <v>14</v>
      </c>
      <c r="QK46" s="19" t="s">
        <v>1249</v>
      </c>
      <c r="QL46" s="18">
        <f t="shared" si="512"/>
        <v>35</v>
      </c>
      <c r="QM46" s="18">
        <f t="shared" si="273"/>
        <v>36</v>
      </c>
      <c r="QN46" s="18">
        <v>2</v>
      </c>
      <c r="QO46" s="301" t="str">
        <f t="shared" si="274"/>
        <v/>
      </c>
      <c r="QP46" s="301"/>
      <c r="QQ46" s="302" t="str">
        <f t="shared" si="275"/>
        <v/>
      </c>
      <c r="QR46" s="349"/>
      <c r="QS46" s="359"/>
      <c r="QT46" s="18">
        <v>14</v>
      </c>
      <c r="QU46" s="19" t="s">
        <v>1249</v>
      </c>
      <c r="QV46" s="18">
        <f t="shared" si="513"/>
        <v>35</v>
      </c>
      <c r="QW46" s="18">
        <f t="shared" si="277"/>
        <v>36</v>
      </c>
      <c r="QX46" s="18">
        <v>2</v>
      </c>
      <c r="QY46" s="301" t="str">
        <f t="shared" si="278"/>
        <v/>
      </c>
      <c r="QZ46" s="301"/>
      <c r="RA46" s="302" t="str">
        <f t="shared" si="279"/>
        <v/>
      </c>
      <c r="RB46" s="349"/>
      <c r="RC46" s="359"/>
      <c r="RD46" s="18">
        <v>14</v>
      </c>
      <c r="RE46" s="19" t="s">
        <v>1249</v>
      </c>
      <c r="RF46" s="18">
        <f t="shared" si="514"/>
        <v>35</v>
      </c>
      <c r="RG46" s="18">
        <f t="shared" si="281"/>
        <v>36</v>
      </c>
      <c r="RH46" s="18">
        <v>2</v>
      </c>
      <c r="RI46" s="301" t="str">
        <f t="shared" si="282"/>
        <v/>
      </c>
      <c r="RJ46" s="301"/>
      <c r="RK46" s="302" t="str">
        <f t="shared" si="283"/>
        <v/>
      </c>
      <c r="RL46" s="349"/>
      <c r="RM46" s="359"/>
      <c r="RN46" s="18">
        <v>14</v>
      </c>
      <c r="RO46" s="19" t="s">
        <v>1249</v>
      </c>
      <c r="RP46" s="18">
        <f t="shared" si="515"/>
        <v>35</v>
      </c>
      <c r="RQ46" s="18">
        <f t="shared" si="285"/>
        <v>36</v>
      </c>
      <c r="RR46" s="18">
        <v>2</v>
      </c>
      <c r="RS46" s="301" t="str">
        <f t="shared" si="286"/>
        <v/>
      </c>
      <c r="RT46" s="301"/>
      <c r="RU46" s="302" t="str">
        <f t="shared" si="287"/>
        <v/>
      </c>
      <c r="RV46" s="349"/>
      <c r="RW46" s="359"/>
      <c r="RX46" s="18">
        <v>14</v>
      </c>
      <c r="RY46" s="19" t="s">
        <v>1249</v>
      </c>
      <c r="RZ46" s="18">
        <f t="shared" si="516"/>
        <v>35</v>
      </c>
      <c r="SA46" s="18">
        <f t="shared" si="289"/>
        <v>36</v>
      </c>
      <c r="SB46" s="18">
        <v>2</v>
      </c>
      <c r="SC46" s="301" t="str">
        <f t="shared" si="290"/>
        <v/>
      </c>
      <c r="SD46" s="301"/>
      <c r="SE46" s="302" t="str">
        <f t="shared" si="291"/>
        <v/>
      </c>
      <c r="SF46" s="349"/>
      <c r="SG46" s="359"/>
      <c r="SH46" s="18">
        <v>14</v>
      </c>
      <c r="SI46" s="19" t="s">
        <v>1249</v>
      </c>
      <c r="SJ46" s="18">
        <f t="shared" si="517"/>
        <v>35</v>
      </c>
      <c r="SK46" s="18">
        <f t="shared" si="293"/>
        <v>36</v>
      </c>
      <c r="SL46" s="18">
        <v>2</v>
      </c>
      <c r="SM46" s="301" t="str">
        <f t="shared" si="294"/>
        <v/>
      </c>
      <c r="SN46" s="301"/>
      <c r="SO46" s="302" t="str">
        <f t="shared" si="295"/>
        <v/>
      </c>
      <c r="SP46" s="349"/>
      <c r="SQ46" s="359"/>
      <c r="SR46" s="18">
        <v>14</v>
      </c>
      <c r="SS46" s="19" t="s">
        <v>1249</v>
      </c>
      <c r="ST46" s="18">
        <f t="shared" si="518"/>
        <v>35</v>
      </c>
      <c r="SU46" s="18">
        <f t="shared" si="297"/>
        <v>36</v>
      </c>
      <c r="SV46" s="18">
        <v>2</v>
      </c>
      <c r="SW46" s="301" t="str">
        <f t="shared" si="298"/>
        <v/>
      </c>
      <c r="SX46" s="301"/>
      <c r="SY46" s="302" t="str">
        <f t="shared" si="299"/>
        <v/>
      </c>
      <c r="SZ46" s="349"/>
      <c r="TA46" s="359"/>
      <c r="TB46" s="18">
        <v>14</v>
      </c>
      <c r="TC46" s="19" t="s">
        <v>1249</v>
      </c>
      <c r="TD46" s="18">
        <f t="shared" si="519"/>
        <v>35</v>
      </c>
      <c r="TE46" s="18">
        <f t="shared" si="301"/>
        <v>36</v>
      </c>
      <c r="TF46" s="18">
        <v>2</v>
      </c>
      <c r="TG46" s="301" t="str">
        <f t="shared" si="302"/>
        <v/>
      </c>
      <c r="TH46" s="301"/>
      <c r="TI46" s="302" t="str">
        <f t="shared" si="303"/>
        <v/>
      </c>
      <c r="TJ46" s="349"/>
      <c r="TK46" s="359"/>
      <c r="TL46" s="18">
        <v>14</v>
      </c>
      <c r="TM46" s="19" t="s">
        <v>1249</v>
      </c>
      <c r="TN46" s="18">
        <f t="shared" si="520"/>
        <v>35</v>
      </c>
      <c r="TO46" s="18">
        <f t="shared" si="305"/>
        <v>36</v>
      </c>
      <c r="TP46" s="18">
        <v>2</v>
      </c>
      <c r="TQ46" s="301" t="str">
        <f t="shared" si="306"/>
        <v/>
      </c>
      <c r="TR46" s="301"/>
      <c r="TS46" s="302" t="str">
        <f t="shared" si="307"/>
        <v/>
      </c>
      <c r="TT46" s="349"/>
      <c r="TU46" s="359"/>
      <c r="TV46" s="18">
        <v>14</v>
      </c>
      <c r="TW46" s="19" t="s">
        <v>1249</v>
      </c>
      <c r="TX46" s="18">
        <f t="shared" si="521"/>
        <v>35</v>
      </c>
      <c r="TY46" s="18">
        <f t="shared" si="309"/>
        <v>36</v>
      </c>
      <c r="TZ46" s="18">
        <v>2</v>
      </c>
      <c r="UA46" s="301" t="str">
        <f t="shared" si="310"/>
        <v/>
      </c>
      <c r="UB46" s="301"/>
      <c r="UC46" s="302" t="str">
        <f t="shared" si="311"/>
        <v/>
      </c>
      <c r="UD46" s="349"/>
      <c r="UE46" s="359"/>
      <c r="UF46" s="18">
        <v>14</v>
      </c>
      <c r="UG46" s="19" t="s">
        <v>1249</v>
      </c>
      <c r="UH46" s="18">
        <f t="shared" si="522"/>
        <v>35</v>
      </c>
      <c r="UI46" s="18">
        <f t="shared" si="313"/>
        <v>36</v>
      </c>
      <c r="UJ46" s="18">
        <v>2</v>
      </c>
      <c r="UK46" s="301" t="str">
        <f t="shared" si="314"/>
        <v/>
      </c>
      <c r="UL46" s="301"/>
      <c r="UM46" s="302" t="str">
        <f t="shared" si="315"/>
        <v/>
      </c>
      <c r="UN46" s="349"/>
      <c r="UO46" s="359"/>
      <c r="UP46" s="18">
        <v>14</v>
      </c>
      <c r="UQ46" s="19" t="s">
        <v>1249</v>
      </c>
      <c r="UR46" s="18">
        <f t="shared" si="523"/>
        <v>35</v>
      </c>
      <c r="US46" s="18">
        <f t="shared" si="317"/>
        <v>36</v>
      </c>
      <c r="UT46" s="18">
        <v>2</v>
      </c>
      <c r="UU46" s="301" t="str">
        <f t="shared" si="318"/>
        <v/>
      </c>
      <c r="UV46" s="301"/>
      <c r="UW46" s="302" t="str">
        <f t="shared" si="319"/>
        <v/>
      </c>
      <c r="UX46" s="349"/>
      <c r="UY46" s="359"/>
      <c r="UZ46" s="18">
        <v>14</v>
      </c>
      <c r="VA46" s="19" t="s">
        <v>1249</v>
      </c>
      <c r="VB46" s="18">
        <f t="shared" si="524"/>
        <v>35</v>
      </c>
      <c r="VC46" s="18">
        <f t="shared" si="321"/>
        <v>36</v>
      </c>
      <c r="VD46" s="18">
        <v>2</v>
      </c>
      <c r="VE46" s="301" t="str">
        <f t="shared" si="322"/>
        <v/>
      </c>
      <c r="VF46" s="301"/>
      <c r="VG46" s="302" t="str">
        <f t="shared" si="323"/>
        <v/>
      </c>
      <c r="VH46" s="349"/>
      <c r="VI46" s="359"/>
      <c r="VJ46" s="18">
        <v>14</v>
      </c>
      <c r="VK46" s="19" t="s">
        <v>1249</v>
      </c>
      <c r="VL46" s="18">
        <f t="shared" si="525"/>
        <v>35</v>
      </c>
      <c r="VM46" s="18">
        <f t="shared" si="325"/>
        <v>36</v>
      </c>
      <c r="VN46" s="18">
        <v>2</v>
      </c>
      <c r="VO46" s="301" t="str">
        <f t="shared" si="326"/>
        <v/>
      </c>
      <c r="VP46" s="301"/>
      <c r="VQ46" s="302" t="str">
        <f t="shared" si="327"/>
        <v/>
      </c>
      <c r="VR46" s="349"/>
      <c r="VS46" s="359"/>
      <c r="VT46" s="18">
        <v>14</v>
      </c>
      <c r="VU46" s="19" t="s">
        <v>1249</v>
      </c>
      <c r="VV46" s="18">
        <f t="shared" si="526"/>
        <v>35</v>
      </c>
      <c r="VW46" s="18">
        <f t="shared" si="329"/>
        <v>36</v>
      </c>
      <c r="VX46" s="18">
        <v>2</v>
      </c>
      <c r="VY46" s="301" t="str">
        <f t="shared" si="330"/>
        <v/>
      </c>
      <c r="VZ46" s="301"/>
      <c r="WA46" s="302" t="str">
        <f t="shared" si="331"/>
        <v/>
      </c>
      <c r="WB46" s="349"/>
      <c r="WC46" s="359"/>
      <c r="WD46" s="18">
        <v>14</v>
      </c>
      <c r="WE46" s="19" t="s">
        <v>1249</v>
      </c>
      <c r="WF46" s="18">
        <f t="shared" si="527"/>
        <v>35</v>
      </c>
      <c r="WG46" s="18">
        <f t="shared" si="333"/>
        <v>36</v>
      </c>
      <c r="WH46" s="18">
        <v>2</v>
      </c>
      <c r="WI46" s="301" t="str">
        <f t="shared" si="334"/>
        <v/>
      </c>
      <c r="WJ46" s="301"/>
      <c r="WK46" s="302" t="str">
        <f t="shared" si="335"/>
        <v/>
      </c>
      <c r="WL46" s="349"/>
      <c r="WM46" s="359"/>
      <c r="WN46" s="18">
        <v>14</v>
      </c>
      <c r="WO46" s="19" t="s">
        <v>1249</v>
      </c>
      <c r="WP46" s="18">
        <f t="shared" si="528"/>
        <v>35</v>
      </c>
      <c r="WQ46" s="18">
        <f t="shared" si="337"/>
        <v>36</v>
      </c>
      <c r="WR46" s="18">
        <v>2</v>
      </c>
      <c r="WS46" s="301" t="str">
        <f t="shared" si="338"/>
        <v/>
      </c>
      <c r="WT46" s="301"/>
      <c r="WU46" s="302" t="str">
        <f t="shared" si="339"/>
        <v/>
      </c>
      <c r="WV46" s="349"/>
      <c r="WW46" s="359"/>
      <c r="WX46" s="18">
        <v>14</v>
      </c>
      <c r="WY46" s="19" t="s">
        <v>1249</v>
      </c>
      <c r="WZ46" s="18">
        <f t="shared" si="529"/>
        <v>35</v>
      </c>
      <c r="XA46" s="18">
        <f t="shared" si="341"/>
        <v>36</v>
      </c>
      <c r="XB46" s="18">
        <v>2</v>
      </c>
      <c r="XC46" s="301" t="str">
        <f t="shared" si="342"/>
        <v/>
      </c>
      <c r="XD46" s="301"/>
      <c r="XE46" s="302" t="str">
        <f t="shared" si="343"/>
        <v/>
      </c>
      <c r="XF46" s="349"/>
      <c r="XG46" s="359"/>
      <c r="XH46" s="18">
        <v>14</v>
      </c>
      <c r="XI46" s="19" t="s">
        <v>1249</v>
      </c>
      <c r="XJ46" s="18">
        <f t="shared" si="530"/>
        <v>35</v>
      </c>
      <c r="XK46" s="18">
        <f t="shared" si="345"/>
        <v>36</v>
      </c>
      <c r="XL46" s="18">
        <v>2</v>
      </c>
      <c r="XM46" s="301" t="str">
        <f t="shared" si="346"/>
        <v/>
      </c>
      <c r="XN46" s="301"/>
      <c r="XO46" s="302" t="str">
        <f t="shared" si="347"/>
        <v/>
      </c>
      <c r="XP46" s="349"/>
      <c r="XQ46" s="359"/>
      <c r="XR46" s="18">
        <v>14</v>
      </c>
      <c r="XS46" s="19" t="s">
        <v>1249</v>
      </c>
      <c r="XT46" s="18">
        <f t="shared" si="531"/>
        <v>35</v>
      </c>
      <c r="XU46" s="18">
        <f t="shared" si="349"/>
        <v>36</v>
      </c>
      <c r="XV46" s="18">
        <v>2</v>
      </c>
      <c r="XW46" s="301" t="str">
        <f t="shared" si="350"/>
        <v/>
      </c>
      <c r="XX46" s="301"/>
      <c r="XY46" s="302" t="str">
        <f t="shared" si="351"/>
        <v/>
      </c>
      <c r="XZ46" s="349"/>
      <c r="YA46" s="359"/>
      <c r="YB46" s="18">
        <v>14</v>
      </c>
      <c r="YC46" s="19" t="s">
        <v>1249</v>
      </c>
      <c r="YD46" s="18">
        <f t="shared" si="532"/>
        <v>35</v>
      </c>
      <c r="YE46" s="18">
        <f t="shared" si="353"/>
        <v>36</v>
      </c>
      <c r="YF46" s="18">
        <v>2</v>
      </c>
      <c r="YG46" s="301" t="str">
        <f t="shared" si="354"/>
        <v/>
      </c>
      <c r="YH46" s="301"/>
      <c r="YI46" s="302" t="str">
        <f t="shared" si="355"/>
        <v/>
      </c>
      <c r="YJ46" s="349"/>
      <c r="YK46" s="359"/>
      <c r="YL46" s="18">
        <v>14</v>
      </c>
      <c r="YM46" s="19" t="s">
        <v>1249</v>
      </c>
      <c r="YN46" s="18">
        <f t="shared" si="533"/>
        <v>35</v>
      </c>
      <c r="YO46" s="18">
        <f t="shared" si="357"/>
        <v>36</v>
      </c>
      <c r="YP46" s="18">
        <v>2</v>
      </c>
      <c r="YQ46" s="301" t="str">
        <f t="shared" si="358"/>
        <v/>
      </c>
      <c r="YR46" s="301"/>
      <c r="YS46" s="302" t="str">
        <f t="shared" si="359"/>
        <v/>
      </c>
      <c r="YT46" s="349"/>
      <c r="YU46" s="359"/>
      <c r="YV46" s="18">
        <v>14</v>
      </c>
      <c r="YW46" s="19" t="s">
        <v>1249</v>
      </c>
      <c r="YX46" s="18">
        <f t="shared" si="534"/>
        <v>35</v>
      </c>
      <c r="YY46" s="18">
        <f t="shared" si="361"/>
        <v>36</v>
      </c>
      <c r="YZ46" s="18">
        <v>2</v>
      </c>
      <c r="ZA46" s="301" t="str">
        <f t="shared" si="362"/>
        <v/>
      </c>
      <c r="ZB46" s="301"/>
      <c r="ZC46" s="302" t="str">
        <f t="shared" si="363"/>
        <v/>
      </c>
      <c r="ZD46" s="349"/>
      <c r="ZE46" s="359"/>
      <c r="ZF46" s="18">
        <v>14</v>
      </c>
      <c r="ZG46" s="19" t="s">
        <v>1249</v>
      </c>
      <c r="ZH46" s="18">
        <f t="shared" si="535"/>
        <v>35</v>
      </c>
      <c r="ZI46" s="18">
        <f t="shared" si="365"/>
        <v>36</v>
      </c>
      <c r="ZJ46" s="18">
        <v>2</v>
      </c>
      <c r="ZK46" s="301" t="str">
        <f t="shared" si="366"/>
        <v/>
      </c>
      <c r="ZL46" s="301"/>
      <c r="ZM46" s="302" t="str">
        <f t="shared" si="367"/>
        <v/>
      </c>
      <c r="ZN46" s="349"/>
      <c r="ZO46" s="359"/>
      <c r="ZP46" s="18">
        <v>14</v>
      </c>
      <c r="ZQ46" s="19" t="s">
        <v>1249</v>
      </c>
      <c r="ZR46" s="18">
        <f t="shared" si="536"/>
        <v>35</v>
      </c>
      <c r="ZS46" s="18">
        <f t="shared" si="369"/>
        <v>36</v>
      </c>
      <c r="ZT46" s="18">
        <v>2</v>
      </c>
      <c r="ZU46" s="301" t="str">
        <f t="shared" si="370"/>
        <v/>
      </c>
      <c r="ZV46" s="301"/>
      <c r="ZW46" s="302" t="str">
        <f t="shared" si="371"/>
        <v/>
      </c>
      <c r="ZX46" s="349"/>
      <c r="ZY46" s="359"/>
      <c r="ZZ46" s="18">
        <v>14</v>
      </c>
      <c r="AAA46" s="19" t="s">
        <v>1249</v>
      </c>
      <c r="AAB46" s="18">
        <f t="shared" si="537"/>
        <v>35</v>
      </c>
      <c r="AAC46" s="18">
        <f t="shared" si="373"/>
        <v>36</v>
      </c>
      <c r="AAD46" s="18">
        <v>2</v>
      </c>
      <c r="AAE46" s="301" t="str">
        <f t="shared" si="374"/>
        <v/>
      </c>
      <c r="AAF46" s="301"/>
      <c r="AAG46" s="302" t="str">
        <f t="shared" si="375"/>
        <v/>
      </c>
      <c r="AAH46" s="349"/>
      <c r="AAI46" s="359"/>
      <c r="AAJ46" s="18">
        <v>14</v>
      </c>
      <c r="AAK46" s="19" t="s">
        <v>1249</v>
      </c>
      <c r="AAL46" s="18">
        <f t="shared" si="538"/>
        <v>35</v>
      </c>
      <c r="AAM46" s="18">
        <f t="shared" si="377"/>
        <v>36</v>
      </c>
      <c r="AAN46" s="18">
        <v>2</v>
      </c>
      <c r="AAO46" s="301" t="str">
        <f t="shared" si="378"/>
        <v/>
      </c>
      <c r="AAP46" s="301"/>
      <c r="AAQ46" s="302" t="str">
        <f t="shared" si="379"/>
        <v/>
      </c>
      <c r="AAR46" s="349"/>
      <c r="AAS46" s="359"/>
      <c r="AAT46" s="18">
        <v>14</v>
      </c>
      <c r="AAU46" s="19" t="s">
        <v>1249</v>
      </c>
      <c r="AAV46" s="18">
        <f t="shared" si="539"/>
        <v>35</v>
      </c>
      <c r="AAW46" s="18">
        <f t="shared" si="381"/>
        <v>36</v>
      </c>
      <c r="AAX46" s="18">
        <v>2</v>
      </c>
      <c r="AAY46" s="301" t="str">
        <f t="shared" si="382"/>
        <v/>
      </c>
      <c r="AAZ46" s="301"/>
      <c r="ABA46" s="302" t="str">
        <f t="shared" si="383"/>
        <v/>
      </c>
      <c r="ABB46" s="349"/>
      <c r="ABC46" s="359"/>
      <c r="ABD46" s="18">
        <v>14</v>
      </c>
      <c r="ABE46" s="19" t="s">
        <v>1249</v>
      </c>
      <c r="ABF46" s="18">
        <f t="shared" si="540"/>
        <v>35</v>
      </c>
      <c r="ABG46" s="18">
        <f t="shared" si="385"/>
        <v>36</v>
      </c>
      <c r="ABH46" s="18">
        <v>2</v>
      </c>
      <c r="ABI46" s="301" t="str">
        <f t="shared" si="386"/>
        <v/>
      </c>
      <c r="ABJ46" s="301"/>
      <c r="ABK46" s="302" t="str">
        <f t="shared" si="387"/>
        <v/>
      </c>
      <c r="ABL46" s="349"/>
      <c r="ABM46" s="359"/>
      <c r="ABN46" s="18">
        <v>14</v>
      </c>
      <c r="ABO46" s="19" t="s">
        <v>1249</v>
      </c>
      <c r="ABP46" s="18">
        <f t="shared" si="541"/>
        <v>35</v>
      </c>
      <c r="ABQ46" s="18">
        <f t="shared" si="389"/>
        <v>36</v>
      </c>
      <c r="ABR46" s="18">
        <v>2</v>
      </c>
      <c r="ABS46" s="301" t="str">
        <f t="shared" si="390"/>
        <v/>
      </c>
      <c r="ABT46" s="301"/>
      <c r="ABU46" s="302" t="str">
        <f t="shared" si="391"/>
        <v/>
      </c>
      <c r="ABV46" s="349"/>
      <c r="ABW46" s="359"/>
      <c r="ABX46" s="18">
        <v>14</v>
      </c>
      <c r="ABY46" s="19" t="s">
        <v>1249</v>
      </c>
      <c r="ABZ46" s="18">
        <f t="shared" si="542"/>
        <v>35</v>
      </c>
      <c r="ACA46" s="18">
        <f t="shared" si="393"/>
        <v>36</v>
      </c>
      <c r="ACB46" s="18">
        <v>2</v>
      </c>
      <c r="ACC46" s="301" t="str">
        <f t="shared" si="394"/>
        <v/>
      </c>
      <c r="ACD46" s="301"/>
      <c r="ACE46" s="302" t="str">
        <f t="shared" si="395"/>
        <v/>
      </c>
      <c r="ACF46" s="349"/>
      <c r="ACG46" s="359"/>
      <c r="ACH46" s="18">
        <v>14</v>
      </c>
      <c r="ACI46" s="19" t="s">
        <v>1249</v>
      </c>
      <c r="ACJ46" s="18">
        <f t="shared" si="543"/>
        <v>35</v>
      </c>
      <c r="ACK46" s="18">
        <f t="shared" si="397"/>
        <v>36</v>
      </c>
      <c r="ACL46" s="18">
        <v>2</v>
      </c>
      <c r="ACM46" s="301" t="str">
        <f t="shared" si="398"/>
        <v/>
      </c>
      <c r="ACN46" s="301"/>
      <c r="ACO46" s="302" t="str">
        <f t="shared" si="399"/>
        <v/>
      </c>
      <c r="ACP46" s="349"/>
      <c r="ACQ46" s="359"/>
      <c r="ACR46" s="18">
        <v>14</v>
      </c>
      <c r="ACS46" s="19" t="s">
        <v>1249</v>
      </c>
      <c r="ACT46" s="18">
        <f t="shared" si="544"/>
        <v>35</v>
      </c>
      <c r="ACU46" s="18">
        <f t="shared" si="401"/>
        <v>36</v>
      </c>
      <c r="ACV46" s="18">
        <v>2</v>
      </c>
      <c r="ACW46" s="301" t="str">
        <f t="shared" si="402"/>
        <v/>
      </c>
      <c r="ACX46" s="301"/>
      <c r="ACY46" s="302" t="str">
        <f t="shared" si="403"/>
        <v/>
      </c>
      <c r="ACZ46" s="349"/>
      <c r="ADA46" s="359"/>
      <c r="ADB46" s="18">
        <v>14</v>
      </c>
      <c r="ADC46" s="19" t="s">
        <v>1249</v>
      </c>
      <c r="ADD46" s="18">
        <f t="shared" si="545"/>
        <v>35</v>
      </c>
      <c r="ADE46" s="18">
        <f t="shared" si="405"/>
        <v>36</v>
      </c>
      <c r="ADF46" s="18">
        <v>2</v>
      </c>
      <c r="ADG46" s="301" t="str">
        <f t="shared" si="406"/>
        <v/>
      </c>
      <c r="ADH46" s="301"/>
      <c r="ADI46" s="302" t="str">
        <f t="shared" si="407"/>
        <v/>
      </c>
      <c r="ADJ46" s="349"/>
      <c r="ADK46" s="359"/>
      <c r="ADL46" s="18">
        <v>14</v>
      </c>
      <c r="ADM46" s="19" t="s">
        <v>1249</v>
      </c>
      <c r="ADN46" s="18">
        <f t="shared" si="546"/>
        <v>35</v>
      </c>
      <c r="ADO46" s="18">
        <f t="shared" si="409"/>
        <v>36</v>
      </c>
      <c r="ADP46" s="18">
        <v>2</v>
      </c>
      <c r="ADQ46" s="301" t="str">
        <f t="shared" si="410"/>
        <v/>
      </c>
      <c r="ADR46" s="301"/>
      <c r="ADS46" s="302" t="str">
        <f t="shared" si="411"/>
        <v/>
      </c>
      <c r="ADT46" s="349"/>
      <c r="ADU46" s="359"/>
      <c r="ADV46" s="18">
        <v>14</v>
      </c>
      <c r="ADW46" s="19" t="s">
        <v>1249</v>
      </c>
      <c r="ADX46" s="18">
        <f t="shared" si="547"/>
        <v>35</v>
      </c>
      <c r="ADY46" s="18">
        <f t="shared" si="413"/>
        <v>36</v>
      </c>
      <c r="ADZ46" s="18">
        <v>2</v>
      </c>
      <c r="AEA46" s="301" t="str">
        <f t="shared" si="414"/>
        <v/>
      </c>
      <c r="AEB46" s="301"/>
      <c r="AEC46" s="302" t="str">
        <f t="shared" si="415"/>
        <v/>
      </c>
      <c r="AED46" s="349"/>
      <c r="AEE46" s="359"/>
      <c r="AEF46" s="18">
        <v>14</v>
      </c>
      <c r="AEG46" s="19" t="s">
        <v>1249</v>
      </c>
      <c r="AEH46" s="18">
        <f t="shared" si="548"/>
        <v>35</v>
      </c>
      <c r="AEI46" s="18">
        <f t="shared" si="417"/>
        <v>36</v>
      </c>
      <c r="AEJ46" s="18">
        <v>2</v>
      </c>
      <c r="AEK46" s="301" t="str">
        <f t="shared" si="418"/>
        <v/>
      </c>
      <c r="AEL46" s="301"/>
      <c r="AEM46" s="302" t="str">
        <f t="shared" si="419"/>
        <v/>
      </c>
      <c r="AEN46" s="349"/>
      <c r="AEO46" s="359"/>
      <c r="AEP46" s="18">
        <v>14</v>
      </c>
      <c r="AEQ46" s="19" t="s">
        <v>1249</v>
      </c>
      <c r="AER46" s="18">
        <f t="shared" si="549"/>
        <v>35</v>
      </c>
      <c r="AES46" s="18">
        <f t="shared" si="421"/>
        <v>36</v>
      </c>
      <c r="AET46" s="18">
        <v>2</v>
      </c>
      <c r="AEU46" s="301" t="str">
        <f t="shared" si="422"/>
        <v/>
      </c>
      <c r="AEV46" s="301"/>
      <c r="AEW46" s="302" t="str">
        <f t="shared" si="423"/>
        <v/>
      </c>
      <c r="AEX46" s="349"/>
      <c r="AEY46" s="359"/>
      <c r="AEZ46" s="18">
        <v>14</v>
      </c>
      <c r="AFA46" s="19" t="s">
        <v>1249</v>
      </c>
      <c r="AFB46" s="18">
        <f t="shared" si="550"/>
        <v>35</v>
      </c>
      <c r="AFC46" s="18">
        <f t="shared" si="425"/>
        <v>36</v>
      </c>
      <c r="AFD46" s="18">
        <v>2</v>
      </c>
      <c r="AFE46" s="301" t="str">
        <f t="shared" si="426"/>
        <v/>
      </c>
      <c r="AFF46" s="301"/>
      <c r="AFG46" s="302" t="str">
        <f t="shared" si="427"/>
        <v/>
      </c>
      <c r="AFH46" s="349"/>
      <c r="AFI46" s="359"/>
      <c r="AFJ46" s="18">
        <v>14</v>
      </c>
      <c r="AFK46" s="19" t="s">
        <v>1249</v>
      </c>
      <c r="AFL46" s="18">
        <f t="shared" si="551"/>
        <v>35</v>
      </c>
      <c r="AFM46" s="18">
        <f t="shared" si="429"/>
        <v>36</v>
      </c>
      <c r="AFN46" s="18">
        <v>2</v>
      </c>
      <c r="AFO46" s="301" t="str">
        <f t="shared" si="430"/>
        <v/>
      </c>
      <c r="AFP46" s="301"/>
      <c r="AFQ46" s="302" t="str">
        <f t="shared" si="431"/>
        <v/>
      </c>
      <c r="AFR46" s="349"/>
      <c r="AFS46" s="359"/>
      <c r="AFT46" s="18">
        <v>14</v>
      </c>
      <c r="AFU46" s="19" t="s">
        <v>1249</v>
      </c>
      <c r="AFV46" s="18">
        <f t="shared" si="552"/>
        <v>35</v>
      </c>
      <c r="AFW46" s="18">
        <f t="shared" si="433"/>
        <v>36</v>
      </c>
      <c r="AFX46" s="18">
        <v>2</v>
      </c>
      <c r="AFY46" s="301" t="str">
        <f t="shared" si="434"/>
        <v/>
      </c>
      <c r="AFZ46" s="301"/>
      <c r="AGA46" s="302" t="str">
        <f t="shared" si="435"/>
        <v/>
      </c>
      <c r="AGB46" s="349"/>
      <c r="AGC46" s="359"/>
      <c r="AGD46" s="18">
        <v>14</v>
      </c>
      <c r="AGE46" s="19" t="s">
        <v>1249</v>
      </c>
      <c r="AGF46" s="18">
        <f t="shared" si="553"/>
        <v>35</v>
      </c>
      <c r="AGG46" s="18">
        <f t="shared" si="437"/>
        <v>36</v>
      </c>
      <c r="AGH46" s="18">
        <v>2</v>
      </c>
      <c r="AGI46" s="301" t="str">
        <f t="shared" si="438"/>
        <v/>
      </c>
      <c r="AGJ46" s="301"/>
      <c r="AGK46" s="302" t="str">
        <f t="shared" si="439"/>
        <v/>
      </c>
      <c r="AGL46" s="349"/>
      <c r="AGM46" s="359"/>
      <c r="AGN46" s="18">
        <v>14</v>
      </c>
      <c r="AGO46" s="19" t="s">
        <v>1249</v>
      </c>
      <c r="AGP46" s="18">
        <f t="shared" si="554"/>
        <v>35</v>
      </c>
      <c r="AGQ46" s="18">
        <f t="shared" si="441"/>
        <v>36</v>
      </c>
      <c r="AGR46" s="18">
        <v>2</v>
      </c>
      <c r="AGS46" s="301" t="str">
        <f t="shared" si="442"/>
        <v/>
      </c>
      <c r="AGT46" s="301"/>
      <c r="AGU46" s="302" t="str">
        <f t="shared" si="443"/>
        <v/>
      </c>
      <c r="AGV46" s="349"/>
      <c r="AGW46" s="359"/>
      <c r="AGX46" s="18">
        <v>14</v>
      </c>
      <c r="AGY46" s="19" t="s">
        <v>1249</v>
      </c>
      <c r="AGZ46" s="18">
        <f t="shared" si="555"/>
        <v>35</v>
      </c>
      <c r="AHA46" s="18">
        <f t="shared" si="445"/>
        <v>36</v>
      </c>
      <c r="AHB46" s="18">
        <v>2</v>
      </c>
      <c r="AHC46" s="301" t="str">
        <f t="shared" si="446"/>
        <v/>
      </c>
      <c r="AHD46" s="301"/>
      <c r="AHE46" s="302" t="str">
        <f t="shared" si="447"/>
        <v/>
      </c>
      <c r="AHF46" s="349"/>
      <c r="AHG46" s="359"/>
      <c r="AHH46" s="18">
        <v>14</v>
      </c>
      <c r="AHI46" s="19" t="s">
        <v>1249</v>
      </c>
      <c r="AHJ46" s="18">
        <f t="shared" si="556"/>
        <v>35</v>
      </c>
      <c r="AHK46" s="18">
        <f t="shared" si="449"/>
        <v>36</v>
      </c>
      <c r="AHL46" s="18">
        <v>2</v>
      </c>
      <c r="AHM46" s="301" t="str">
        <f t="shared" si="450"/>
        <v/>
      </c>
      <c r="AHN46" s="301"/>
      <c r="AHO46" s="302" t="str">
        <f t="shared" si="451"/>
        <v/>
      </c>
      <c r="AHP46" s="349"/>
      <c r="AHQ46" s="359"/>
      <c r="AHR46" s="18">
        <v>14</v>
      </c>
      <c r="AHS46" s="19" t="s">
        <v>1249</v>
      </c>
      <c r="AHT46" s="18">
        <f t="shared" si="557"/>
        <v>35</v>
      </c>
      <c r="AHU46" s="18">
        <f t="shared" si="453"/>
        <v>36</v>
      </c>
      <c r="AHV46" s="18">
        <v>2</v>
      </c>
      <c r="AHW46" s="301" t="str">
        <f t="shared" si="454"/>
        <v/>
      </c>
      <c r="AHX46" s="301"/>
      <c r="AHY46" s="302" t="str">
        <f t="shared" si="455"/>
        <v/>
      </c>
      <c r="AHZ46" s="349"/>
      <c r="AIA46" s="359"/>
      <c r="AIB46" s="18">
        <v>14</v>
      </c>
      <c r="AIC46" s="19" t="s">
        <v>1249</v>
      </c>
      <c r="AID46" s="18">
        <f t="shared" si="558"/>
        <v>35</v>
      </c>
      <c r="AIE46" s="18">
        <f t="shared" si="457"/>
        <v>36</v>
      </c>
      <c r="AIF46" s="18">
        <v>2</v>
      </c>
      <c r="AIG46" s="301" t="str">
        <f t="shared" si="458"/>
        <v/>
      </c>
      <c r="AIH46" s="301"/>
      <c r="AII46" s="302" t="str">
        <f t="shared" si="459"/>
        <v/>
      </c>
      <c r="AIJ46" s="349"/>
      <c r="AIK46" s="359"/>
      <c r="AIL46" s="18">
        <v>14</v>
      </c>
      <c r="AIM46" s="19" t="s">
        <v>1249</v>
      </c>
      <c r="AIN46" s="18">
        <f t="shared" si="559"/>
        <v>35</v>
      </c>
      <c r="AIO46" s="18">
        <f t="shared" si="461"/>
        <v>36</v>
      </c>
      <c r="AIP46" s="18">
        <v>2</v>
      </c>
      <c r="AIQ46" s="301" t="str">
        <f t="shared" si="462"/>
        <v/>
      </c>
      <c r="AIR46" s="301"/>
      <c r="AIS46" s="302" t="str">
        <f t="shared" si="463"/>
        <v/>
      </c>
      <c r="AIT46" s="349"/>
      <c r="AIU46" s="359"/>
      <c r="AIV46" s="18">
        <v>14</v>
      </c>
      <c r="AIW46" s="19" t="s">
        <v>1249</v>
      </c>
      <c r="AIX46" s="18">
        <f t="shared" si="560"/>
        <v>35</v>
      </c>
      <c r="AIY46" s="18">
        <f t="shared" si="465"/>
        <v>36</v>
      </c>
      <c r="AIZ46" s="18">
        <v>2</v>
      </c>
      <c r="AJA46" s="301" t="str">
        <f t="shared" si="466"/>
        <v/>
      </c>
      <c r="AJB46" s="301"/>
      <c r="AJC46" s="302" t="str">
        <f t="shared" si="467"/>
        <v/>
      </c>
      <c r="AJD46" s="349"/>
    </row>
    <row r="47" spans="1:940">
      <c r="A47">
        <f>I46</f>
        <v>0</v>
      </c>
      <c r="B47" s="2">
        <v>16</v>
      </c>
      <c r="C47" s="3" t="s">
        <v>1055</v>
      </c>
      <c r="D47" s="2">
        <f t="shared" si="561"/>
        <v>37</v>
      </c>
      <c r="E47" s="2">
        <f t="shared" ref="E47:E52" si="563">D47+F47-1</f>
        <v>38</v>
      </c>
      <c r="F47" s="2">
        <v>2</v>
      </c>
      <c r="G47" s="255" t="str">
        <f t="shared" si="468"/>
        <v/>
      </c>
      <c r="H47" s="255"/>
      <c r="I47" s="231">
        <f t="shared" si="96"/>
        <v>0</v>
      </c>
      <c r="J47" s="205"/>
      <c r="K47" s="39">
        <f>IF(K42=0,0,IF(AND(A47&gt;1,A53=1),A47-1,IF(AND(A47=1,A53=1),S46,A47)))</f>
        <v>0</v>
      </c>
      <c r="L47" s="2">
        <v>15</v>
      </c>
      <c r="M47" s="3" t="s">
        <v>1055</v>
      </c>
      <c r="N47" s="2">
        <f>IF(AND(K47=A47,K42=A42),D47,IF(AND(K47=A47,K42&lt;&gt;A42),O46+1,IF(AND(K47=A47-1,K42=A42),E56+(I56*4)+1,O46+1)))</f>
        <v>37</v>
      </c>
      <c r="O47" s="2">
        <f t="shared" si="97"/>
        <v>38</v>
      </c>
      <c r="P47" s="2">
        <v>2</v>
      </c>
      <c r="Q47" s="255" t="str">
        <f t="shared" si="98"/>
        <v/>
      </c>
      <c r="R47" s="255"/>
      <c r="S47" s="231" t="str">
        <f t="shared" si="99"/>
        <v/>
      </c>
      <c r="T47" s="344"/>
      <c r="U47" s="39">
        <f t="shared" ref="U47" si="564">IF(U42=0,0,IF(AND(K47&gt;1,K53=1),K47-1,IF(AND(K47=1,K53=1),AC46,K47)))</f>
        <v>0</v>
      </c>
      <c r="V47" s="2">
        <v>15</v>
      </c>
      <c r="W47" s="3" t="s">
        <v>1055</v>
      </c>
      <c r="X47" s="2">
        <f t="shared" ref="X47" si="565">IF(AND(U47=K47,U42=K42),N47,IF(AND(U47=K47,U42&lt;&gt;K42),Y46+1,IF(AND(U47=K47-1,U42=K42),O56+(S56*4)+1,Y46+1)))</f>
        <v>37</v>
      </c>
      <c r="Y47" s="2">
        <f t="shared" si="101"/>
        <v>38</v>
      </c>
      <c r="Z47" s="2">
        <v>2</v>
      </c>
      <c r="AA47" s="255" t="str">
        <f t="shared" si="102"/>
        <v/>
      </c>
      <c r="AB47" s="255"/>
      <c r="AC47" s="231" t="str">
        <f t="shared" si="103"/>
        <v/>
      </c>
      <c r="AD47" s="344"/>
      <c r="AE47" s="39">
        <f t="shared" ref="AE47" si="566">IF(AE42=0,0,IF(AND(U47&gt;1,U53=1),U47-1,IF(AND(U47=1,U53=1),AM46,U47)))</f>
        <v>0</v>
      </c>
      <c r="AF47" s="2">
        <v>15</v>
      </c>
      <c r="AG47" s="3" t="s">
        <v>1055</v>
      </c>
      <c r="AH47" s="2">
        <f t="shared" ref="AH47" si="567">IF(AND(AE47=U47,AE42=U42),X47,IF(AND(AE47=U47,AE42&lt;&gt;U42),AI46+1,IF(AND(AE47=U47-1,AE42=U42),Y56+(AC56*4)+1,AI46+1)))</f>
        <v>37</v>
      </c>
      <c r="AI47" s="2">
        <f t="shared" si="105"/>
        <v>38</v>
      </c>
      <c r="AJ47" s="2">
        <v>2</v>
      </c>
      <c r="AK47" s="255" t="str">
        <f t="shared" si="106"/>
        <v/>
      </c>
      <c r="AL47" s="255"/>
      <c r="AM47" s="231" t="str">
        <f t="shared" si="107"/>
        <v/>
      </c>
      <c r="AN47" s="344"/>
      <c r="AO47" s="39">
        <f t="shared" ref="AO47" si="568">IF(AO42=0,0,IF(AND(AE47&gt;1,AE53=1),AE47-1,IF(AND(AE47=1,AE53=1),AW46,AE47)))</f>
        <v>0</v>
      </c>
      <c r="AP47" s="2">
        <v>15</v>
      </c>
      <c r="AQ47" s="3" t="s">
        <v>1055</v>
      </c>
      <c r="AR47" s="2">
        <f t="shared" ref="AR47" si="569">IF(AND(AO47=AE47,AO42=AE42),AH47,IF(AND(AO47=AE47,AO42&lt;&gt;AE42),AS46+1,IF(AND(AO47=AE47-1,AO42=AE42),AI56+(AM56*4)+1,AS46+1)))</f>
        <v>37</v>
      </c>
      <c r="AS47" s="2">
        <f t="shared" si="109"/>
        <v>38</v>
      </c>
      <c r="AT47" s="2">
        <v>2</v>
      </c>
      <c r="AU47" s="255" t="str">
        <f t="shared" si="110"/>
        <v/>
      </c>
      <c r="AV47" s="255"/>
      <c r="AW47" s="231" t="str">
        <f t="shared" si="111"/>
        <v/>
      </c>
      <c r="AX47" s="344"/>
      <c r="AY47" s="39">
        <f t="shared" ref="AY47" si="570">IF(AY42=0,0,IF(AND(AO47&gt;1,AO53=1),AO47-1,IF(AND(AO47=1,AO53=1),BG46,AO47)))</f>
        <v>0</v>
      </c>
      <c r="AZ47" s="2">
        <v>15</v>
      </c>
      <c r="BA47" s="3" t="s">
        <v>1055</v>
      </c>
      <c r="BB47" s="2">
        <f t="shared" ref="BB47" si="571">IF(AND(AY47=AO47,AY42=AO42),AR47,IF(AND(AY47=AO47,AY42&lt;&gt;AO42),BC46+1,IF(AND(AY47=AO47-1,AY42=AO42),AS56+(AW56*4)+1,BC46+1)))</f>
        <v>37</v>
      </c>
      <c r="BC47" s="2">
        <f t="shared" si="113"/>
        <v>38</v>
      </c>
      <c r="BD47" s="2">
        <v>2</v>
      </c>
      <c r="BE47" s="255" t="str">
        <f t="shared" si="114"/>
        <v/>
      </c>
      <c r="BF47" s="255"/>
      <c r="BG47" s="231" t="str">
        <f t="shared" si="115"/>
        <v/>
      </c>
      <c r="BH47" s="344"/>
      <c r="BI47" s="39">
        <f t="shared" ref="BI47" si="572">IF(BI42=0,0,IF(AND(AY47&gt;1,AY53=1),AY47-1,IF(AND(AY47=1,AY53=1),BQ46,AY47)))</f>
        <v>0</v>
      </c>
      <c r="BJ47" s="2">
        <v>15</v>
      </c>
      <c r="BK47" s="3" t="s">
        <v>1055</v>
      </c>
      <c r="BL47" s="2">
        <f t="shared" ref="BL47" si="573">IF(AND(BI47=AY47,BI42=AY42),BB47,IF(AND(BI47=AY47,BI42&lt;&gt;AY42),BM46+1,IF(AND(BI47=AY47-1,BI42=AY42),BC56+(BG56*4)+1,BM46+1)))</f>
        <v>37</v>
      </c>
      <c r="BM47" s="2">
        <f t="shared" si="117"/>
        <v>38</v>
      </c>
      <c r="BN47" s="2">
        <v>2</v>
      </c>
      <c r="BO47" s="255" t="str">
        <f t="shared" si="118"/>
        <v/>
      </c>
      <c r="BP47" s="255"/>
      <c r="BQ47" s="231" t="str">
        <f t="shared" si="119"/>
        <v/>
      </c>
      <c r="BR47" s="344"/>
      <c r="BS47" s="39">
        <f t="shared" ref="BS47" si="574">IF(BS42=0,0,IF(AND(BI47&gt;1,BI53=1),BI47-1,IF(AND(BI47=1,BI53=1),CA46,BI47)))</f>
        <v>0</v>
      </c>
      <c r="BT47" s="2">
        <v>15</v>
      </c>
      <c r="BU47" s="3" t="s">
        <v>1055</v>
      </c>
      <c r="BV47" s="2">
        <f t="shared" ref="BV47" si="575">IF(AND(BS47=BI47,BS42=BI42),BL47,IF(AND(BS47=BI47,BS42&lt;&gt;BI42),BW46+1,IF(AND(BS47=BI47-1,BS42=BI42),BM56+(BQ56*4)+1,BW46+1)))</f>
        <v>37</v>
      </c>
      <c r="BW47" s="2">
        <f t="shared" si="121"/>
        <v>38</v>
      </c>
      <c r="BX47" s="2">
        <v>2</v>
      </c>
      <c r="BY47" s="255" t="str">
        <f t="shared" si="122"/>
        <v/>
      </c>
      <c r="BZ47" s="255"/>
      <c r="CA47" s="231" t="str">
        <f t="shared" si="123"/>
        <v/>
      </c>
      <c r="CB47" s="344"/>
      <c r="CC47" s="39">
        <f t="shared" ref="CC47" si="576">IF(CC42=0,0,IF(AND(BS47&gt;1,BS53=1),BS47-1,IF(AND(BS47=1,BS53=1),CK46,BS47)))</f>
        <v>0</v>
      </c>
      <c r="CD47" s="2">
        <v>15</v>
      </c>
      <c r="CE47" s="3" t="s">
        <v>1055</v>
      </c>
      <c r="CF47" s="2">
        <f t="shared" ref="CF47" si="577">IF(AND(CC47=BS47,CC42=BS42),BV47,IF(AND(CC47=BS47,CC42&lt;&gt;BS42),CG46+1,IF(AND(CC47=BS47-1,CC42=BS42),BW56+(CA56*4)+1,CG46+1)))</f>
        <v>37</v>
      </c>
      <c r="CG47" s="2">
        <f t="shared" si="125"/>
        <v>38</v>
      </c>
      <c r="CH47" s="2">
        <v>2</v>
      </c>
      <c r="CI47" s="255" t="str">
        <f t="shared" si="126"/>
        <v/>
      </c>
      <c r="CJ47" s="255"/>
      <c r="CK47" s="231" t="str">
        <f t="shared" si="127"/>
        <v/>
      </c>
      <c r="CL47" s="344"/>
      <c r="CM47" s="39">
        <f t="shared" ref="CM47" si="578">IF(CM42=0,0,IF(AND(CC47&gt;1,CC53=1),CC47-1,IF(AND(CC47=1,CC53=1),CU46,CC47)))</f>
        <v>0</v>
      </c>
      <c r="CN47" s="2">
        <v>15</v>
      </c>
      <c r="CO47" s="3" t="s">
        <v>1055</v>
      </c>
      <c r="CP47" s="2">
        <f t="shared" ref="CP47" si="579">IF(AND(CM47=CC47,CM42=CC42),CF47,IF(AND(CM47=CC47,CM42&lt;&gt;CC42),CQ46+1,IF(AND(CM47=CC47-1,CM42=CC42),CG56+(CK56*4)+1,CQ46+1)))</f>
        <v>37</v>
      </c>
      <c r="CQ47" s="2">
        <f t="shared" si="129"/>
        <v>38</v>
      </c>
      <c r="CR47" s="2">
        <v>2</v>
      </c>
      <c r="CS47" s="255" t="str">
        <f t="shared" si="130"/>
        <v/>
      </c>
      <c r="CT47" s="255"/>
      <c r="CU47" s="231" t="str">
        <f t="shared" si="131"/>
        <v/>
      </c>
      <c r="CV47" s="344"/>
      <c r="CW47" s="39">
        <f t="shared" ref="CW47" si="580">IF(CW42=0,0,IF(AND(CM47&gt;1,CM53=1),CM47-1,IF(AND(CM47=1,CM53=1),DE46,CM47)))</f>
        <v>0</v>
      </c>
      <c r="CX47" s="2">
        <v>15</v>
      </c>
      <c r="CY47" s="3" t="s">
        <v>1055</v>
      </c>
      <c r="CZ47" s="2">
        <f t="shared" ref="CZ47" si="581">IF(AND(CW47=CM47,CW42=CM42),CP47,IF(AND(CW47=CM47,CW42&lt;&gt;CM42),DA46+1,IF(AND(CW47=CM47-1,CW42=CM42),CQ56+(CU56*4)+1,DA46+1)))</f>
        <v>37</v>
      </c>
      <c r="DA47" s="2">
        <f t="shared" si="133"/>
        <v>38</v>
      </c>
      <c r="DB47" s="2">
        <v>2</v>
      </c>
      <c r="DC47" s="255" t="str">
        <f t="shared" si="134"/>
        <v/>
      </c>
      <c r="DD47" s="255"/>
      <c r="DE47" s="231" t="str">
        <f t="shared" si="135"/>
        <v/>
      </c>
      <c r="DF47" s="344"/>
      <c r="DG47" s="39">
        <f t="shared" ref="DG47" si="582">IF(DG42=0,0,IF(AND(CW47&gt;1,CW53=1),CW47-1,IF(AND(CW47=1,CW53=1),DO46,CW47)))</f>
        <v>0</v>
      </c>
      <c r="DH47" s="2">
        <v>15</v>
      </c>
      <c r="DI47" s="3" t="s">
        <v>1055</v>
      </c>
      <c r="DJ47" s="2">
        <f t="shared" ref="DJ47" si="583">IF(AND(DG47=CW47,DG42=CW42),CZ47,IF(AND(DG47=CW47,DG42&lt;&gt;CW42),DK46+1,IF(AND(DG47=CW47-1,DG42=CW42),DA56+(DE56*4)+1,DK46+1)))</f>
        <v>37</v>
      </c>
      <c r="DK47" s="2">
        <f t="shared" si="137"/>
        <v>38</v>
      </c>
      <c r="DL47" s="2">
        <v>2</v>
      </c>
      <c r="DM47" s="255" t="str">
        <f t="shared" si="138"/>
        <v/>
      </c>
      <c r="DN47" s="255"/>
      <c r="DO47" s="231" t="str">
        <f t="shared" si="139"/>
        <v/>
      </c>
      <c r="DP47" s="344"/>
      <c r="DQ47" s="39">
        <f t="shared" ref="DQ47" si="584">IF(DQ42=0,0,IF(AND(DG47&gt;1,DG53=1),DG47-1,IF(AND(DG47=1,DG53=1),DY46,DG47)))</f>
        <v>0</v>
      </c>
      <c r="DR47" s="2">
        <v>15</v>
      </c>
      <c r="DS47" s="3" t="s">
        <v>1055</v>
      </c>
      <c r="DT47" s="2">
        <f t="shared" ref="DT47" si="585">IF(AND(DQ47=DG47,DQ42=DG42),DJ47,IF(AND(DQ47=DG47,DQ42&lt;&gt;DG42),DU46+1,IF(AND(DQ47=DG47-1,DQ42=DG42),DK56+(DO56*4)+1,DU46+1)))</f>
        <v>37</v>
      </c>
      <c r="DU47" s="2">
        <f t="shared" si="141"/>
        <v>38</v>
      </c>
      <c r="DV47" s="2">
        <v>2</v>
      </c>
      <c r="DW47" s="255" t="str">
        <f t="shared" si="142"/>
        <v/>
      </c>
      <c r="DX47" s="255"/>
      <c r="DY47" s="231" t="str">
        <f t="shared" si="143"/>
        <v/>
      </c>
      <c r="DZ47" s="344"/>
      <c r="EA47" s="39">
        <f t="shared" ref="EA47" si="586">IF(EA42=0,0,IF(AND(DQ47&gt;1,DQ53=1),DQ47-1,IF(AND(DQ47=1,DQ53=1),EI46,DQ47)))</f>
        <v>0</v>
      </c>
      <c r="EB47" s="2">
        <v>15</v>
      </c>
      <c r="EC47" s="3" t="s">
        <v>1055</v>
      </c>
      <c r="ED47" s="2">
        <f t="shared" ref="ED47" si="587">IF(AND(EA47=DQ47,EA42=DQ42),DT47,IF(AND(EA47=DQ47,EA42&lt;&gt;DQ42),EE46+1,IF(AND(EA47=DQ47-1,EA42=DQ42),DU56+(DY56*4)+1,EE46+1)))</f>
        <v>37</v>
      </c>
      <c r="EE47" s="2">
        <f t="shared" si="145"/>
        <v>38</v>
      </c>
      <c r="EF47" s="2">
        <v>2</v>
      </c>
      <c r="EG47" s="255" t="str">
        <f t="shared" si="146"/>
        <v/>
      </c>
      <c r="EH47" s="255"/>
      <c r="EI47" s="231" t="str">
        <f t="shared" si="147"/>
        <v/>
      </c>
      <c r="EJ47" s="344"/>
      <c r="EK47" s="39">
        <f t="shared" ref="EK47" si="588">IF(EK42=0,0,IF(AND(EA47&gt;1,EA53=1),EA47-1,IF(AND(EA47=1,EA53=1),ES46,EA47)))</f>
        <v>0</v>
      </c>
      <c r="EL47" s="2">
        <v>15</v>
      </c>
      <c r="EM47" s="3" t="s">
        <v>1055</v>
      </c>
      <c r="EN47" s="2">
        <f t="shared" ref="EN47" si="589">IF(AND(EK47=EA47,EK42=EA42),ED47,IF(AND(EK47=EA47,EK42&lt;&gt;EA42),EO46+1,IF(AND(EK47=EA47-1,EK42=EA42),EE56+(EI56*4)+1,EO46+1)))</f>
        <v>37</v>
      </c>
      <c r="EO47" s="2">
        <f t="shared" si="149"/>
        <v>38</v>
      </c>
      <c r="EP47" s="2">
        <v>2</v>
      </c>
      <c r="EQ47" s="255" t="str">
        <f t="shared" si="150"/>
        <v/>
      </c>
      <c r="ER47" s="255"/>
      <c r="ES47" s="231" t="str">
        <f t="shared" si="151"/>
        <v/>
      </c>
      <c r="ET47" s="344"/>
      <c r="EU47" s="39">
        <f t="shared" ref="EU47" si="590">IF(EU42=0,0,IF(AND(EK47&gt;1,EK53=1),EK47-1,IF(AND(EK47=1,EK53=1),FC46,EK47)))</f>
        <v>0</v>
      </c>
      <c r="EV47" s="2">
        <v>15</v>
      </c>
      <c r="EW47" s="3" t="s">
        <v>1055</v>
      </c>
      <c r="EX47" s="2">
        <f t="shared" ref="EX47" si="591">IF(AND(EU47=EK47,EU42=EK42),EN47,IF(AND(EU47=EK47,EU42&lt;&gt;EK42),EY46+1,IF(AND(EU47=EK47-1,EU42=EK42),EO56+(ES56*4)+1,EY46+1)))</f>
        <v>37</v>
      </c>
      <c r="EY47" s="2">
        <f t="shared" si="153"/>
        <v>38</v>
      </c>
      <c r="EZ47" s="2">
        <v>2</v>
      </c>
      <c r="FA47" s="255" t="str">
        <f t="shared" si="154"/>
        <v/>
      </c>
      <c r="FB47" s="255"/>
      <c r="FC47" s="231" t="str">
        <f t="shared" si="155"/>
        <v/>
      </c>
      <c r="FD47" s="344"/>
      <c r="FE47" s="39">
        <f t="shared" ref="FE47" si="592">IF(FE42=0,0,IF(AND(EU47&gt;1,EU53=1),EU47-1,IF(AND(EU47=1,EU53=1),FM46,EU47)))</f>
        <v>0</v>
      </c>
      <c r="FF47" s="2">
        <v>15</v>
      </c>
      <c r="FG47" s="3" t="s">
        <v>1055</v>
      </c>
      <c r="FH47" s="2">
        <f t="shared" ref="FH47" si="593">IF(AND(FE47=EU47,FE42=EU42),EX47,IF(AND(FE47=EU47,FE42&lt;&gt;EU42),FI46+1,IF(AND(FE47=EU47-1,FE42=EU42),EY56+(FC56*4)+1,FI46+1)))</f>
        <v>37</v>
      </c>
      <c r="FI47" s="2">
        <f t="shared" si="157"/>
        <v>38</v>
      </c>
      <c r="FJ47" s="2">
        <v>2</v>
      </c>
      <c r="FK47" s="255" t="str">
        <f t="shared" si="158"/>
        <v/>
      </c>
      <c r="FL47" s="255"/>
      <c r="FM47" s="231" t="str">
        <f t="shared" si="159"/>
        <v/>
      </c>
      <c r="FN47" s="344"/>
      <c r="FO47" s="39">
        <f t="shared" ref="FO47" si="594">IF(FO42=0,0,IF(AND(FE47&gt;1,FE53=1),FE47-1,IF(AND(FE47=1,FE53=1),FW46,FE47)))</f>
        <v>0</v>
      </c>
      <c r="FP47" s="2">
        <v>15</v>
      </c>
      <c r="FQ47" s="3" t="s">
        <v>1055</v>
      </c>
      <c r="FR47" s="2">
        <f t="shared" ref="FR47" si="595">IF(AND(FO47=FE47,FO42=FE42),FH47,IF(AND(FO47=FE47,FO42&lt;&gt;FE42),FS46+1,IF(AND(FO47=FE47-1,FO42=FE42),FI56+(FM56*4)+1,FS46+1)))</f>
        <v>37</v>
      </c>
      <c r="FS47" s="2">
        <f t="shared" si="161"/>
        <v>38</v>
      </c>
      <c r="FT47" s="2">
        <v>2</v>
      </c>
      <c r="FU47" s="255" t="str">
        <f t="shared" si="162"/>
        <v/>
      </c>
      <c r="FV47" s="255"/>
      <c r="FW47" s="231" t="str">
        <f t="shared" si="163"/>
        <v/>
      </c>
      <c r="FX47" s="344"/>
      <c r="FY47" s="39">
        <f t="shared" ref="FY47" si="596">IF(FY42=0,0,IF(AND(FO47&gt;1,FO53=1),FO47-1,IF(AND(FO47=1,FO53=1),GG46,FO47)))</f>
        <v>0</v>
      </c>
      <c r="FZ47" s="2">
        <v>15</v>
      </c>
      <c r="GA47" s="3" t="s">
        <v>1055</v>
      </c>
      <c r="GB47" s="2">
        <f t="shared" ref="GB47" si="597">IF(AND(FY47=FO47,FY42=FO42),FR47,IF(AND(FY47=FO47,FY42&lt;&gt;FO42),GC46+1,IF(AND(FY47=FO47-1,FY42=FO42),FS56+(FW56*4)+1,GC46+1)))</f>
        <v>37</v>
      </c>
      <c r="GC47" s="2">
        <f t="shared" si="165"/>
        <v>38</v>
      </c>
      <c r="GD47" s="2">
        <v>2</v>
      </c>
      <c r="GE47" s="255" t="str">
        <f t="shared" si="166"/>
        <v/>
      </c>
      <c r="GF47" s="255"/>
      <c r="GG47" s="231" t="str">
        <f t="shared" si="167"/>
        <v/>
      </c>
      <c r="GH47" s="344"/>
      <c r="GI47" s="39">
        <f t="shared" ref="GI47" si="598">IF(GI42=0,0,IF(AND(FY47&gt;1,FY53=1),FY47-1,IF(AND(FY47=1,FY53=1),GQ46,FY47)))</f>
        <v>0</v>
      </c>
      <c r="GJ47" s="2">
        <v>15</v>
      </c>
      <c r="GK47" s="3" t="s">
        <v>1055</v>
      </c>
      <c r="GL47" s="2">
        <f t="shared" ref="GL47" si="599">IF(AND(GI47=FY47,GI42=FY42),GB47,IF(AND(GI47=FY47,GI42&lt;&gt;FY42),GM46+1,IF(AND(GI47=FY47-1,GI42=FY42),GC56+(GG56*4)+1,GM46+1)))</f>
        <v>37</v>
      </c>
      <c r="GM47" s="2">
        <f t="shared" si="169"/>
        <v>38</v>
      </c>
      <c r="GN47" s="2">
        <v>2</v>
      </c>
      <c r="GO47" s="255" t="str">
        <f t="shared" si="170"/>
        <v/>
      </c>
      <c r="GP47" s="255"/>
      <c r="GQ47" s="231" t="str">
        <f t="shared" si="171"/>
        <v/>
      </c>
      <c r="GR47" s="344"/>
      <c r="GS47" s="39">
        <f t="shared" ref="GS47" si="600">IF(GS42=0,0,IF(AND(GI47&gt;1,GI53=1),GI47-1,IF(AND(GI47=1,GI53=1),HA46,GI47)))</f>
        <v>0</v>
      </c>
      <c r="GT47" s="2">
        <v>15</v>
      </c>
      <c r="GU47" s="3" t="s">
        <v>1055</v>
      </c>
      <c r="GV47" s="2">
        <f t="shared" ref="GV47" si="601">IF(AND(GS47=GI47,GS42=GI42),GL47,IF(AND(GS47=GI47,GS42&lt;&gt;GI42),GW46+1,IF(AND(GS47=GI47-1,GS42=GI42),GM56+(GQ56*4)+1,GW46+1)))</f>
        <v>37</v>
      </c>
      <c r="GW47" s="2">
        <f t="shared" si="173"/>
        <v>38</v>
      </c>
      <c r="GX47" s="2">
        <v>2</v>
      </c>
      <c r="GY47" s="255" t="str">
        <f t="shared" si="174"/>
        <v/>
      </c>
      <c r="GZ47" s="255"/>
      <c r="HA47" s="231" t="str">
        <f t="shared" si="175"/>
        <v/>
      </c>
      <c r="HB47" s="344"/>
      <c r="HC47" s="39">
        <f t="shared" ref="HC47" si="602">IF(HC42=0,0,IF(AND(GS47&gt;1,GS53=1),GS47-1,IF(AND(GS47=1,GS53=1),HK46,GS47)))</f>
        <v>0</v>
      </c>
      <c r="HD47" s="2">
        <v>15</v>
      </c>
      <c r="HE47" s="3" t="s">
        <v>1055</v>
      </c>
      <c r="HF47" s="2">
        <f t="shared" ref="HF47" si="603">IF(AND(HC47=GS47,HC42=GS42),GV47,IF(AND(HC47=GS47,HC42&lt;&gt;GS42),HG46+1,IF(AND(HC47=GS47-1,HC42=GS42),GW56+(HA56*4)+1,HG46+1)))</f>
        <v>37</v>
      </c>
      <c r="HG47" s="2">
        <f t="shared" si="177"/>
        <v>38</v>
      </c>
      <c r="HH47" s="2">
        <v>2</v>
      </c>
      <c r="HI47" s="255" t="str">
        <f t="shared" si="178"/>
        <v/>
      </c>
      <c r="HJ47" s="255"/>
      <c r="HK47" s="231" t="str">
        <f t="shared" si="179"/>
        <v/>
      </c>
      <c r="HL47" s="344"/>
      <c r="HM47" s="39">
        <f t="shared" ref="HM47" si="604">IF(HM42=0,0,IF(AND(HC47&gt;1,HC53=1),HC47-1,IF(AND(HC47=1,HC53=1),HU46,HC47)))</f>
        <v>0</v>
      </c>
      <c r="HN47" s="2">
        <v>15</v>
      </c>
      <c r="HO47" s="3" t="s">
        <v>1055</v>
      </c>
      <c r="HP47" s="2">
        <f t="shared" ref="HP47" si="605">IF(AND(HM47=HC47,HM42=HC42),HF47,IF(AND(HM47=HC47,HM42&lt;&gt;HC42),HQ46+1,IF(AND(HM47=HC47-1,HM42=HC42),HG56+(HK56*4)+1,HQ46+1)))</f>
        <v>37</v>
      </c>
      <c r="HQ47" s="2">
        <f t="shared" si="181"/>
        <v>38</v>
      </c>
      <c r="HR47" s="2">
        <v>2</v>
      </c>
      <c r="HS47" s="255" t="str">
        <f t="shared" si="182"/>
        <v/>
      </c>
      <c r="HT47" s="255"/>
      <c r="HU47" s="231" t="str">
        <f t="shared" si="183"/>
        <v/>
      </c>
      <c r="HV47" s="344"/>
      <c r="HW47" s="39">
        <f t="shared" ref="HW47" si="606">IF(HW42=0,0,IF(AND(HM47&gt;1,HM53=1),HM47-1,IF(AND(HM47=1,HM53=1),IE46,HM47)))</f>
        <v>0</v>
      </c>
      <c r="HX47" s="2">
        <v>15</v>
      </c>
      <c r="HY47" s="3" t="s">
        <v>1055</v>
      </c>
      <c r="HZ47" s="2">
        <f t="shared" ref="HZ47" si="607">IF(AND(HW47=HM47,HW42=HM42),HP47,IF(AND(HW47=HM47,HW42&lt;&gt;HM42),IA46+1,IF(AND(HW47=HM47-1,HW42=HM42),HQ56+(HU56*4)+1,IA46+1)))</f>
        <v>37</v>
      </c>
      <c r="IA47" s="2">
        <f t="shared" si="185"/>
        <v>38</v>
      </c>
      <c r="IB47" s="2">
        <v>2</v>
      </c>
      <c r="IC47" s="255" t="str">
        <f t="shared" si="186"/>
        <v/>
      </c>
      <c r="ID47" s="255"/>
      <c r="IE47" s="231" t="str">
        <f t="shared" si="187"/>
        <v/>
      </c>
      <c r="IF47" s="344"/>
      <c r="IG47" s="39">
        <f t="shared" ref="IG47" si="608">IF(IG42=0,0,IF(AND(HW47&gt;1,HW53=1),HW47-1,IF(AND(HW47=1,HW53=1),IO46,HW47)))</f>
        <v>0</v>
      </c>
      <c r="IH47" s="2">
        <v>15</v>
      </c>
      <c r="II47" s="3" t="s">
        <v>1055</v>
      </c>
      <c r="IJ47" s="2">
        <f t="shared" ref="IJ47" si="609">IF(AND(IG47=HW47,IG42=HW42),HZ47,IF(AND(IG47=HW47,IG42&lt;&gt;HW42),IK46+1,IF(AND(IG47=HW47-1,IG42=HW42),IA56+(IE56*4)+1,IK46+1)))</f>
        <v>37</v>
      </c>
      <c r="IK47" s="2">
        <f t="shared" si="189"/>
        <v>38</v>
      </c>
      <c r="IL47" s="2">
        <v>2</v>
      </c>
      <c r="IM47" s="255" t="str">
        <f t="shared" si="190"/>
        <v/>
      </c>
      <c r="IN47" s="255"/>
      <c r="IO47" s="231" t="str">
        <f t="shared" si="191"/>
        <v/>
      </c>
      <c r="IP47" s="344"/>
      <c r="IQ47" s="39">
        <f t="shared" ref="IQ47" si="610">IF(IQ42=0,0,IF(AND(IG47&gt;1,IG53=1),IG47-1,IF(AND(IG47=1,IG53=1),IY46,IG47)))</f>
        <v>0</v>
      </c>
      <c r="IR47" s="2">
        <v>15</v>
      </c>
      <c r="IS47" s="3" t="s">
        <v>1055</v>
      </c>
      <c r="IT47" s="2">
        <f t="shared" ref="IT47" si="611">IF(AND(IQ47=IG47,IQ42=IG42),IJ47,IF(AND(IQ47=IG47,IQ42&lt;&gt;IG42),IU46+1,IF(AND(IQ47=IG47-1,IQ42=IG42),IK56+(IO56*4)+1,IU46+1)))</f>
        <v>37</v>
      </c>
      <c r="IU47" s="2">
        <f t="shared" si="193"/>
        <v>38</v>
      </c>
      <c r="IV47" s="2">
        <v>2</v>
      </c>
      <c r="IW47" s="255" t="str">
        <f t="shared" si="194"/>
        <v/>
      </c>
      <c r="IX47" s="255"/>
      <c r="IY47" s="231" t="str">
        <f t="shared" si="195"/>
        <v/>
      </c>
      <c r="IZ47" s="344"/>
      <c r="JA47" s="39">
        <f t="shared" ref="JA47" si="612">IF(JA42=0,0,IF(AND(IQ47&gt;1,IQ53=1),IQ47-1,IF(AND(IQ47=1,IQ53=1),JI46,IQ47)))</f>
        <v>0</v>
      </c>
      <c r="JB47" s="2">
        <v>15</v>
      </c>
      <c r="JC47" s="3" t="s">
        <v>1055</v>
      </c>
      <c r="JD47" s="2">
        <f t="shared" ref="JD47" si="613">IF(AND(JA47=IQ47,JA42=IQ42),IT47,IF(AND(JA47=IQ47,JA42&lt;&gt;IQ42),JE46+1,IF(AND(JA47=IQ47-1,JA42=IQ42),IU56+(IY56*4)+1,JE46+1)))</f>
        <v>37</v>
      </c>
      <c r="JE47" s="2">
        <f t="shared" si="197"/>
        <v>38</v>
      </c>
      <c r="JF47" s="2">
        <v>2</v>
      </c>
      <c r="JG47" s="255" t="str">
        <f t="shared" si="198"/>
        <v/>
      </c>
      <c r="JH47" s="255"/>
      <c r="JI47" s="231" t="str">
        <f t="shared" si="199"/>
        <v/>
      </c>
      <c r="JJ47" s="344"/>
      <c r="JK47" s="39">
        <f t="shared" ref="JK47" si="614">IF(JK42=0,0,IF(AND(JA47&gt;1,JA53=1),JA47-1,IF(AND(JA47=1,JA53=1),JS46,JA47)))</f>
        <v>0</v>
      </c>
      <c r="JL47" s="2">
        <v>15</v>
      </c>
      <c r="JM47" s="3" t="s">
        <v>1055</v>
      </c>
      <c r="JN47" s="2">
        <f t="shared" ref="JN47" si="615">IF(AND(JK47=JA47,JK42=JA42),JD47,IF(AND(JK47=JA47,JK42&lt;&gt;JA42),JO46+1,IF(AND(JK47=JA47-1,JK42=JA42),JE56+(JI56*4)+1,JO46+1)))</f>
        <v>37</v>
      </c>
      <c r="JO47" s="2">
        <f t="shared" si="201"/>
        <v>38</v>
      </c>
      <c r="JP47" s="2">
        <v>2</v>
      </c>
      <c r="JQ47" s="255" t="str">
        <f t="shared" si="202"/>
        <v/>
      </c>
      <c r="JR47" s="255"/>
      <c r="JS47" s="231" t="str">
        <f t="shared" si="203"/>
        <v/>
      </c>
      <c r="JT47" s="344"/>
      <c r="JU47" s="39">
        <f t="shared" ref="JU47" si="616">IF(JU42=0,0,IF(AND(JK47&gt;1,JK53=1),JK47-1,IF(AND(JK47=1,JK53=1),KC46,JK47)))</f>
        <v>0</v>
      </c>
      <c r="JV47" s="2">
        <v>15</v>
      </c>
      <c r="JW47" s="3" t="s">
        <v>1055</v>
      </c>
      <c r="JX47" s="2">
        <f t="shared" ref="JX47" si="617">IF(AND(JU47=JK47,JU42=JK42),JN47,IF(AND(JU47=JK47,JU42&lt;&gt;JK42),JY46+1,IF(AND(JU47=JK47-1,JU42=JK42),JO56+(JS56*4)+1,JY46+1)))</f>
        <v>37</v>
      </c>
      <c r="JY47" s="2">
        <f t="shared" si="205"/>
        <v>38</v>
      </c>
      <c r="JZ47" s="2">
        <v>2</v>
      </c>
      <c r="KA47" s="255" t="str">
        <f t="shared" si="206"/>
        <v/>
      </c>
      <c r="KB47" s="255"/>
      <c r="KC47" s="231" t="str">
        <f t="shared" si="207"/>
        <v/>
      </c>
      <c r="KD47" s="344"/>
      <c r="KE47" s="39">
        <f t="shared" ref="KE47" si="618">IF(KE42=0,0,IF(AND(JU47&gt;1,JU53=1),JU47-1,IF(AND(JU47=1,JU53=1),KM46,JU47)))</f>
        <v>0</v>
      </c>
      <c r="KF47" s="2">
        <v>15</v>
      </c>
      <c r="KG47" s="3" t="s">
        <v>1055</v>
      </c>
      <c r="KH47" s="2">
        <f t="shared" ref="KH47" si="619">IF(AND(KE47=JU47,KE42=JU42),JX47,IF(AND(KE47=JU47,KE42&lt;&gt;JU42),KI46+1,IF(AND(KE47=JU47-1,KE42=JU42),JY56+(KC56*4)+1,KI46+1)))</f>
        <v>37</v>
      </c>
      <c r="KI47" s="2">
        <f t="shared" si="209"/>
        <v>38</v>
      </c>
      <c r="KJ47" s="2">
        <v>2</v>
      </c>
      <c r="KK47" s="255" t="str">
        <f t="shared" si="210"/>
        <v/>
      </c>
      <c r="KL47" s="255"/>
      <c r="KM47" s="231" t="str">
        <f t="shared" si="211"/>
        <v/>
      </c>
      <c r="KN47" s="344"/>
      <c r="KO47" s="39">
        <f t="shared" ref="KO47" si="620">IF(KO42=0,0,IF(AND(KE47&gt;1,KE53=1),KE47-1,IF(AND(KE47=1,KE53=1),KW46,KE47)))</f>
        <v>0</v>
      </c>
      <c r="KP47" s="2">
        <v>15</v>
      </c>
      <c r="KQ47" s="3" t="s">
        <v>1055</v>
      </c>
      <c r="KR47" s="2">
        <f t="shared" ref="KR47" si="621">IF(AND(KO47=KE47,KO42=KE42),KH47,IF(AND(KO47=KE47,KO42&lt;&gt;KE42),KS46+1,IF(AND(KO47=KE47-1,KO42=KE42),KI56+(KM56*4)+1,KS46+1)))</f>
        <v>37</v>
      </c>
      <c r="KS47" s="2">
        <f t="shared" si="213"/>
        <v>38</v>
      </c>
      <c r="KT47" s="2">
        <v>2</v>
      </c>
      <c r="KU47" s="255" t="str">
        <f t="shared" si="214"/>
        <v/>
      </c>
      <c r="KV47" s="255"/>
      <c r="KW47" s="231" t="str">
        <f t="shared" si="215"/>
        <v/>
      </c>
      <c r="KX47" s="344"/>
      <c r="KY47" s="39">
        <f t="shared" ref="KY47" si="622">IF(KY42=0,0,IF(AND(KO47&gt;1,KO53=1),KO47-1,IF(AND(KO47=1,KO53=1),LG46,KO47)))</f>
        <v>0</v>
      </c>
      <c r="KZ47" s="2">
        <v>15</v>
      </c>
      <c r="LA47" s="3" t="s">
        <v>1055</v>
      </c>
      <c r="LB47" s="2">
        <f t="shared" ref="LB47" si="623">IF(AND(KY47=KO47,KY42=KO42),KR47,IF(AND(KY47=KO47,KY42&lt;&gt;KO42),LC46+1,IF(AND(KY47=KO47-1,KY42=KO42),KS56+(KW56*4)+1,LC46+1)))</f>
        <v>37</v>
      </c>
      <c r="LC47" s="2">
        <f t="shared" si="217"/>
        <v>38</v>
      </c>
      <c r="LD47" s="2">
        <v>2</v>
      </c>
      <c r="LE47" s="255" t="str">
        <f t="shared" si="218"/>
        <v/>
      </c>
      <c r="LF47" s="255"/>
      <c r="LG47" s="231" t="str">
        <f t="shared" si="219"/>
        <v/>
      </c>
      <c r="LH47" s="344"/>
      <c r="LI47" s="39">
        <f t="shared" ref="LI47" si="624">IF(LI42=0,0,IF(AND(KY47&gt;1,KY53=1),KY47-1,IF(AND(KY47=1,KY53=1),LQ46,KY47)))</f>
        <v>0</v>
      </c>
      <c r="LJ47" s="2">
        <v>15</v>
      </c>
      <c r="LK47" s="3" t="s">
        <v>1055</v>
      </c>
      <c r="LL47" s="2">
        <f t="shared" ref="LL47" si="625">IF(AND(LI47=KY47,LI42=KY42),LB47,IF(AND(LI47=KY47,LI42&lt;&gt;KY42),LM46+1,IF(AND(LI47=KY47-1,LI42=KY42),LC56+(LG56*4)+1,LM46+1)))</f>
        <v>37</v>
      </c>
      <c r="LM47" s="2">
        <f t="shared" si="221"/>
        <v>38</v>
      </c>
      <c r="LN47" s="2">
        <v>2</v>
      </c>
      <c r="LO47" s="255" t="str">
        <f t="shared" si="222"/>
        <v/>
      </c>
      <c r="LP47" s="255"/>
      <c r="LQ47" s="231" t="str">
        <f t="shared" si="223"/>
        <v/>
      </c>
      <c r="LR47" s="344"/>
      <c r="LS47" s="39">
        <f t="shared" ref="LS47" si="626">IF(LS42=0,0,IF(AND(LI47&gt;1,LI53=1),LI47-1,IF(AND(LI47=1,LI53=1),MA46,LI47)))</f>
        <v>0</v>
      </c>
      <c r="LT47" s="2">
        <v>15</v>
      </c>
      <c r="LU47" s="3" t="s">
        <v>1055</v>
      </c>
      <c r="LV47" s="2">
        <f t="shared" ref="LV47" si="627">IF(AND(LS47=LI47,LS42=LI42),LL47,IF(AND(LS47=LI47,LS42&lt;&gt;LI42),LW46+1,IF(AND(LS47=LI47-1,LS42=LI42),LM56+(LQ56*4)+1,LW46+1)))</f>
        <v>37</v>
      </c>
      <c r="LW47" s="2">
        <f t="shared" si="225"/>
        <v>38</v>
      </c>
      <c r="LX47" s="2">
        <v>2</v>
      </c>
      <c r="LY47" s="255" t="str">
        <f t="shared" si="226"/>
        <v/>
      </c>
      <c r="LZ47" s="255"/>
      <c r="MA47" s="231" t="str">
        <f t="shared" si="227"/>
        <v/>
      </c>
      <c r="MB47" s="344"/>
      <c r="MC47" s="39">
        <f t="shared" ref="MC47" si="628">IF(MC42=0,0,IF(AND(LS47&gt;1,LS53=1),LS47-1,IF(AND(LS47=1,LS53=1),MK46,LS47)))</f>
        <v>0</v>
      </c>
      <c r="MD47" s="2">
        <v>15</v>
      </c>
      <c r="ME47" s="3" t="s">
        <v>1055</v>
      </c>
      <c r="MF47" s="2">
        <f t="shared" ref="MF47" si="629">IF(AND(MC47=LS47,MC42=LS42),LV47,IF(AND(MC47=LS47,MC42&lt;&gt;LS42),MG46+1,IF(AND(MC47=LS47-1,MC42=LS42),LW56+(MA56*4)+1,MG46+1)))</f>
        <v>37</v>
      </c>
      <c r="MG47" s="2">
        <f t="shared" si="229"/>
        <v>38</v>
      </c>
      <c r="MH47" s="2">
        <v>2</v>
      </c>
      <c r="MI47" s="255" t="str">
        <f t="shared" si="230"/>
        <v/>
      </c>
      <c r="MJ47" s="255"/>
      <c r="MK47" s="231" t="str">
        <f t="shared" si="231"/>
        <v/>
      </c>
      <c r="ML47" s="344"/>
      <c r="MM47" s="39">
        <f t="shared" ref="MM47" si="630">IF(MM42=0,0,IF(AND(MC47&gt;1,MC53=1),MC47-1,IF(AND(MC47=1,MC53=1),MU46,MC47)))</f>
        <v>0</v>
      </c>
      <c r="MN47" s="2">
        <v>15</v>
      </c>
      <c r="MO47" s="3" t="s">
        <v>1055</v>
      </c>
      <c r="MP47" s="2">
        <f t="shared" ref="MP47" si="631">IF(AND(MM47=MC47,MM42=MC42),MF47,IF(AND(MM47=MC47,MM42&lt;&gt;MC42),MQ46+1,IF(AND(MM47=MC47-1,MM42=MC42),MG56+(MK56*4)+1,MQ46+1)))</f>
        <v>37</v>
      </c>
      <c r="MQ47" s="2">
        <f t="shared" si="233"/>
        <v>38</v>
      </c>
      <c r="MR47" s="2">
        <v>2</v>
      </c>
      <c r="MS47" s="255" t="str">
        <f t="shared" si="234"/>
        <v/>
      </c>
      <c r="MT47" s="255"/>
      <c r="MU47" s="231" t="str">
        <f t="shared" si="235"/>
        <v/>
      </c>
      <c r="MV47" s="344"/>
      <c r="MW47" s="39">
        <f t="shared" ref="MW47" si="632">IF(MW42=0,0,IF(AND(MM47&gt;1,MM53=1),MM47-1,IF(AND(MM47=1,MM53=1),NE46,MM47)))</f>
        <v>0</v>
      </c>
      <c r="MX47" s="2">
        <v>15</v>
      </c>
      <c r="MY47" s="3" t="s">
        <v>1055</v>
      </c>
      <c r="MZ47" s="2">
        <f t="shared" ref="MZ47" si="633">IF(AND(MW47=MM47,MW42=MM42),MP47,IF(AND(MW47=MM47,MW42&lt;&gt;MM42),NA46+1,IF(AND(MW47=MM47-1,MW42=MM42),MQ56+(MU56*4)+1,NA46+1)))</f>
        <v>37</v>
      </c>
      <c r="NA47" s="2">
        <f t="shared" si="237"/>
        <v>38</v>
      </c>
      <c r="NB47" s="2">
        <v>2</v>
      </c>
      <c r="NC47" s="255" t="str">
        <f t="shared" si="238"/>
        <v/>
      </c>
      <c r="ND47" s="255"/>
      <c r="NE47" s="231" t="str">
        <f t="shared" si="239"/>
        <v/>
      </c>
      <c r="NF47" s="344"/>
      <c r="NG47" s="39">
        <f t="shared" ref="NG47" si="634">IF(NG42=0,0,IF(AND(MW47&gt;1,MW53=1),MW47-1,IF(AND(MW47=1,MW53=1),NO46,MW47)))</f>
        <v>0</v>
      </c>
      <c r="NH47" s="2">
        <v>15</v>
      </c>
      <c r="NI47" s="3" t="s">
        <v>1055</v>
      </c>
      <c r="NJ47" s="2">
        <f t="shared" ref="NJ47" si="635">IF(AND(NG47=MW47,NG42=MW42),MZ47,IF(AND(NG47=MW47,NG42&lt;&gt;MW42),NK46+1,IF(AND(NG47=MW47-1,NG42=MW42),NA56+(NE56*4)+1,NK46+1)))</f>
        <v>37</v>
      </c>
      <c r="NK47" s="2">
        <f t="shared" si="241"/>
        <v>38</v>
      </c>
      <c r="NL47" s="2">
        <v>2</v>
      </c>
      <c r="NM47" s="255" t="str">
        <f t="shared" si="242"/>
        <v/>
      </c>
      <c r="NN47" s="255"/>
      <c r="NO47" s="231" t="str">
        <f t="shared" si="243"/>
        <v/>
      </c>
      <c r="NP47" s="344"/>
      <c r="NQ47" s="39">
        <f t="shared" ref="NQ47" si="636">IF(NQ42=0,0,IF(AND(NG47&gt;1,NG53=1),NG47-1,IF(AND(NG47=1,NG53=1),NY46,NG47)))</f>
        <v>0</v>
      </c>
      <c r="NR47" s="2">
        <v>15</v>
      </c>
      <c r="NS47" s="3" t="s">
        <v>1055</v>
      </c>
      <c r="NT47" s="2">
        <f t="shared" ref="NT47" si="637">IF(AND(NQ47=NG47,NQ42=NG42),NJ47,IF(AND(NQ47=NG47,NQ42&lt;&gt;NG42),NU46+1,IF(AND(NQ47=NG47-1,NQ42=NG42),NK56+(NO56*4)+1,NU46+1)))</f>
        <v>37</v>
      </c>
      <c r="NU47" s="2">
        <f t="shared" si="245"/>
        <v>38</v>
      </c>
      <c r="NV47" s="2">
        <v>2</v>
      </c>
      <c r="NW47" s="255" t="str">
        <f t="shared" si="246"/>
        <v/>
      </c>
      <c r="NX47" s="255"/>
      <c r="NY47" s="231" t="str">
        <f t="shared" si="247"/>
        <v/>
      </c>
      <c r="NZ47" s="344"/>
      <c r="OA47" s="39">
        <f t="shared" ref="OA47" si="638">IF(OA42=0,0,IF(AND(NQ47&gt;1,NQ53=1),NQ47-1,IF(AND(NQ47=1,NQ53=1),OI46,NQ47)))</f>
        <v>0</v>
      </c>
      <c r="OB47" s="2">
        <v>15</v>
      </c>
      <c r="OC47" s="3" t="s">
        <v>1055</v>
      </c>
      <c r="OD47" s="2">
        <f t="shared" ref="OD47" si="639">IF(AND(OA47=NQ47,OA42=NQ42),NT47,IF(AND(OA47=NQ47,OA42&lt;&gt;NQ42),OE46+1,IF(AND(OA47=NQ47-1,OA42=NQ42),NU56+(NY56*4)+1,OE46+1)))</f>
        <v>37</v>
      </c>
      <c r="OE47" s="2">
        <f t="shared" si="249"/>
        <v>38</v>
      </c>
      <c r="OF47" s="2">
        <v>2</v>
      </c>
      <c r="OG47" s="255" t="str">
        <f t="shared" si="250"/>
        <v/>
      </c>
      <c r="OH47" s="255"/>
      <c r="OI47" s="231" t="str">
        <f t="shared" si="251"/>
        <v/>
      </c>
      <c r="OJ47" s="344"/>
      <c r="OK47" s="39">
        <f t="shared" ref="OK47" si="640">IF(OK42=0,0,IF(AND(OA47&gt;1,OA53=1),OA47-1,IF(AND(OA47=1,OA53=1),OS46,OA47)))</f>
        <v>0</v>
      </c>
      <c r="OL47" s="2">
        <v>15</v>
      </c>
      <c r="OM47" s="3" t="s">
        <v>1055</v>
      </c>
      <c r="ON47" s="2">
        <f t="shared" ref="ON47" si="641">IF(AND(OK47=OA47,OK42=OA42),OD47,IF(AND(OK47=OA47,OK42&lt;&gt;OA42),OO46+1,IF(AND(OK47=OA47-1,OK42=OA42),OE56+(OI56*4)+1,OO46+1)))</f>
        <v>37</v>
      </c>
      <c r="OO47" s="2">
        <f t="shared" si="253"/>
        <v>38</v>
      </c>
      <c r="OP47" s="2">
        <v>2</v>
      </c>
      <c r="OQ47" s="255" t="str">
        <f t="shared" si="254"/>
        <v/>
      </c>
      <c r="OR47" s="255"/>
      <c r="OS47" s="231" t="str">
        <f t="shared" si="255"/>
        <v/>
      </c>
      <c r="OT47" s="344"/>
      <c r="OU47" s="39">
        <f t="shared" ref="OU47" si="642">IF(OU42=0,0,IF(AND(OK47&gt;1,OK53=1),OK47-1,IF(AND(OK47=1,OK53=1),PC46,OK47)))</f>
        <v>0</v>
      </c>
      <c r="OV47" s="2">
        <v>15</v>
      </c>
      <c r="OW47" s="3" t="s">
        <v>1055</v>
      </c>
      <c r="OX47" s="2">
        <f t="shared" ref="OX47" si="643">IF(AND(OU47=OK47,OU42=OK42),ON47,IF(AND(OU47=OK47,OU42&lt;&gt;OK42),OY46+1,IF(AND(OU47=OK47-1,OU42=OK42),OO56+(OS56*4)+1,OY46+1)))</f>
        <v>37</v>
      </c>
      <c r="OY47" s="2">
        <f t="shared" si="257"/>
        <v>38</v>
      </c>
      <c r="OZ47" s="2">
        <v>2</v>
      </c>
      <c r="PA47" s="255" t="str">
        <f t="shared" si="258"/>
        <v/>
      </c>
      <c r="PB47" s="255"/>
      <c r="PC47" s="231" t="str">
        <f t="shared" si="259"/>
        <v/>
      </c>
      <c r="PD47" s="344"/>
      <c r="PE47" s="39">
        <f t="shared" ref="PE47" si="644">IF(PE42=0,0,IF(AND(OU47&gt;1,OU53=1),OU47-1,IF(AND(OU47=1,OU53=1),PM46,OU47)))</f>
        <v>0</v>
      </c>
      <c r="PF47" s="2">
        <v>15</v>
      </c>
      <c r="PG47" s="3" t="s">
        <v>1055</v>
      </c>
      <c r="PH47" s="2">
        <f t="shared" ref="PH47" si="645">IF(AND(PE47=OU47,PE42=OU42),OX47,IF(AND(PE47=OU47,PE42&lt;&gt;OU42),PI46+1,IF(AND(PE47=OU47-1,PE42=OU42),OY56+(PC56*4)+1,PI46+1)))</f>
        <v>37</v>
      </c>
      <c r="PI47" s="2">
        <f t="shared" si="261"/>
        <v>38</v>
      </c>
      <c r="PJ47" s="2">
        <v>2</v>
      </c>
      <c r="PK47" s="255" t="str">
        <f t="shared" si="262"/>
        <v/>
      </c>
      <c r="PL47" s="255"/>
      <c r="PM47" s="231" t="str">
        <f t="shared" si="263"/>
        <v/>
      </c>
      <c r="PN47" s="344"/>
      <c r="PO47" s="39">
        <f t="shared" ref="PO47" si="646">IF(PO42=0,0,IF(AND(PE47&gt;1,PE53=1),PE47-1,IF(AND(PE47=1,PE53=1),PW46,PE47)))</f>
        <v>0</v>
      </c>
      <c r="PP47" s="2">
        <v>15</v>
      </c>
      <c r="PQ47" s="3" t="s">
        <v>1055</v>
      </c>
      <c r="PR47" s="2">
        <f t="shared" ref="PR47" si="647">IF(AND(PO47=PE47,PO42=PE42),PH47,IF(AND(PO47=PE47,PO42&lt;&gt;PE42),PS46+1,IF(AND(PO47=PE47-1,PO42=PE42),PI56+(PM56*4)+1,PS46+1)))</f>
        <v>37</v>
      </c>
      <c r="PS47" s="2">
        <f t="shared" si="265"/>
        <v>38</v>
      </c>
      <c r="PT47" s="2">
        <v>2</v>
      </c>
      <c r="PU47" s="255" t="str">
        <f t="shared" si="266"/>
        <v/>
      </c>
      <c r="PV47" s="255"/>
      <c r="PW47" s="231" t="str">
        <f t="shared" si="267"/>
        <v/>
      </c>
      <c r="PX47" s="344"/>
      <c r="PY47" s="39">
        <f t="shared" ref="PY47" si="648">IF(PY42=0,0,IF(AND(PO47&gt;1,PO53=1),PO47-1,IF(AND(PO47=1,PO53=1),QG46,PO47)))</f>
        <v>0</v>
      </c>
      <c r="PZ47" s="2">
        <v>15</v>
      </c>
      <c r="QA47" s="3" t="s">
        <v>1055</v>
      </c>
      <c r="QB47" s="2">
        <f t="shared" ref="QB47" si="649">IF(AND(PY47=PO47,PY42=PO42),PR47,IF(AND(PY47=PO47,PY42&lt;&gt;PO42),QC46+1,IF(AND(PY47=PO47-1,PY42=PO42),PS56+(PW56*4)+1,QC46+1)))</f>
        <v>37</v>
      </c>
      <c r="QC47" s="2">
        <f t="shared" si="269"/>
        <v>38</v>
      </c>
      <c r="QD47" s="2">
        <v>2</v>
      </c>
      <c r="QE47" s="255" t="str">
        <f t="shared" si="270"/>
        <v/>
      </c>
      <c r="QF47" s="255"/>
      <c r="QG47" s="231" t="str">
        <f t="shared" si="271"/>
        <v/>
      </c>
      <c r="QH47" s="344"/>
      <c r="QI47" s="39">
        <f t="shared" ref="QI47" si="650">IF(QI42=0,0,IF(AND(PY47&gt;1,PY53=1),PY47-1,IF(AND(PY47=1,PY53=1),QQ46,PY47)))</f>
        <v>0</v>
      </c>
      <c r="QJ47" s="2">
        <v>15</v>
      </c>
      <c r="QK47" s="3" t="s">
        <v>1055</v>
      </c>
      <c r="QL47" s="2">
        <f t="shared" ref="QL47" si="651">IF(AND(QI47=PY47,QI42=PY42),QB47,IF(AND(QI47=PY47,QI42&lt;&gt;PY42),QM46+1,IF(AND(QI47=PY47-1,QI42=PY42),QC56+(QG56*4)+1,QM46+1)))</f>
        <v>37</v>
      </c>
      <c r="QM47" s="2">
        <f t="shared" si="273"/>
        <v>38</v>
      </c>
      <c r="QN47" s="2">
        <v>2</v>
      </c>
      <c r="QO47" s="255" t="str">
        <f t="shared" si="274"/>
        <v/>
      </c>
      <c r="QP47" s="255"/>
      <c r="QQ47" s="231" t="str">
        <f t="shared" si="275"/>
        <v/>
      </c>
      <c r="QR47" s="344"/>
      <c r="QS47" s="39">
        <f t="shared" ref="QS47" si="652">IF(QS42=0,0,IF(AND(QI47&gt;1,QI53=1),QI47-1,IF(AND(QI47=1,QI53=1),RA46,QI47)))</f>
        <v>0</v>
      </c>
      <c r="QT47" s="2">
        <v>15</v>
      </c>
      <c r="QU47" s="3" t="s">
        <v>1055</v>
      </c>
      <c r="QV47" s="2">
        <f t="shared" ref="QV47" si="653">IF(AND(QS47=QI47,QS42=QI42),QL47,IF(AND(QS47=QI47,QS42&lt;&gt;QI42),QW46+1,IF(AND(QS47=QI47-1,QS42=QI42),QM56+(QQ56*4)+1,QW46+1)))</f>
        <v>37</v>
      </c>
      <c r="QW47" s="2">
        <f t="shared" si="277"/>
        <v>38</v>
      </c>
      <c r="QX47" s="2">
        <v>2</v>
      </c>
      <c r="QY47" s="255" t="str">
        <f t="shared" si="278"/>
        <v/>
      </c>
      <c r="QZ47" s="255"/>
      <c r="RA47" s="231" t="str">
        <f t="shared" si="279"/>
        <v/>
      </c>
      <c r="RB47" s="344"/>
      <c r="RC47" s="39">
        <f t="shared" ref="RC47" si="654">IF(RC42=0,0,IF(AND(QS47&gt;1,QS53=1),QS47-1,IF(AND(QS47=1,QS53=1),RK46,QS47)))</f>
        <v>0</v>
      </c>
      <c r="RD47" s="2">
        <v>15</v>
      </c>
      <c r="RE47" s="3" t="s">
        <v>1055</v>
      </c>
      <c r="RF47" s="2">
        <f t="shared" ref="RF47" si="655">IF(AND(RC47=QS47,RC42=QS42),QV47,IF(AND(RC47=QS47,RC42&lt;&gt;QS42),RG46+1,IF(AND(RC47=QS47-1,RC42=QS42),QW56+(RA56*4)+1,RG46+1)))</f>
        <v>37</v>
      </c>
      <c r="RG47" s="2">
        <f t="shared" si="281"/>
        <v>38</v>
      </c>
      <c r="RH47" s="2">
        <v>2</v>
      </c>
      <c r="RI47" s="255" t="str">
        <f t="shared" si="282"/>
        <v/>
      </c>
      <c r="RJ47" s="255"/>
      <c r="RK47" s="231" t="str">
        <f t="shared" si="283"/>
        <v/>
      </c>
      <c r="RL47" s="344"/>
      <c r="RM47" s="39">
        <f t="shared" ref="RM47" si="656">IF(RM42=0,0,IF(AND(RC47&gt;1,RC53=1),RC47-1,IF(AND(RC47=1,RC53=1),RU46,RC47)))</f>
        <v>0</v>
      </c>
      <c r="RN47" s="2">
        <v>15</v>
      </c>
      <c r="RO47" s="3" t="s">
        <v>1055</v>
      </c>
      <c r="RP47" s="2">
        <f t="shared" ref="RP47" si="657">IF(AND(RM47=RC47,RM42=RC42),RF47,IF(AND(RM47=RC47,RM42&lt;&gt;RC42),RQ46+1,IF(AND(RM47=RC47-1,RM42=RC42),RG56+(RK56*4)+1,RQ46+1)))</f>
        <v>37</v>
      </c>
      <c r="RQ47" s="2">
        <f t="shared" si="285"/>
        <v>38</v>
      </c>
      <c r="RR47" s="2">
        <v>2</v>
      </c>
      <c r="RS47" s="255" t="str">
        <f t="shared" si="286"/>
        <v/>
      </c>
      <c r="RT47" s="255"/>
      <c r="RU47" s="231" t="str">
        <f t="shared" si="287"/>
        <v/>
      </c>
      <c r="RV47" s="344"/>
      <c r="RW47" s="39">
        <f t="shared" ref="RW47" si="658">IF(RW42=0,0,IF(AND(RM47&gt;1,RM53=1),RM47-1,IF(AND(RM47=1,RM53=1),SE46,RM47)))</f>
        <v>0</v>
      </c>
      <c r="RX47" s="2">
        <v>15</v>
      </c>
      <c r="RY47" s="3" t="s">
        <v>1055</v>
      </c>
      <c r="RZ47" s="2">
        <f t="shared" ref="RZ47" si="659">IF(AND(RW47=RM47,RW42=RM42),RP47,IF(AND(RW47=RM47,RW42&lt;&gt;RM42),SA46+1,IF(AND(RW47=RM47-1,RW42=RM42),RQ56+(RU56*4)+1,SA46+1)))</f>
        <v>37</v>
      </c>
      <c r="SA47" s="2">
        <f t="shared" si="289"/>
        <v>38</v>
      </c>
      <c r="SB47" s="2">
        <v>2</v>
      </c>
      <c r="SC47" s="255" t="str">
        <f t="shared" si="290"/>
        <v/>
      </c>
      <c r="SD47" s="255"/>
      <c r="SE47" s="231" t="str">
        <f t="shared" si="291"/>
        <v/>
      </c>
      <c r="SF47" s="344"/>
      <c r="SG47" s="39">
        <f t="shared" ref="SG47" si="660">IF(SG42=0,0,IF(AND(RW47&gt;1,RW53=1),RW47-1,IF(AND(RW47=1,RW53=1),SO46,RW47)))</f>
        <v>0</v>
      </c>
      <c r="SH47" s="2">
        <v>15</v>
      </c>
      <c r="SI47" s="3" t="s">
        <v>1055</v>
      </c>
      <c r="SJ47" s="2">
        <f t="shared" ref="SJ47" si="661">IF(AND(SG47=RW47,SG42=RW42),RZ47,IF(AND(SG47=RW47,SG42&lt;&gt;RW42),SK46+1,IF(AND(SG47=RW47-1,SG42=RW42),SA56+(SE56*4)+1,SK46+1)))</f>
        <v>37</v>
      </c>
      <c r="SK47" s="2">
        <f t="shared" si="293"/>
        <v>38</v>
      </c>
      <c r="SL47" s="2">
        <v>2</v>
      </c>
      <c r="SM47" s="255" t="str">
        <f t="shared" si="294"/>
        <v/>
      </c>
      <c r="SN47" s="255"/>
      <c r="SO47" s="231" t="str">
        <f t="shared" si="295"/>
        <v/>
      </c>
      <c r="SP47" s="344"/>
      <c r="SQ47" s="39">
        <f t="shared" ref="SQ47" si="662">IF(SQ42=0,0,IF(AND(SG47&gt;1,SG53=1),SG47-1,IF(AND(SG47=1,SG53=1),SY46,SG47)))</f>
        <v>0</v>
      </c>
      <c r="SR47" s="2">
        <v>15</v>
      </c>
      <c r="SS47" s="3" t="s">
        <v>1055</v>
      </c>
      <c r="ST47" s="2">
        <f t="shared" ref="ST47" si="663">IF(AND(SQ47=SG47,SQ42=SG42),SJ47,IF(AND(SQ47=SG47,SQ42&lt;&gt;SG42),SU46+1,IF(AND(SQ47=SG47-1,SQ42=SG42),SK56+(SO56*4)+1,SU46+1)))</f>
        <v>37</v>
      </c>
      <c r="SU47" s="2">
        <f t="shared" si="297"/>
        <v>38</v>
      </c>
      <c r="SV47" s="2">
        <v>2</v>
      </c>
      <c r="SW47" s="255" t="str">
        <f t="shared" si="298"/>
        <v/>
      </c>
      <c r="SX47" s="255"/>
      <c r="SY47" s="231" t="str">
        <f t="shared" si="299"/>
        <v/>
      </c>
      <c r="SZ47" s="344"/>
      <c r="TA47" s="39">
        <f t="shared" ref="TA47" si="664">IF(TA42=0,0,IF(AND(SQ47&gt;1,SQ53=1),SQ47-1,IF(AND(SQ47=1,SQ53=1),TI46,SQ47)))</f>
        <v>0</v>
      </c>
      <c r="TB47" s="2">
        <v>15</v>
      </c>
      <c r="TC47" s="3" t="s">
        <v>1055</v>
      </c>
      <c r="TD47" s="2">
        <f t="shared" ref="TD47" si="665">IF(AND(TA47=SQ47,TA42=SQ42),ST47,IF(AND(TA47=SQ47,TA42&lt;&gt;SQ42),TE46+1,IF(AND(TA47=SQ47-1,TA42=SQ42),SU56+(SY56*4)+1,TE46+1)))</f>
        <v>37</v>
      </c>
      <c r="TE47" s="2">
        <f t="shared" si="301"/>
        <v>38</v>
      </c>
      <c r="TF47" s="2">
        <v>2</v>
      </c>
      <c r="TG47" s="255" t="str">
        <f t="shared" si="302"/>
        <v/>
      </c>
      <c r="TH47" s="255"/>
      <c r="TI47" s="231" t="str">
        <f t="shared" si="303"/>
        <v/>
      </c>
      <c r="TJ47" s="344"/>
      <c r="TK47" s="39">
        <f t="shared" ref="TK47" si="666">IF(TK42=0,0,IF(AND(TA47&gt;1,TA53=1),TA47-1,IF(AND(TA47=1,TA53=1),TS46,TA47)))</f>
        <v>0</v>
      </c>
      <c r="TL47" s="2">
        <v>15</v>
      </c>
      <c r="TM47" s="3" t="s">
        <v>1055</v>
      </c>
      <c r="TN47" s="2">
        <f t="shared" ref="TN47" si="667">IF(AND(TK47=TA47,TK42=TA42),TD47,IF(AND(TK47=TA47,TK42&lt;&gt;TA42),TO46+1,IF(AND(TK47=TA47-1,TK42=TA42),TE56+(TI56*4)+1,TO46+1)))</f>
        <v>37</v>
      </c>
      <c r="TO47" s="2">
        <f t="shared" si="305"/>
        <v>38</v>
      </c>
      <c r="TP47" s="2">
        <v>2</v>
      </c>
      <c r="TQ47" s="255" t="str">
        <f t="shared" si="306"/>
        <v/>
      </c>
      <c r="TR47" s="255"/>
      <c r="TS47" s="231" t="str">
        <f t="shared" si="307"/>
        <v/>
      </c>
      <c r="TT47" s="344"/>
      <c r="TU47" s="39">
        <f t="shared" ref="TU47" si="668">IF(TU42=0,0,IF(AND(TK47&gt;1,TK53=1),TK47-1,IF(AND(TK47=1,TK53=1),UC46,TK47)))</f>
        <v>0</v>
      </c>
      <c r="TV47" s="2">
        <v>15</v>
      </c>
      <c r="TW47" s="3" t="s">
        <v>1055</v>
      </c>
      <c r="TX47" s="2">
        <f t="shared" ref="TX47" si="669">IF(AND(TU47=TK47,TU42=TK42),TN47,IF(AND(TU47=TK47,TU42&lt;&gt;TK42),TY46+1,IF(AND(TU47=TK47-1,TU42=TK42),TO56+(TS56*4)+1,TY46+1)))</f>
        <v>37</v>
      </c>
      <c r="TY47" s="2">
        <f t="shared" si="309"/>
        <v>38</v>
      </c>
      <c r="TZ47" s="2">
        <v>2</v>
      </c>
      <c r="UA47" s="255" t="str">
        <f t="shared" si="310"/>
        <v/>
      </c>
      <c r="UB47" s="255"/>
      <c r="UC47" s="231" t="str">
        <f t="shared" si="311"/>
        <v/>
      </c>
      <c r="UD47" s="344"/>
      <c r="UE47" s="39">
        <f t="shared" ref="UE47" si="670">IF(UE42=0,0,IF(AND(TU47&gt;1,TU53=1),TU47-1,IF(AND(TU47=1,TU53=1),UM46,TU47)))</f>
        <v>0</v>
      </c>
      <c r="UF47" s="2">
        <v>15</v>
      </c>
      <c r="UG47" s="3" t="s">
        <v>1055</v>
      </c>
      <c r="UH47" s="2">
        <f t="shared" ref="UH47" si="671">IF(AND(UE47=TU47,UE42=TU42),TX47,IF(AND(UE47=TU47,UE42&lt;&gt;TU42),UI46+1,IF(AND(UE47=TU47-1,UE42=TU42),TY56+(UC56*4)+1,UI46+1)))</f>
        <v>37</v>
      </c>
      <c r="UI47" s="2">
        <f t="shared" si="313"/>
        <v>38</v>
      </c>
      <c r="UJ47" s="2">
        <v>2</v>
      </c>
      <c r="UK47" s="255" t="str">
        <f t="shared" si="314"/>
        <v/>
      </c>
      <c r="UL47" s="255"/>
      <c r="UM47" s="231" t="str">
        <f t="shared" si="315"/>
        <v/>
      </c>
      <c r="UN47" s="344"/>
      <c r="UO47" s="39">
        <f t="shared" ref="UO47" si="672">IF(UO42=0,0,IF(AND(UE47&gt;1,UE53=1),UE47-1,IF(AND(UE47=1,UE53=1),UW46,UE47)))</f>
        <v>0</v>
      </c>
      <c r="UP47" s="2">
        <v>15</v>
      </c>
      <c r="UQ47" s="3" t="s">
        <v>1055</v>
      </c>
      <c r="UR47" s="2">
        <f t="shared" ref="UR47" si="673">IF(AND(UO47=UE47,UO42=UE42),UH47,IF(AND(UO47=UE47,UO42&lt;&gt;UE42),US46+1,IF(AND(UO47=UE47-1,UO42=UE42),UI56+(UM56*4)+1,US46+1)))</f>
        <v>37</v>
      </c>
      <c r="US47" s="2">
        <f t="shared" si="317"/>
        <v>38</v>
      </c>
      <c r="UT47" s="2">
        <v>2</v>
      </c>
      <c r="UU47" s="255" t="str">
        <f t="shared" si="318"/>
        <v/>
      </c>
      <c r="UV47" s="255"/>
      <c r="UW47" s="231" t="str">
        <f t="shared" si="319"/>
        <v/>
      </c>
      <c r="UX47" s="344"/>
      <c r="UY47" s="39">
        <f t="shared" ref="UY47" si="674">IF(UY42=0,0,IF(AND(UO47&gt;1,UO53=1),UO47-1,IF(AND(UO47=1,UO53=1),VG46,UO47)))</f>
        <v>0</v>
      </c>
      <c r="UZ47" s="2">
        <v>15</v>
      </c>
      <c r="VA47" s="3" t="s">
        <v>1055</v>
      </c>
      <c r="VB47" s="2">
        <f t="shared" ref="VB47" si="675">IF(AND(UY47=UO47,UY42=UO42),UR47,IF(AND(UY47=UO47,UY42&lt;&gt;UO42),VC46+1,IF(AND(UY47=UO47-1,UY42=UO42),US56+(UW56*4)+1,VC46+1)))</f>
        <v>37</v>
      </c>
      <c r="VC47" s="2">
        <f t="shared" si="321"/>
        <v>38</v>
      </c>
      <c r="VD47" s="2">
        <v>2</v>
      </c>
      <c r="VE47" s="255" t="str">
        <f t="shared" si="322"/>
        <v/>
      </c>
      <c r="VF47" s="255"/>
      <c r="VG47" s="231" t="str">
        <f t="shared" si="323"/>
        <v/>
      </c>
      <c r="VH47" s="344"/>
      <c r="VI47" s="39">
        <f t="shared" ref="VI47" si="676">IF(VI42=0,0,IF(AND(UY47&gt;1,UY53=1),UY47-1,IF(AND(UY47=1,UY53=1),VQ46,UY47)))</f>
        <v>0</v>
      </c>
      <c r="VJ47" s="2">
        <v>15</v>
      </c>
      <c r="VK47" s="3" t="s">
        <v>1055</v>
      </c>
      <c r="VL47" s="2">
        <f t="shared" ref="VL47" si="677">IF(AND(VI47=UY47,VI42=UY42),VB47,IF(AND(VI47=UY47,VI42&lt;&gt;UY42),VM46+1,IF(AND(VI47=UY47-1,VI42=UY42),VC56+(VG56*4)+1,VM46+1)))</f>
        <v>37</v>
      </c>
      <c r="VM47" s="2">
        <f t="shared" si="325"/>
        <v>38</v>
      </c>
      <c r="VN47" s="2">
        <v>2</v>
      </c>
      <c r="VO47" s="255" t="str">
        <f t="shared" si="326"/>
        <v/>
      </c>
      <c r="VP47" s="255"/>
      <c r="VQ47" s="231" t="str">
        <f t="shared" si="327"/>
        <v/>
      </c>
      <c r="VR47" s="344"/>
      <c r="VS47" s="39">
        <f t="shared" ref="VS47" si="678">IF(VS42=0,0,IF(AND(VI47&gt;1,VI53=1),VI47-1,IF(AND(VI47=1,VI53=1),WA46,VI47)))</f>
        <v>0</v>
      </c>
      <c r="VT47" s="2">
        <v>15</v>
      </c>
      <c r="VU47" s="3" t="s">
        <v>1055</v>
      </c>
      <c r="VV47" s="2">
        <f t="shared" ref="VV47" si="679">IF(AND(VS47=VI47,VS42=VI42),VL47,IF(AND(VS47=VI47,VS42&lt;&gt;VI42),VW46+1,IF(AND(VS47=VI47-1,VS42=VI42),VM56+(VQ56*4)+1,VW46+1)))</f>
        <v>37</v>
      </c>
      <c r="VW47" s="2">
        <f t="shared" si="329"/>
        <v>38</v>
      </c>
      <c r="VX47" s="2">
        <v>2</v>
      </c>
      <c r="VY47" s="255" t="str">
        <f t="shared" si="330"/>
        <v/>
      </c>
      <c r="VZ47" s="255"/>
      <c r="WA47" s="231" t="str">
        <f t="shared" si="331"/>
        <v/>
      </c>
      <c r="WB47" s="344"/>
      <c r="WC47" s="39">
        <f t="shared" ref="WC47" si="680">IF(WC42=0,0,IF(AND(VS47&gt;1,VS53=1),VS47-1,IF(AND(VS47=1,VS53=1),WK46,VS47)))</f>
        <v>0</v>
      </c>
      <c r="WD47" s="2">
        <v>15</v>
      </c>
      <c r="WE47" s="3" t="s">
        <v>1055</v>
      </c>
      <c r="WF47" s="2">
        <f t="shared" ref="WF47" si="681">IF(AND(WC47=VS47,WC42=VS42),VV47,IF(AND(WC47=VS47,WC42&lt;&gt;VS42),WG46+1,IF(AND(WC47=VS47-1,WC42=VS42),VW56+(WA56*4)+1,WG46+1)))</f>
        <v>37</v>
      </c>
      <c r="WG47" s="2">
        <f t="shared" si="333"/>
        <v>38</v>
      </c>
      <c r="WH47" s="2">
        <v>2</v>
      </c>
      <c r="WI47" s="255" t="str">
        <f t="shared" si="334"/>
        <v/>
      </c>
      <c r="WJ47" s="255"/>
      <c r="WK47" s="231" t="str">
        <f t="shared" si="335"/>
        <v/>
      </c>
      <c r="WL47" s="344"/>
      <c r="WM47" s="39">
        <f t="shared" ref="WM47" si="682">IF(WM42=0,0,IF(AND(WC47&gt;1,WC53=1),WC47-1,IF(AND(WC47=1,WC53=1),WU46,WC47)))</f>
        <v>0</v>
      </c>
      <c r="WN47" s="2">
        <v>15</v>
      </c>
      <c r="WO47" s="3" t="s">
        <v>1055</v>
      </c>
      <c r="WP47" s="2">
        <f t="shared" ref="WP47" si="683">IF(AND(WM47=WC47,WM42=WC42),WF47,IF(AND(WM47=WC47,WM42&lt;&gt;WC42),WQ46+1,IF(AND(WM47=WC47-1,WM42=WC42),WG56+(WK56*4)+1,WQ46+1)))</f>
        <v>37</v>
      </c>
      <c r="WQ47" s="2">
        <f t="shared" si="337"/>
        <v>38</v>
      </c>
      <c r="WR47" s="2">
        <v>2</v>
      </c>
      <c r="WS47" s="255" t="str">
        <f t="shared" si="338"/>
        <v/>
      </c>
      <c r="WT47" s="255"/>
      <c r="WU47" s="231" t="str">
        <f t="shared" si="339"/>
        <v/>
      </c>
      <c r="WV47" s="344"/>
      <c r="WW47" s="39">
        <f t="shared" ref="WW47" si="684">IF(WW42=0,0,IF(AND(WM47&gt;1,WM53=1),WM47-1,IF(AND(WM47=1,WM53=1),XE46,WM47)))</f>
        <v>0</v>
      </c>
      <c r="WX47" s="2">
        <v>15</v>
      </c>
      <c r="WY47" s="3" t="s">
        <v>1055</v>
      </c>
      <c r="WZ47" s="2">
        <f t="shared" ref="WZ47" si="685">IF(AND(WW47=WM47,WW42=WM42),WP47,IF(AND(WW47=WM47,WW42&lt;&gt;WM42),XA46+1,IF(AND(WW47=WM47-1,WW42=WM42),WQ56+(WU56*4)+1,XA46+1)))</f>
        <v>37</v>
      </c>
      <c r="XA47" s="2">
        <f t="shared" si="341"/>
        <v>38</v>
      </c>
      <c r="XB47" s="2">
        <v>2</v>
      </c>
      <c r="XC47" s="255" t="str">
        <f t="shared" si="342"/>
        <v/>
      </c>
      <c r="XD47" s="255"/>
      <c r="XE47" s="231" t="str">
        <f t="shared" si="343"/>
        <v/>
      </c>
      <c r="XF47" s="344"/>
      <c r="XG47" s="39">
        <f t="shared" ref="XG47" si="686">IF(XG42=0,0,IF(AND(WW47&gt;1,WW53=1),WW47-1,IF(AND(WW47=1,WW53=1),XO46,WW47)))</f>
        <v>0</v>
      </c>
      <c r="XH47" s="2">
        <v>15</v>
      </c>
      <c r="XI47" s="3" t="s">
        <v>1055</v>
      </c>
      <c r="XJ47" s="2">
        <f t="shared" ref="XJ47" si="687">IF(AND(XG47=WW47,XG42=WW42),WZ47,IF(AND(XG47=WW47,XG42&lt;&gt;WW42),XK46+1,IF(AND(XG47=WW47-1,XG42=WW42),XA56+(XE56*4)+1,XK46+1)))</f>
        <v>37</v>
      </c>
      <c r="XK47" s="2">
        <f t="shared" si="345"/>
        <v>38</v>
      </c>
      <c r="XL47" s="2">
        <v>2</v>
      </c>
      <c r="XM47" s="255" t="str">
        <f t="shared" si="346"/>
        <v/>
      </c>
      <c r="XN47" s="255"/>
      <c r="XO47" s="231" t="str">
        <f t="shared" si="347"/>
        <v/>
      </c>
      <c r="XP47" s="344"/>
      <c r="XQ47" s="39">
        <f t="shared" ref="XQ47" si="688">IF(XQ42=0,0,IF(AND(XG47&gt;1,XG53=1),XG47-1,IF(AND(XG47=1,XG53=1),XY46,XG47)))</f>
        <v>0</v>
      </c>
      <c r="XR47" s="2">
        <v>15</v>
      </c>
      <c r="XS47" s="3" t="s">
        <v>1055</v>
      </c>
      <c r="XT47" s="2">
        <f t="shared" ref="XT47" si="689">IF(AND(XQ47=XG47,XQ42=XG42),XJ47,IF(AND(XQ47=XG47,XQ42&lt;&gt;XG42),XU46+1,IF(AND(XQ47=XG47-1,XQ42=XG42),XK56+(XO56*4)+1,XU46+1)))</f>
        <v>37</v>
      </c>
      <c r="XU47" s="2">
        <f t="shared" si="349"/>
        <v>38</v>
      </c>
      <c r="XV47" s="2">
        <v>2</v>
      </c>
      <c r="XW47" s="255" t="str">
        <f t="shared" si="350"/>
        <v/>
      </c>
      <c r="XX47" s="255"/>
      <c r="XY47" s="231" t="str">
        <f t="shared" si="351"/>
        <v/>
      </c>
      <c r="XZ47" s="344"/>
      <c r="YA47" s="39">
        <f t="shared" ref="YA47" si="690">IF(YA42=0,0,IF(AND(XQ47&gt;1,XQ53=1),XQ47-1,IF(AND(XQ47=1,XQ53=1),YI46,XQ47)))</f>
        <v>0</v>
      </c>
      <c r="YB47" s="2">
        <v>15</v>
      </c>
      <c r="YC47" s="3" t="s">
        <v>1055</v>
      </c>
      <c r="YD47" s="2">
        <f t="shared" ref="YD47" si="691">IF(AND(YA47=XQ47,YA42=XQ42),XT47,IF(AND(YA47=XQ47,YA42&lt;&gt;XQ42),YE46+1,IF(AND(YA47=XQ47-1,YA42=XQ42),XU56+(XY56*4)+1,YE46+1)))</f>
        <v>37</v>
      </c>
      <c r="YE47" s="2">
        <f t="shared" si="353"/>
        <v>38</v>
      </c>
      <c r="YF47" s="2">
        <v>2</v>
      </c>
      <c r="YG47" s="255" t="str">
        <f t="shared" si="354"/>
        <v/>
      </c>
      <c r="YH47" s="255"/>
      <c r="YI47" s="231" t="str">
        <f t="shared" si="355"/>
        <v/>
      </c>
      <c r="YJ47" s="344"/>
      <c r="YK47" s="39">
        <f t="shared" ref="YK47" si="692">IF(YK42=0,0,IF(AND(YA47&gt;1,YA53=1),YA47-1,IF(AND(YA47=1,YA53=1),YS46,YA47)))</f>
        <v>0</v>
      </c>
      <c r="YL47" s="2">
        <v>15</v>
      </c>
      <c r="YM47" s="3" t="s">
        <v>1055</v>
      </c>
      <c r="YN47" s="2">
        <f t="shared" ref="YN47" si="693">IF(AND(YK47=YA47,YK42=YA42),YD47,IF(AND(YK47=YA47,YK42&lt;&gt;YA42),YO46+1,IF(AND(YK47=YA47-1,YK42=YA42),YE56+(YI56*4)+1,YO46+1)))</f>
        <v>37</v>
      </c>
      <c r="YO47" s="2">
        <f t="shared" si="357"/>
        <v>38</v>
      </c>
      <c r="YP47" s="2">
        <v>2</v>
      </c>
      <c r="YQ47" s="255" t="str">
        <f t="shared" si="358"/>
        <v/>
      </c>
      <c r="YR47" s="255"/>
      <c r="YS47" s="231" t="str">
        <f t="shared" si="359"/>
        <v/>
      </c>
      <c r="YT47" s="344"/>
      <c r="YU47" s="39">
        <f t="shared" ref="YU47" si="694">IF(YU42=0,0,IF(AND(YK47&gt;1,YK53=1),YK47-1,IF(AND(YK47=1,YK53=1),ZC46,YK47)))</f>
        <v>0</v>
      </c>
      <c r="YV47" s="2">
        <v>15</v>
      </c>
      <c r="YW47" s="3" t="s">
        <v>1055</v>
      </c>
      <c r="YX47" s="2">
        <f t="shared" ref="YX47" si="695">IF(AND(YU47=YK47,YU42=YK42),YN47,IF(AND(YU47=YK47,YU42&lt;&gt;YK42),YY46+1,IF(AND(YU47=YK47-1,YU42=YK42),YO56+(YS56*4)+1,YY46+1)))</f>
        <v>37</v>
      </c>
      <c r="YY47" s="2">
        <f t="shared" si="361"/>
        <v>38</v>
      </c>
      <c r="YZ47" s="2">
        <v>2</v>
      </c>
      <c r="ZA47" s="255" t="str">
        <f t="shared" si="362"/>
        <v/>
      </c>
      <c r="ZB47" s="255"/>
      <c r="ZC47" s="231" t="str">
        <f t="shared" si="363"/>
        <v/>
      </c>
      <c r="ZD47" s="344"/>
      <c r="ZE47" s="39">
        <f t="shared" ref="ZE47" si="696">IF(ZE42=0,0,IF(AND(YU47&gt;1,YU53=1),YU47-1,IF(AND(YU47=1,YU53=1),ZM46,YU47)))</f>
        <v>0</v>
      </c>
      <c r="ZF47" s="2">
        <v>15</v>
      </c>
      <c r="ZG47" s="3" t="s">
        <v>1055</v>
      </c>
      <c r="ZH47" s="2">
        <f t="shared" ref="ZH47" si="697">IF(AND(ZE47=YU47,ZE42=YU42),YX47,IF(AND(ZE47=YU47,ZE42&lt;&gt;YU42),ZI46+1,IF(AND(ZE47=YU47-1,ZE42=YU42),YY56+(ZC56*4)+1,ZI46+1)))</f>
        <v>37</v>
      </c>
      <c r="ZI47" s="2">
        <f t="shared" si="365"/>
        <v>38</v>
      </c>
      <c r="ZJ47" s="2">
        <v>2</v>
      </c>
      <c r="ZK47" s="255" t="str">
        <f t="shared" si="366"/>
        <v/>
      </c>
      <c r="ZL47" s="255"/>
      <c r="ZM47" s="231" t="str">
        <f t="shared" si="367"/>
        <v/>
      </c>
      <c r="ZN47" s="344"/>
      <c r="ZO47" s="39">
        <f t="shared" ref="ZO47" si="698">IF(ZO42=0,0,IF(AND(ZE47&gt;1,ZE53=1),ZE47-1,IF(AND(ZE47=1,ZE53=1),ZW46,ZE47)))</f>
        <v>0</v>
      </c>
      <c r="ZP47" s="2">
        <v>15</v>
      </c>
      <c r="ZQ47" s="3" t="s">
        <v>1055</v>
      </c>
      <c r="ZR47" s="2">
        <f t="shared" ref="ZR47" si="699">IF(AND(ZO47=ZE47,ZO42=ZE42),ZH47,IF(AND(ZO47=ZE47,ZO42&lt;&gt;ZE42),ZS46+1,IF(AND(ZO47=ZE47-1,ZO42=ZE42),ZI56+(ZM56*4)+1,ZS46+1)))</f>
        <v>37</v>
      </c>
      <c r="ZS47" s="2">
        <f t="shared" si="369"/>
        <v>38</v>
      </c>
      <c r="ZT47" s="2">
        <v>2</v>
      </c>
      <c r="ZU47" s="255" t="str">
        <f t="shared" si="370"/>
        <v/>
      </c>
      <c r="ZV47" s="255"/>
      <c r="ZW47" s="231" t="str">
        <f t="shared" si="371"/>
        <v/>
      </c>
      <c r="ZX47" s="344"/>
      <c r="ZY47" s="39">
        <f t="shared" ref="ZY47" si="700">IF(ZY42=0,0,IF(AND(ZO47&gt;1,ZO53=1),ZO47-1,IF(AND(ZO47=1,ZO53=1),AAG46,ZO47)))</f>
        <v>0</v>
      </c>
      <c r="ZZ47" s="2">
        <v>15</v>
      </c>
      <c r="AAA47" s="3" t="s">
        <v>1055</v>
      </c>
      <c r="AAB47" s="2">
        <f t="shared" ref="AAB47" si="701">IF(AND(ZY47=ZO47,ZY42=ZO42),ZR47,IF(AND(ZY47=ZO47,ZY42&lt;&gt;ZO42),AAC46+1,IF(AND(ZY47=ZO47-1,ZY42=ZO42),ZS56+(ZW56*4)+1,AAC46+1)))</f>
        <v>37</v>
      </c>
      <c r="AAC47" s="2">
        <f t="shared" si="373"/>
        <v>38</v>
      </c>
      <c r="AAD47" s="2">
        <v>2</v>
      </c>
      <c r="AAE47" s="255" t="str">
        <f t="shared" si="374"/>
        <v/>
      </c>
      <c r="AAF47" s="255"/>
      <c r="AAG47" s="231" t="str">
        <f t="shared" si="375"/>
        <v/>
      </c>
      <c r="AAH47" s="344"/>
      <c r="AAI47" s="39">
        <f t="shared" ref="AAI47" si="702">IF(AAI42=0,0,IF(AND(ZY47&gt;1,ZY53=1),ZY47-1,IF(AND(ZY47=1,ZY53=1),AAQ46,ZY47)))</f>
        <v>0</v>
      </c>
      <c r="AAJ47" s="2">
        <v>15</v>
      </c>
      <c r="AAK47" s="3" t="s">
        <v>1055</v>
      </c>
      <c r="AAL47" s="2">
        <f t="shared" ref="AAL47" si="703">IF(AND(AAI47=ZY47,AAI42=ZY42),AAB47,IF(AND(AAI47=ZY47,AAI42&lt;&gt;ZY42),AAM46+1,IF(AND(AAI47=ZY47-1,AAI42=ZY42),AAC56+(AAG56*4)+1,AAM46+1)))</f>
        <v>37</v>
      </c>
      <c r="AAM47" s="2">
        <f t="shared" si="377"/>
        <v>38</v>
      </c>
      <c r="AAN47" s="2">
        <v>2</v>
      </c>
      <c r="AAO47" s="255" t="str">
        <f t="shared" si="378"/>
        <v/>
      </c>
      <c r="AAP47" s="255"/>
      <c r="AAQ47" s="231" t="str">
        <f t="shared" si="379"/>
        <v/>
      </c>
      <c r="AAR47" s="344"/>
      <c r="AAS47" s="39">
        <f t="shared" ref="AAS47" si="704">IF(AAS42=0,0,IF(AND(AAI47&gt;1,AAI53=1),AAI47-1,IF(AND(AAI47=1,AAI53=1),ABA46,AAI47)))</f>
        <v>0</v>
      </c>
      <c r="AAT47" s="2">
        <v>15</v>
      </c>
      <c r="AAU47" s="3" t="s">
        <v>1055</v>
      </c>
      <c r="AAV47" s="2">
        <f t="shared" ref="AAV47" si="705">IF(AND(AAS47=AAI47,AAS42=AAI42),AAL47,IF(AND(AAS47=AAI47,AAS42&lt;&gt;AAI42),AAW46+1,IF(AND(AAS47=AAI47-1,AAS42=AAI42),AAM56+(AAQ56*4)+1,AAW46+1)))</f>
        <v>37</v>
      </c>
      <c r="AAW47" s="2">
        <f t="shared" si="381"/>
        <v>38</v>
      </c>
      <c r="AAX47" s="2">
        <v>2</v>
      </c>
      <c r="AAY47" s="255" t="str">
        <f t="shared" si="382"/>
        <v/>
      </c>
      <c r="AAZ47" s="255"/>
      <c r="ABA47" s="231" t="str">
        <f t="shared" si="383"/>
        <v/>
      </c>
      <c r="ABB47" s="344"/>
      <c r="ABC47" s="39">
        <f t="shared" ref="ABC47" si="706">IF(ABC42=0,0,IF(AND(AAS47&gt;1,AAS53=1),AAS47-1,IF(AND(AAS47=1,AAS53=1),ABK46,AAS47)))</f>
        <v>0</v>
      </c>
      <c r="ABD47" s="2">
        <v>15</v>
      </c>
      <c r="ABE47" s="3" t="s">
        <v>1055</v>
      </c>
      <c r="ABF47" s="2">
        <f t="shared" ref="ABF47" si="707">IF(AND(ABC47=AAS47,ABC42=AAS42),AAV47,IF(AND(ABC47=AAS47,ABC42&lt;&gt;AAS42),ABG46+1,IF(AND(ABC47=AAS47-1,ABC42=AAS42),AAW56+(ABA56*4)+1,ABG46+1)))</f>
        <v>37</v>
      </c>
      <c r="ABG47" s="2">
        <f t="shared" si="385"/>
        <v>38</v>
      </c>
      <c r="ABH47" s="2">
        <v>2</v>
      </c>
      <c r="ABI47" s="255" t="str">
        <f t="shared" si="386"/>
        <v/>
      </c>
      <c r="ABJ47" s="255"/>
      <c r="ABK47" s="231" t="str">
        <f t="shared" si="387"/>
        <v/>
      </c>
      <c r="ABL47" s="344"/>
      <c r="ABM47" s="39">
        <f t="shared" ref="ABM47" si="708">IF(ABM42=0,0,IF(AND(ABC47&gt;1,ABC53=1),ABC47-1,IF(AND(ABC47=1,ABC53=1),ABU46,ABC47)))</f>
        <v>0</v>
      </c>
      <c r="ABN47" s="2">
        <v>15</v>
      </c>
      <c r="ABO47" s="3" t="s">
        <v>1055</v>
      </c>
      <c r="ABP47" s="2">
        <f t="shared" ref="ABP47" si="709">IF(AND(ABM47=ABC47,ABM42=ABC42),ABF47,IF(AND(ABM47=ABC47,ABM42&lt;&gt;ABC42),ABQ46+1,IF(AND(ABM47=ABC47-1,ABM42=ABC42),ABG56+(ABK56*4)+1,ABQ46+1)))</f>
        <v>37</v>
      </c>
      <c r="ABQ47" s="2">
        <f t="shared" si="389"/>
        <v>38</v>
      </c>
      <c r="ABR47" s="2">
        <v>2</v>
      </c>
      <c r="ABS47" s="255" t="str">
        <f t="shared" si="390"/>
        <v/>
      </c>
      <c r="ABT47" s="255"/>
      <c r="ABU47" s="231" t="str">
        <f t="shared" si="391"/>
        <v/>
      </c>
      <c r="ABV47" s="344"/>
      <c r="ABW47" s="39">
        <f t="shared" ref="ABW47" si="710">IF(ABW42=0,0,IF(AND(ABM47&gt;1,ABM53=1),ABM47-1,IF(AND(ABM47=1,ABM53=1),ACE46,ABM47)))</f>
        <v>0</v>
      </c>
      <c r="ABX47" s="2">
        <v>15</v>
      </c>
      <c r="ABY47" s="3" t="s">
        <v>1055</v>
      </c>
      <c r="ABZ47" s="2">
        <f t="shared" ref="ABZ47" si="711">IF(AND(ABW47=ABM47,ABW42=ABM42),ABP47,IF(AND(ABW47=ABM47,ABW42&lt;&gt;ABM42),ACA46+1,IF(AND(ABW47=ABM47-1,ABW42=ABM42),ABQ56+(ABU56*4)+1,ACA46+1)))</f>
        <v>37</v>
      </c>
      <c r="ACA47" s="2">
        <f t="shared" si="393"/>
        <v>38</v>
      </c>
      <c r="ACB47" s="2">
        <v>2</v>
      </c>
      <c r="ACC47" s="255" t="str">
        <f t="shared" si="394"/>
        <v/>
      </c>
      <c r="ACD47" s="255"/>
      <c r="ACE47" s="231" t="str">
        <f t="shared" si="395"/>
        <v/>
      </c>
      <c r="ACF47" s="344"/>
      <c r="ACG47" s="39">
        <f t="shared" ref="ACG47" si="712">IF(ACG42=0,0,IF(AND(ABW47&gt;1,ABW53=1),ABW47-1,IF(AND(ABW47=1,ABW53=1),ACO46,ABW47)))</f>
        <v>0</v>
      </c>
      <c r="ACH47" s="2">
        <v>15</v>
      </c>
      <c r="ACI47" s="3" t="s">
        <v>1055</v>
      </c>
      <c r="ACJ47" s="2">
        <f t="shared" ref="ACJ47" si="713">IF(AND(ACG47=ABW47,ACG42=ABW42),ABZ47,IF(AND(ACG47=ABW47,ACG42&lt;&gt;ABW42),ACK46+1,IF(AND(ACG47=ABW47-1,ACG42=ABW42),ACA56+(ACE56*4)+1,ACK46+1)))</f>
        <v>37</v>
      </c>
      <c r="ACK47" s="2">
        <f t="shared" si="397"/>
        <v>38</v>
      </c>
      <c r="ACL47" s="2">
        <v>2</v>
      </c>
      <c r="ACM47" s="255" t="str">
        <f t="shared" si="398"/>
        <v/>
      </c>
      <c r="ACN47" s="255"/>
      <c r="ACO47" s="231" t="str">
        <f t="shared" si="399"/>
        <v/>
      </c>
      <c r="ACP47" s="344"/>
      <c r="ACQ47" s="39">
        <f t="shared" ref="ACQ47" si="714">IF(ACQ42=0,0,IF(AND(ACG47&gt;1,ACG53=1),ACG47-1,IF(AND(ACG47=1,ACG53=1),ACY46,ACG47)))</f>
        <v>0</v>
      </c>
      <c r="ACR47" s="2">
        <v>15</v>
      </c>
      <c r="ACS47" s="3" t="s">
        <v>1055</v>
      </c>
      <c r="ACT47" s="2">
        <f t="shared" ref="ACT47" si="715">IF(AND(ACQ47=ACG47,ACQ42=ACG42),ACJ47,IF(AND(ACQ47=ACG47,ACQ42&lt;&gt;ACG42),ACU46+1,IF(AND(ACQ47=ACG47-1,ACQ42=ACG42),ACK56+(ACO56*4)+1,ACU46+1)))</f>
        <v>37</v>
      </c>
      <c r="ACU47" s="2">
        <f t="shared" si="401"/>
        <v>38</v>
      </c>
      <c r="ACV47" s="2">
        <v>2</v>
      </c>
      <c r="ACW47" s="255" t="str">
        <f t="shared" si="402"/>
        <v/>
      </c>
      <c r="ACX47" s="255"/>
      <c r="ACY47" s="231" t="str">
        <f t="shared" si="403"/>
        <v/>
      </c>
      <c r="ACZ47" s="344"/>
      <c r="ADA47" s="39">
        <f t="shared" ref="ADA47" si="716">IF(ADA42=0,0,IF(AND(ACQ47&gt;1,ACQ53=1),ACQ47-1,IF(AND(ACQ47=1,ACQ53=1),ADI46,ACQ47)))</f>
        <v>0</v>
      </c>
      <c r="ADB47" s="2">
        <v>15</v>
      </c>
      <c r="ADC47" s="3" t="s">
        <v>1055</v>
      </c>
      <c r="ADD47" s="2">
        <f t="shared" ref="ADD47" si="717">IF(AND(ADA47=ACQ47,ADA42=ACQ42),ACT47,IF(AND(ADA47=ACQ47,ADA42&lt;&gt;ACQ42),ADE46+1,IF(AND(ADA47=ACQ47-1,ADA42=ACQ42),ACU56+(ACY56*4)+1,ADE46+1)))</f>
        <v>37</v>
      </c>
      <c r="ADE47" s="2">
        <f t="shared" si="405"/>
        <v>38</v>
      </c>
      <c r="ADF47" s="2">
        <v>2</v>
      </c>
      <c r="ADG47" s="255" t="str">
        <f t="shared" si="406"/>
        <v/>
      </c>
      <c r="ADH47" s="255"/>
      <c r="ADI47" s="231" t="str">
        <f t="shared" si="407"/>
        <v/>
      </c>
      <c r="ADJ47" s="344"/>
      <c r="ADK47" s="39">
        <f t="shared" ref="ADK47" si="718">IF(ADK42=0,0,IF(AND(ADA47&gt;1,ADA53=1),ADA47-1,IF(AND(ADA47=1,ADA53=1),ADS46,ADA47)))</f>
        <v>0</v>
      </c>
      <c r="ADL47" s="2">
        <v>15</v>
      </c>
      <c r="ADM47" s="3" t="s">
        <v>1055</v>
      </c>
      <c r="ADN47" s="2">
        <f t="shared" ref="ADN47" si="719">IF(AND(ADK47=ADA47,ADK42=ADA42),ADD47,IF(AND(ADK47=ADA47,ADK42&lt;&gt;ADA42),ADO46+1,IF(AND(ADK47=ADA47-1,ADK42=ADA42),ADE56+(ADI56*4)+1,ADO46+1)))</f>
        <v>37</v>
      </c>
      <c r="ADO47" s="2">
        <f t="shared" si="409"/>
        <v>38</v>
      </c>
      <c r="ADP47" s="2">
        <v>2</v>
      </c>
      <c r="ADQ47" s="255" t="str">
        <f t="shared" si="410"/>
        <v/>
      </c>
      <c r="ADR47" s="255"/>
      <c r="ADS47" s="231" t="str">
        <f t="shared" si="411"/>
        <v/>
      </c>
      <c r="ADT47" s="344"/>
      <c r="ADU47" s="39">
        <f t="shared" ref="ADU47" si="720">IF(ADU42=0,0,IF(AND(ADK47&gt;1,ADK53=1),ADK47-1,IF(AND(ADK47=1,ADK53=1),AEC46,ADK47)))</f>
        <v>0</v>
      </c>
      <c r="ADV47" s="2">
        <v>15</v>
      </c>
      <c r="ADW47" s="3" t="s">
        <v>1055</v>
      </c>
      <c r="ADX47" s="2">
        <f t="shared" ref="ADX47" si="721">IF(AND(ADU47=ADK47,ADU42=ADK42),ADN47,IF(AND(ADU47=ADK47,ADU42&lt;&gt;ADK42),ADY46+1,IF(AND(ADU47=ADK47-1,ADU42=ADK42),ADO56+(ADS56*4)+1,ADY46+1)))</f>
        <v>37</v>
      </c>
      <c r="ADY47" s="2">
        <f t="shared" si="413"/>
        <v>38</v>
      </c>
      <c r="ADZ47" s="2">
        <v>2</v>
      </c>
      <c r="AEA47" s="255" t="str">
        <f t="shared" si="414"/>
        <v/>
      </c>
      <c r="AEB47" s="255"/>
      <c r="AEC47" s="231" t="str">
        <f t="shared" si="415"/>
        <v/>
      </c>
      <c r="AED47" s="344"/>
      <c r="AEE47" s="39">
        <f t="shared" ref="AEE47" si="722">IF(AEE42=0,0,IF(AND(ADU47&gt;1,ADU53=1),ADU47-1,IF(AND(ADU47=1,ADU53=1),AEM46,ADU47)))</f>
        <v>0</v>
      </c>
      <c r="AEF47" s="2">
        <v>15</v>
      </c>
      <c r="AEG47" s="3" t="s">
        <v>1055</v>
      </c>
      <c r="AEH47" s="2">
        <f t="shared" ref="AEH47" si="723">IF(AND(AEE47=ADU47,AEE42=ADU42),ADX47,IF(AND(AEE47=ADU47,AEE42&lt;&gt;ADU42),AEI46+1,IF(AND(AEE47=ADU47-1,AEE42=ADU42),ADY56+(AEC56*4)+1,AEI46+1)))</f>
        <v>37</v>
      </c>
      <c r="AEI47" s="2">
        <f t="shared" si="417"/>
        <v>38</v>
      </c>
      <c r="AEJ47" s="2">
        <v>2</v>
      </c>
      <c r="AEK47" s="255" t="str">
        <f t="shared" si="418"/>
        <v/>
      </c>
      <c r="AEL47" s="255"/>
      <c r="AEM47" s="231" t="str">
        <f t="shared" si="419"/>
        <v/>
      </c>
      <c r="AEN47" s="344"/>
      <c r="AEO47" s="39">
        <f t="shared" ref="AEO47" si="724">IF(AEO42=0,0,IF(AND(AEE47&gt;1,AEE53=1),AEE47-1,IF(AND(AEE47=1,AEE53=1),AEW46,AEE47)))</f>
        <v>0</v>
      </c>
      <c r="AEP47" s="2">
        <v>15</v>
      </c>
      <c r="AEQ47" s="3" t="s">
        <v>1055</v>
      </c>
      <c r="AER47" s="2">
        <f t="shared" ref="AER47" si="725">IF(AND(AEO47=AEE47,AEO42=AEE42),AEH47,IF(AND(AEO47=AEE47,AEO42&lt;&gt;AEE42),AES46+1,IF(AND(AEO47=AEE47-1,AEO42=AEE42),AEI56+(AEM56*4)+1,AES46+1)))</f>
        <v>37</v>
      </c>
      <c r="AES47" s="2">
        <f t="shared" si="421"/>
        <v>38</v>
      </c>
      <c r="AET47" s="2">
        <v>2</v>
      </c>
      <c r="AEU47" s="255" t="str">
        <f t="shared" si="422"/>
        <v/>
      </c>
      <c r="AEV47" s="255"/>
      <c r="AEW47" s="231" t="str">
        <f t="shared" si="423"/>
        <v/>
      </c>
      <c r="AEX47" s="344"/>
      <c r="AEY47" s="39">
        <f t="shared" ref="AEY47" si="726">IF(AEY42=0,0,IF(AND(AEO47&gt;1,AEO53=1),AEO47-1,IF(AND(AEO47=1,AEO53=1),AFG46,AEO47)))</f>
        <v>0</v>
      </c>
      <c r="AEZ47" s="2">
        <v>15</v>
      </c>
      <c r="AFA47" s="3" t="s">
        <v>1055</v>
      </c>
      <c r="AFB47" s="2">
        <f t="shared" ref="AFB47" si="727">IF(AND(AEY47=AEO47,AEY42=AEO42),AER47,IF(AND(AEY47=AEO47,AEY42&lt;&gt;AEO42),AFC46+1,IF(AND(AEY47=AEO47-1,AEY42=AEO42),AES56+(AEW56*4)+1,AFC46+1)))</f>
        <v>37</v>
      </c>
      <c r="AFC47" s="2">
        <f t="shared" si="425"/>
        <v>38</v>
      </c>
      <c r="AFD47" s="2">
        <v>2</v>
      </c>
      <c r="AFE47" s="255" t="str">
        <f t="shared" si="426"/>
        <v/>
      </c>
      <c r="AFF47" s="255"/>
      <c r="AFG47" s="231" t="str">
        <f t="shared" si="427"/>
        <v/>
      </c>
      <c r="AFH47" s="344"/>
      <c r="AFI47" s="39">
        <f t="shared" ref="AFI47" si="728">IF(AFI42=0,0,IF(AND(AEY47&gt;1,AEY53=1),AEY47-1,IF(AND(AEY47=1,AEY53=1),AFQ46,AEY47)))</f>
        <v>0</v>
      </c>
      <c r="AFJ47" s="2">
        <v>15</v>
      </c>
      <c r="AFK47" s="3" t="s">
        <v>1055</v>
      </c>
      <c r="AFL47" s="2">
        <f t="shared" ref="AFL47" si="729">IF(AND(AFI47=AEY47,AFI42=AEY42),AFB47,IF(AND(AFI47=AEY47,AFI42&lt;&gt;AEY42),AFM46+1,IF(AND(AFI47=AEY47-1,AFI42=AEY42),AFC56+(AFG56*4)+1,AFM46+1)))</f>
        <v>37</v>
      </c>
      <c r="AFM47" s="2">
        <f t="shared" si="429"/>
        <v>38</v>
      </c>
      <c r="AFN47" s="2">
        <v>2</v>
      </c>
      <c r="AFO47" s="255" t="str">
        <f t="shared" si="430"/>
        <v/>
      </c>
      <c r="AFP47" s="255"/>
      <c r="AFQ47" s="231" t="str">
        <f t="shared" si="431"/>
        <v/>
      </c>
      <c r="AFR47" s="344"/>
      <c r="AFS47" s="39">
        <f t="shared" ref="AFS47" si="730">IF(AFS42=0,0,IF(AND(AFI47&gt;1,AFI53=1),AFI47-1,IF(AND(AFI47=1,AFI53=1),AGA46,AFI47)))</f>
        <v>0</v>
      </c>
      <c r="AFT47" s="2">
        <v>15</v>
      </c>
      <c r="AFU47" s="3" t="s">
        <v>1055</v>
      </c>
      <c r="AFV47" s="2">
        <f t="shared" ref="AFV47" si="731">IF(AND(AFS47=AFI47,AFS42=AFI42),AFL47,IF(AND(AFS47=AFI47,AFS42&lt;&gt;AFI42),AFW46+1,IF(AND(AFS47=AFI47-1,AFS42=AFI42),AFM56+(AFQ56*4)+1,AFW46+1)))</f>
        <v>37</v>
      </c>
      <c r="AFW47" s="2">
        <f t="shared" si="433"/>
        <v>38</v>
      </c>
      <c r="AFX47" s="2">
        <v>2</v>
      </c>
      <c r="AFY47" s="255" t="str">
        <f t="shared" si="434"/>
        <v/>
      </c>
      <c r="AFZ47" s="255"/>
      <c r="AGA47" s="231" t="str">
        <f t="shared" si="435"/>
        <v/>
      </c>
      <c r="AGB47" s="344"/>
      <c r="AGC47" s="39">
        <f t="shared" ref="AGC47" si="732">IF(AGC42=0,0,IF(AND(AFS47&gt;1,AFS53=1),AFS47-1,IF(AND(AFS47=1,AFS53=1),AGK46,AFS47)))</f>
        <v>0</v>
      </c>
      <c r="AGD47" s="2">
        <v>15</v>
      </c>
      <c r="AGE47" s="3" t="s">
        <v>1055</v>
      </c>
      <c r="AGF47" s="2">
        <f t="shared" ref="AGF47" si="733">IF(AND(AGC47=AFS47,AGC42=AFS42),AFV47,IF(AND(AGC47=AFS47,AGC42&lt;&gt;AFS42),AGG46+1,IF(AND(AGC47=AFS47-1,AGC42=AFS42),AFW56+(AGA56*4)+1,AGG46+1)))</f>
        <v>37</v>
      </c>
      <c r="AGG47" s="2">
        <f t="shared" si="437"/>
        <v>38</v>
      </c>
      <c r="AGH47" s="2">
        <v>2</v>
      </c>
      <c r="AGI47" s="255" t="str">
        <f t="shared" si="438"/>
        <v/>
      </c>
      <c r="AGJ47" s="255"/>
      <c r="AGK47" s="231" t="str">
        <f t="shared" si="439"/>
        <v/>
      </c>
      <c r="AGL47" s="344"/>
      <c r="AGM47" s="39">
        <f t="shared" ref="AGM47" si="734">IF(AGM42=0,0,IF(AND(AGC47&gt;1,AGC53=1),AGC47-1,IF(AND(AGC47=1,AGC53=1),AGU46,AGC47)))</f>
        <v>0</v>
      </c>
      <c r="AGN47" s="2">
        <v>15</v>
      </c>
      <c r="AGO47" s="3" t="s">
        <v>1055</v>
      </c>
      <c r="AGP47" s="2">
        <f t="shared" ref="AGP47" si="735">IF(AND(AGM47=AGC47,AGM42=AGC42),AGF47,IF(AND(AGM47=AGC47,AGM42&lt;&gt;AGC42),AGQ46+1,IF(AND(AGM47=AGC47-1,AGM42=AGC42),AGG56+(AGK56*4)+1,AGQ46+1)))</f>
        <v>37</v>
      </c>
      <c r="AGQ47" s="2">
        <f t="shared" si="441"/>
        <v>38</v>
      </c>
      <c r="AGR47" s="2">
        <v>2</v>
      </c>
      <c r="AGS47" s="255" t="str">
        <f t="shared" si="442"/>
        <v/>
      </c>
      <c r="AGT47" s="255"/>
      <c r="AGU47" s="231" t="str">
        <f t="shared" si="443"/>
        <v/>
      </c>
      <c r="AGV47" s="344"/>
      <c r="AGW47" s="39">
        <f t="shared" ref="AGW47" si="736">IF(AGW42=0,0,IF(AND(AGM47&gt;1,AGM53=1),AGM47-1,IF(AND(AGM47=1,AGM53=1),AHE46,AGM47)))</f>
        <v>0</v>
      </c>
      <c r="AGX47" s="2">
        <v>15</v>
      </c>
      <c r="AGY47" s="3" t="s">
        <v>1055</v>
      </c>
      <c r="AGZ47" s="2">
        <f t="shared" ref="AGZ47" si="737">IF(AND(AGW47=AGM47,AGW42=AGM42),AGP47,IF(AND(AGW47=AGM47,AGW42&lt;&gt;AGM42),AHA46+1,IF(AND(AGW47=AGM47-1,AGW42=AGM42),AGQ56+(AGU56*4)+1,AHA46+1)))</f>
        <v>37</v>
      </c>
      <c r="AHA47" s="2">
        <f t="shared" si="445"/>
        <v>38</v>
      </c>
      <c r="AHB47" s="2">
        <v>2</v>
      </c>
      <c r="AHC47" s="255" t="str">
        <f t="shared" si="446"/>
        <v/>
      </c>
      <c r="AHD47" s="255"/>
      <c r="AHE47" s="231" t="str">
        <f t="shared" si="447"/>
        <v/>
      </c>
      <c r="AHF47" s="344"/>
      <c r="AHG47" s="39">
        <f t="shared" ref="AHG47" si="738">IF(AHG42=0,0,IF(AND(AGW47&gt;1,AGW53=1),AGW47-1,IF(AND(AGW47=1,AGW53=1),AHO46,AGW47)))</f>
        <v>0</v>
      </c>
      <c r="AHH47" s="2">
        <v>15</v>
      </c>
      <c r="AHI47" s="3" t="s">
        <v>1055</v>
      </c>
      <c r="AHJ47" s="2">
        <f t="shared" ref="AHJ47" si="739">IF(AND(AHG47=AGW47,AHG42=AGW42),AGZ47,IF(AND(AHG47=AGW47,AHG42&lt;&gt;AGW42),AHK46+1,IF(AND(AHG47=AGW47-1,AHG42=AGW42),AHA56+(AHE56*4)+1,AHK46+1)))</f>
        <v>37</v>
      </c>
      <c r="AHK47" s="2">
        <f t="shared" si="449"/>
        <v>38</v>
      </c>
      <c r="AHL47" s="2">
        <v>2</v>
      </c>
      <c r="AHM47" s="255" t="str">
        <f t="shared" si="450"/>
        <v/>
      </c>
      <c r="AHN47" s="255"/>
      <c r="AHO47" s="231" t="str">
        <f t="shared" si="451"/>
        <v/>
      </c>
      <c r="AHP47" s="344"/>
      <c r="AHQ47" s="39">
        <f t="shared" ref="AHQ47" si="740">IF(AHQ42=0,0,IF(AND(AHG47&gt;1,AHG53=1),AHG47-1,IF(AND(AHG47=1,AHG53=1),AHY46,AHG47)))</f>
        <v>0</v>
      </c>
      <c r="AHR47" s="2">
        <v>15</v>
      </c>
      <c r="AHS47" s="3" t="s">
        <v>1055</v>
      </c>
      <c r="AHT47" s="2">
        <f t="shared" ref="AHT47" si="741">IF(AND(AHQ47=AHG47,AHQ42=AHG42),AHJ47,IF(AND(AHQ47=AHG47,AHQ42&lt;&gt;AHG42),AHU46+1,IF(AND(AHQ47=AHG47-1,AHQ42=AHG42),AHK56+(AHO56*4)+1,AHU46+1)))</f>
        <v>37</v>
      </c>
      <c r="AHU47" s="2">
        <f t="shared" si="453"/>
        <v>38</v>
      </c>
      <c r="AHV47" s="2">
        <v>2</v>
      </c>
      <c r="AHW47" s="255" t="str">
        <f t="shared" si="454"/>
        <v/>
      </c>
      <c r="AHX47" s="255"/>
      <c r="AHY47" s="231" t="str">
        <f t="shared" si="455"/>
        <v/>
      </c>
      <c r="AHZ47" s="344"/>
      <c r="AIA47" s="39">
        <f t="shared" ref="AIA47" si="742">IF(AIA42=0,0,IF(AND(AHQ47&gt;1,AHQ53=1),AHQ47-1,IF(AND(AHQ47=1,AHQ53=1),AII46,AHQ47)))</f>
        <v>0</v>
      </c>
      <c r="AIB47" s="2">
        <v>15</v>
      </c>
      <c r="AIC47" s="3" t="s">
        <v>1055</v>
      </c>
      <c r="AID47" s="2">
        <f t="shared" ref="AID47" si="743">IF(AND(AIA47=AHQ47,AIA42=AHQ42),AHT47,IF(AND(AIA47=AHQ47,AIA42&lt;&gt;AHQ42),AIE46+1,IF(AND(AIA47=AHQ47-1,AIA42=AHQ42),AHU56+(AHY56*4)+1,AIE46+1)))</f>
        <v>37</v>
      </c>
      <c r="AIE47" s="2">
        <f t="shared" si="457"/>
        <v>38</v>
      </c>
      <c r="AIF47" s="2">
        <v>2</v>
      </c>
      <c r="AIG47" s="255" t="str">
        <f t="shared" si="458"/>
        <v/>
      </c>
      <c r="AIH47" s="255"/>
      <c r="AII47" s="231" t="str">
        <f t="shared" si="459"/>
        <v/>
      </c>
      <c r="AIJ47" s="344"/>
      <c r="AIK47" s="39">
        <f t="shared" ref="AIK47" si="744">IF(AIK42=0,0,IF(AND(AIA47&gt;1,AIA53=1),AIA47-1,IF(AND(AIA47=1,AIA53=1),AIS46,AIA47)))</f>
        <v>0</v>
      </c>
      <c r="AIL47" s="2">
        <v>15</v>
      </c>
      <c r="AIM47" s="3" t="s">
        <v>1055</v>
      </c>
      <c r="AIN47" s="2">
        <f t="shared" ref="AIN47" si="745">IF(AND(AIK47=AIA47,AIK42=AIA42),AID47,IF(AND(AIK47=AIA47,AIK42&lt;&gt;AIA42),AIO46+1,IF(AND(AIK47=AIA47-1,AIK42=AIA42),AIE56+(AII56*4)+1,AIO46+1)))</f>
        <v>37</v>
      </c>
      <c r="AIO47" s="2">
        <f t="shared" si="461"/>
        <v>38</v>
      </c>
      <c r="AIP47" s="2">
        <v>2</v>
      </c>
      <c r="AIQ47" s="255" t="str">
        <f t="shared" si="462"/>
        <v/>
      </c>
      <c r="AIR47" s="255"/>
      <c r="AIS47" s="231" t="str">
        <f t="shared" si="463"/>
        <v/>
      </c>
      <c r="AIT47" s="344"/>
      <c r="AIU47" s="39">
        <f t="shared" ref="AIU47" si="746">IF(AIU42=0,0,IF(AND(AIK47&gt;1,AIK53=1),AIK47-1,IF(AND(AIK47=1,AIK53=1),AJC46,AIK47)))</f>
        <v>0</v>
      </c>
      <c r="AIV47" s="2">
        <v>15</v>
      </c>
      <c r="AIW47" s="3" t="s">
        <v>1055</v>
      </c>
      <c r="AIX47" s="2">
        <f t="shared" ref="AIX47" si="747">IF(AND(AIU47=AIK47,AIU42=AIK42),AIN47,IF(AND(AIU47=AIK47,AIU42&lt;&gt;AIK42),AIY46+1,IF(AND(AIU47=AIK47-1,AIU42=AIK42),AIO56+(AIS56*4)+1,AIY46+1)))</f>
        <v>37</v>
      </c>
      <c r="AIY47" s="2">
        <f t="shared" si="465"/>
        <v>38</v>
      </c>
      <c r="AIZ47" s="2">
        <v>2</v>
      </c>
      <c r="AJA47" s="255" t="str">
        <f t="shared" si="466"/>
        <v/>
      </c>
      <c r="AJB47" s="255"/>
      <c r="AJC47" s="231" t="str">
        <f t="shared" si="467"/>
        <v/>
      </c>
      <c r="AJD47" s="344"/>
    </row>
    <row r="48" spans="1:940" ht="15" customHeight="1">
      <c r="A48" s="366" t="s">
        <v>1250</v>
      </c>
      <c r="B48" s="2">
        <v>17</v>
      </c>
      <c r="C48" s="3" t="s">
        <v>1161</v>
      </c>
      <c r="D48" s="2">
        <f t="shared" si="561"/>
        <v>39</v>
      </c>
      <c r="E48" s="2">
        <f t="shared" si="563"/>
        <v>41</v>
      </c>
      <c r="F48" s="2">
        <v>3</v>
      </c>
      <c r="G48" s="255" t="str">
        <f t="shared" si="468"/>
        <v/>
      </c>
      <c r="H48" s="255"/>
      <c r="I48" s="231">
        <f t="shared" si="96"/>
        <v>0</v>
      </c>
      <c r="J48" s="205"/>
      <c r="K48" s="353" t="s">
        <v>1250</v>
      </c>
      <c r="L48" s="2">
        <v>16</v>
      </c>
      <c r="M48" s="3" t="s">
        <v>1161</v>
      </c>
      <c r="N48" s="2">
        <f t="shared" si="562"/>
        <v>39</v>
      </c>
      <c r="O48" s="2">
        <f t="shared" si="97"/>
        <v>41</v>
      </c>
      <c r="P48" s="2">
        <v>3</v>
      </c>
      <c r="Q48" s="255" t="str">
        <f t="shared" si="98"/>
        <v/>
      </c>
      <c r="R48" s="255"/>
      <c r="S48" s="231" t="str">
        <f t="shared" si="99"/>
        <v/>
      </c>
      <c r="T48" s="344"/>
      <c r="U48" s="353" t="s">
        <v>1250</v>
      </c>
      <c r="V48" s="2">
        <v>16</v>
      </c>
      <c r="W48" s="3" t="s">
        <v>1161</v>
      </c>
      <c r="X48" s="2">
        <f t="shared" ref="X48:X52" si="748">Y47+1</f>
        <v>39</v>
      </c>
      <c r="Y48" s="2">
        <f t="shared" si="101"/>
        <v>41</v>
      </c>
      <c r="Z48" s="2">
        <v>3</v>
      </c>
      <c r="AA48" s="255" t="str">
        <f t="shared" si="102"/>
        <v/>
      </c>
      <c r="AB48" s="255"/>
      <c r="AC48" s="231" t="str">
        <f t="shared" si="103"/>
        <v/>
      </c>
      <c r="AD48" s="344"/>
      <c r="AE48" s="353" t="s">
        <v>1250</v>
      </c>
      <c r="AF48" s="2">
        <v>16</v>
      </c>
      <c r="AG48" s="3" t="s">
        <v>1161</v>
      </c>
      <c r="AH48" s="2">
        <f t="shared" ref="AH48:AH52" si="749">AI47+1</f>
        <v>39</v>
      </c>
      <c r="AI48" s="2">
        <f t="shared" si="105"/>
        <v>41</v>
      </c>
      <c r="AJ48" s="2">
        <v>3</v>
      </c>
      <c r="AK48" s="255" t="str">
        <f t="shared" si="106"/>
        <v/>
      </c>
      <c r="AL48" s="255"/>
      <c r="AM48" s="231" t="str">
        <f t="shared" si="107"/>
        <v/>
      </c>
      <c r="AN48" s="344"/>
      <c r="AO48" s="353" t="s">
        <v>1250</v>
      </c>
      <c r="AP48" s="2">
        <v>16</v>
      </c>
      <c r="AQ48" s="3" t="s">
        <v>1161</v>
      </c>
      <c r="AR48" s="2">
        <f t="shared" ref="AR48:AR52" si="750">AS47+1</f>
        <v>39</v>
      </c>
      <c r="AS48" s="2">
        <f t="shared" si="109"/>
        <v>41</v>
      </c>
      <c r="AT48" s="2">
        <v>3</v>
      </c>
      <c r="AU48" s="255" t="str">
        <f t="shared" si="110"/>
        <v/>
      </c>
      <c r="AV48" s="255"/>
      <c r="AW48" s="231" t="str">
        <f t="shared" si="111"/>
        <v/>
      </c>
      <c r="AX48" s="344"/>
      <c r="AY48" s="353" t="s">
        <v>1250</v>
      </c>
      <c r="AZ48" s="2">
        <v>16</v>
      </c>
      <c r="BA48" s="3" t="s">
        <v>1161</v>
      </c>
      <c r="BB48" s="2">
        <f t="shared" ref="BB48:BB52" si="751">BC47+1</f>
        <v>39</v>
      </c>
      <c r="BC48" s="2">
        <f t="shared" si="113"/>
        <v>41</v>
      </c>
      <c r="BD48" s="2">
        <v>3</v>
      </c>
      <c r="BE48" s="255" t="str">
        <f t="shared" si="114"/>
        <v/>
      </c>
      <c r="BF48" s="255"/>
      <c r="BG48" s="231" t="str">
        <f t="shared" si="115"/>
        <v/>
      </c>
      <c r="BH48" s="344"/>
      <c r="BI48" s="353" t="s">
        <v>1250</v>
      </c>
      <c r="BJ48" s="2">
        <v>16</v>
      </c>
      <c r="BK48" s="3" t="s">
        <v>1161</v>
      </c>
      <c r="BL48" s="2">
        <f t="shared" ref="BL48:BL52" si="752">BM47+1</f>
        <v>39</v>
      </c>
      <c r="BM48" s="2">
        <f t="shared" si="117"/>
        <v>41</v>
      </c>
      <c r="BN48" s="2">
        <v>3</v>
      </c>
      <c r="BO48" s="255" t="str">
        <f t="shared" si="118"/>
        <v/>
      </c>
      <c r="BP48" s="255"/>
      <c r="BQ48" s="231" t="str">
        <f t="shared" si="119"/>
        <v/>
      </c>
      <c r="BR48" s="344"/>
      <c r="BS48" s="353" t="s">
        <v>1250</v>
      </c>
      <c r="BT48" s="2">
        <v>16</v>
      </c>
      <c r="BU48" s="3" t="s">
        <v>1161</v>
      </c>
      <c r="BV48" s="2">
        <f t="shared" ref="BV48:BV52" si="753">BW47+1</f>
        <v>39</v>
      </c>
      <c r="BW48" s="2">
        <f t="shared" si="121"/>
        <v>41</v>
      </c>
      <c r="BX48" s="2">
        <v>3</v>
      </c>
      <c r="BY48" s="255" t="str">
        <f t="shared" si="122"/>
        <v/>
      </c>
      <c r="BZ48" s="255"/>
      <c r="CA48" s="231" t="str">
        <f t="shared" si="123"/>
        <v/>
      </c>
      <c r="CB48" s="344"/>
      <c r="CC48" s="353" t="s">
        <v>1250</v>
      </c>
      <c r="CD48" s="2">
        <v>16</v>
      </c>
      <c r="CE48" s="3" t="s">
        <v>1161</v>
      </c>
      <c r="CF48" s="2">
        <f t="shared" ref="CF48:CF52" si="754">CG47+1</f>
        <v>39</v>
      </c>
      <c r="CG48" s="2">
        <f t="shared" si="125"/>
        <v>41</v>
      </c>
      <c r="CH48" s="2">
        <v>3</v>
      </c>
      <c r="CI48" s="255" t="str">
        <f t="shared" si="126"/>
        <v/>
      </c>
      <c r="CJ48" s="255"/>
      <c r="CK48" s="231" t="str">
        <f t="shared" si="127"/>
        <v/>
      </c>
      <c r="CL48" s="344"/>
      <c r="CM48" s="353" t="s">
        <v>1250</v>
      </c>
      <c r="CN48" s="2">
        <v>16</v>
      </c>
      <c r="CO48" s="3" t="s">
        <v>1161</v>
      </c>
      <c r="CP48" s="2">
        <f t="shared" ref="CP48:CP52" si="755">CQ47+1</f>
        <v>39</v>
      </c>
      <c r="CQ48" s="2">
        <f t="shared" si="129"/>
        <v>41</v>
      </c>
      <c r="CR48" s="2">
        <v>3</v>
      </c>
      <c r="CS48" s="255" t="str">
        <f t="shared" si="130"/>
        <v/>
      </c>
      <c r="CT48" s="255"/>
      <c r="CU48" s="231" t="str">
        <f t="shared" si="131"/>
        <v/>
      </c>
      <c r="CV48" s="344"/>
      <c r="CW48" s="353" t="s">
        <v>1250</v>
      </c>
      <c r="CX48" s="2">
        <v>16</v>
      </c>
      <c r="CY48" s="3" t="s">
        <v>1161</v>
      </c>
      <c r="CZ48" s="2">
        <f t="shared" ref="CZ48:CZ52" si="756">DA47+1</f>
        <v>39</v>
      </c>
      <c r="DA48" s="2">
        <f t="shared" si="133"/>
        <v>41</v>
      </c>
      <c r="DB48" s="2">
        <v>3</v>
      </c>
      <c r="DC48" s="255" t="str">
        <f t="shared" si="134"/>
        <v/>
      </c>
      <c r="DD48" s="255"/>
      <c r="DE48" s="231" t="str">
        <f t="shared" si="135"/>
        <v/>
      </c>
      <c r="DF48" s="344"/>
      <c r="DG48" s="353" t="s">
        <v>1250</v>
      </c>
      <c r="DH48" s="2">
        <v>16</v>
      </c>
      <c r="DI48" s="3" t="s">
        <v>1161</v>
      </c>
      <c r="DJ48" s="2">
        <f t="shared" ref="DJ48:DJ52" si="757">DK47+1</f>
        <v>39</v>
      </c>
      <c r="DK48" s="2">
        <f t="shared" si="137"/>
        <v>41</v>
      </c>
      <c r="DL48" s="2">
        <v>3</v>
      </c>
      <c r="DM48" s="255" t="str">
        <f t="shared" si="138"/>
        <v/>
      </c>
      <c r="DN48" s="255"/>
      <c r="DO48" s="231" t="str">
        <f t="shared" si="139"/>
        <v/>
      </c>
      <c r="DP48" s="344"/>
      <c r="DQ48" s="353" t="s">
        <v>1250</v>
      </c>
      <c r="DR48" s="2">
        <v>16</v>
      </c>
      <c r="DS48" s="3" t="s">
        <v>1161</v>
      </c>
      <c r="DT48" s="2">
        <f t="shared" ref="DT48:DT52" si="758">DU47+1</f>
        <v>39</v>
      </c>
      <c r="DU48" s="2">
        <f t="shared" si="141"/>
        <v>41</v>
      </c>
      <c r="DV48" s="2">
        <v>3</v>
      </c>
      <c r="DW48" s="255" t="str">
        <f t="shared" si="142"/>
        <v/>
      </c>
      <c r="DX48" s="255"/>
      <c r="DY48" s="231" t="str">
        <f t="shared" si="143"/>
        <v/>
      </c>
      <c r="DZ48" s="344"/>
      <c r="EA48" s="353" t="s">
        <v>1250</v>
      </c>
      <c r="EB48" s="2">
        <v>16</v>
      </c>
      <c r="EC48" s="3" t="s">
        <v>1161</v>
      </c>
      <c r="ED48" s="2">
        <f t="shared" ref="ED48:ED52" si="759">EE47+1</f>
        <v>39</v>
      </c>
      <c r="EE48" s="2">
        <f t="shared" si="145"/>
        <v>41</v>
      </c>
      <c r="EF48" s="2">
        <v>3</v>
      </c>
      <c r="EG48" s="255" t="str">
        <f t="shared" si="146"/>
        <v/>
      </c>
      <c r="EH48" s="255"/>
      <c r="EI48" s="231" t="str">
        <f t="shared" si="147"/>
        <v/>
      </c>
      <c r="EJ48" s="344"/>
      <c r="EK48" s="353" t="s">
        <v>1250</v>
      </c>
      <c r="EL48" s="2">
        <v>16</v>
      </c>
      <c r="EM48" s="3" t="s">
        <v>1161</v>
      </c>
      <c r="EN48" s="2">
        <f t="shared" ref="EN48:EN52" si="760">EO47+1</f>
        <v>39</v>
      </c>
      <c r="EO48" s="2">
        <f t="shared" si="149"/>
        <v>41</v>
      </c>
      <c r="EP48" s="2">
        <v>3</v>
      </c>
      <c r="EQ48" s="255" t="str">
        <f t="shared" si="150"/>
        <v/>
      </c>
      <c r="ER48" s="255"/>
      <c r="ES48" s="231" t="str">
        <f t="shared" si="151"/>
        <v/>
      </c>
      <c r="ET48" s="344"/>
      <c r="EU48" s="353" t="s">
        <v>1250</v>
      </c>
      <c r="EV48" s="2">
        <v>16</v>
      </c>
      <c r="EW48" s="3" t="s">
        <v>1161</v>
      </c>
      <c r="EX48" s="2">
        <f t="shared" ref="EX48:EX52" si="761">EY47+1</f>
        <v>39</v>
      </c>
      <c r="EY48" s="2">
        <f t="shared" si="153"/>
        <v>41</v>
      </c>
      <c r="EZ48" s="2">
        <v>3</v>
      </c>
      <c r="FA48" s="255" t="str">
        <f t="shared" si="154"/>
        <v/>
      </c>
      <c r="FB48" s="255"/>
      <c r="FC48" s="231" t="str">
        <f t="shared" si="155"/>
        <v/>
      </c>
      <c r="FD48" s="344"/>
      <c r="FE48" s="353" t="s">
        <v>1250</v>
      </c>
      <c r="FF48" s="2">
        <v>16</v>
      </c>
      <c r="FG48" s="3" t="s">
        <v>1161</v>
      </c>
      <c r="FH48" s="2">
        <f t="shared" ref="FH48:FH52" si="762">FI47+1</f>
        <v>39</v>
      </c>
      <c r="FI48" s="2">
        <f t="shared" si="157"/>
        <v>41</v>
      </c>
      <c r="FJ48" s="2">
        <v>3</v>
      </c>
      <c r="FK48" s="255" t="str">
        <f t="shared" si="158"/>
        <v/>
      </c>
      <c r="FL48" s="255"/>
      <c r="FM48" s="231" t="str">
        <f t="shared" si="159"/>
        <v/>
      </c>
      <c r="FN48" s="344"/>
      <c r="FO48" s="353" t="s">
        <v>1250</v>
      </c>
      <c r="FP48" s="2">
        <v>16</v>
      </c>
      <c r="FQ48" s="3" t="s">
        <v>1161</v>
      </c>
      <c r="FR48" s="2">
        <f t="shared" ref="FR48:FR52" si="763">FS47+1</f>
        <v>39</v>
      </c>
      <c r="FS48" s="2">
        <f t="shared" si="161"/>
        <v>41</v>
      </c>
      <c r="FT48" s="2">
        <v>3</v>
      </c>
      <c r="FU48" s="255" t="str">
        <f t="shared" si="162"/>
        <v/>
      </c>
      <c r="FV48" s="255"/>
      <c r="FW48" s="231" t="str">
        <f t="shared" si="163"/>
        <v/>
      </c>
      <c r="FX48" s="344"/>
      <c r="FY48" s="353" t="s">
        <v>1250</v>
      </c>
      <c r="FZ48" s="2">
        <v>16</v>
      </c>
      <c r="GA48" s="3" t="s">
        <v>1161</v>
      </c>
      <c r="GB48" s="2">
        <f t="shared" ref="GB48:GB52" si="764">GC47+1</f>
        <v>39</v>
      </c>
      <c r="GC48" s="2">
        <f t="shared" si="165"/>
        <v>41</v>
      </c>
      <c r="GD48" s="2">
        <v>3</v>
      </c>
      <c r="GE48" s="255" t="str">
        <f t="shared" si="166"/>
        <v/>
      </c>
      <c r="GF48" s="255"/>
      <c r="GG48" s="231" t="str">
        <f t="shared" si="167"/>
        <v/>
      </c>
      <c r="GH48" s="344"/>
      <c r="GI48" s="353" t="s">
        <v>1250</v>
      </c>
      <c r="GJ48" s="2">
        <v>16</v>
      </c>
      <c r="GK48" s="3" t="s">
        <v>1161</v>
      </c>
      <c r="GL48" s="2">
        <f t="shared" ref="GL48:GL52" si="765">GM47+1</f>
        <v>39</v>
      </c>
      <c r="GM48" s="2">
        <f t="shared" si="169"/>
        <v>41</v>
      </c>
      <c r="GN48" s="2">
        <v>3</v>
      </c>
      <c r="GO48" s="255" t="str">
        <f t="shared" si="170"/>
        <v/>
      </c>
      <c r="GP48" s="255"/>
      <c r="GQ48" s="231" t="str">
        <f t="shared" si="171"/>
        <v/>
      </c>
      <c r="GR48" s="344"/>
      <c r="GS48" s="353" t="s">
        <v>1250</v>
      </c>
      <c r="GT48" s="2">
        <v>16</v>
      </c>
      <c r="GU48" s="3" t="s">
        <v>1161</v>
      </c>
      <c r="GV48" s="2">
        <f t="shared" ref="GV48:GV52" si="766">GW47+1</f>
        <v>39</v>
      </c>
      <c r="GW48" s="2">
        <f t="shared" si="173"/>
        <v>41</v>
      </c>
      <c r="GX48" s="2">
        <v>3</v>
      </c>
      <c r="GY48" s="255" t="str">
        <f t="shared" si="174"/>
        <v/>
      </c>
      <c r="GZ48" s="255"/>
      <c r="HA48" s="231" t="str">
        <f t="shared" si="175"/>
        <v/>
      </c>
      <c r="HB48" s="344"/>
      <c r="HC48" s="353" t="s">
        <v>1250</v>
      </c>
      <c r="HD48" s="2">
        <v>16</v>
      </c>
      <c r="HE48" s="3" t="s">
        <v>1161</v>
      </c>
      <c r="HF48" s="2">
        <f t="shared" ref="HF48:HF52" si="767">HG47+1</f>
        <v>39</v>
      </c>
      <c r="HG48" s="2">
        <f t="shared" si="177"/>
        <v>41</v>
      </c>
      <c r="HH48" s="2">
        <v>3</v>
      </c>
      <c r="HI48" s="255" t="str">
        <f t="shared" si="178"/>
        <v/>
      </c>
      <c r="HJ48" s="255"/>
      <c r="HK48" s="231" t="str">
        <f t="shared" si="179"/>
        <v/>
      </c>
      <c r="HL48" s="344"/>
      <c r="HM48" s="353" t="s">
        <v>1250</v>
      </c>
      <c r="HN48" s="2">
        <v>16</v>
      </c>
      <c r="HO48" s="3" t="s">
        <v>1161</v>
      </c>
      <c r="HP48" s="2">
        <f t="shared" ref="HP48:HP52" si="768">HQ47+1</f>
        <v>39</v>
      </c>
      <c r="HQ48" s="2">
        <f t="shared" si="181"/>
        <v>41</v>
      </c>
      <c r="HR48" s="2">
        <v>3</v>
      </c>
      <c r="HS48" s="255" t="str">
        <f t="shared" si="182"/>
        <v/>
      </c>
      <c r="HT48" s="255"/>
      <c r="HU48" s="231" t="str">
        <f t="shared" si="183"/>
        <v/>
      </c>
      <c r="HV48" s="344"/>
      <c r="HW48" s="353" t="s">
        <v>1250</v>
      </c>
      <c r="HX48" s="2">
        <v>16</v>
      </c>
      <c r="HY48" s="3" t="s">
        <v>1161</v>
      </c>
      <c r="HZ48" s="2">
        <f t="shared" ref="HZ48:HZ52" si="769">IA47+1</f>
        <v>39</v>
      </c>
      <c r="IA48" s="2">
        <f t="shared" si="185"/>
        <v>41</v>
      </c>
      <c r="IB48" s="2">
        <v>3</v>
      </c>
      <c r="IC48" s="255" t="str">
        <f t="shared" si="186"/>
        <v/>
      </c>
      <c r="ID48" s="255"/>
      <c r="IE48" s="231" t="str">
        <f t="shared" si="187"/>
        <v/>
      </c>
      <c r="IF48" s="344"/>
      <c r="IG48" s="353" t="s">
        <v>1250</v>
      </c>
      <c r="IH48" s="2">
        <v>16</v>
      </c>
      <c r="II48" s="3" t="s">
        <v>1161</v>
      </c>
      <c r="IJ48" s="2">
        <f t="shared" ref="IJ48:IJ52" si="770">IK47+1</f>
        <v>39</v>
      </c>
      <c r="IK48" s="2">
        <f t="shared" si="189"/>
        <v>41</v>
      </c>
      <c r="IL48" s="2">
        <v>3</v>
      </c>
      <c r="IM48" s="255" t="str">
        <f t="shared" si="190"/>
        <v/>
      </c>
      <c r="IN48" s="255"/>
      <c r="IO48" s="231" t="str">
        <f t="shared" si="191"/>
        <v/>
      </c>
      <c r="IP48" s="344"/>
      <c r="IQ48" s="353" t="s">
        <v>1250</v>
      </c>
      <c r="IR48" s="2">
        <v>16</v>
      </c>
      <c r="IS48" s="3" t="s">
        <v>1161</v>
      </c>
      <c r="IT48" s="2">
        <f t="shared" ref="IT48:IT52" si="771">IU47+1</f>
        <v>39</v>
      </c>
      <c r="IU48" s="2">
        <f t="shared" si="193"/>
        <v>41</v>
      </c>
      <c r="IV48" s="2">
        <v>3</v>
      </c>
      <c r="IW48" s="255" t="str">
        <f t="shared" si="194"/>
        <v/>
      </c>
      <c r="IX48" s="255"/>
      <c r="IY48" s="231" t="str">
        <f t="shared" si="195"/>
        <v/>
      </c>
      <c r="IZ48" s="344"/>
      <c r="JA48" s="353" t="s">
        <v>1250</v>
      </c>
      <c r="JB48" s="2">
        <v>16</v>
      </c>
      <c r="JC48" s="3" t="s">
        <v>1161</v>
      </c>
      <c r="JD48" s="2">
        <f t="shared" ref="JD48:JD52" si="772">JE47+1</f>
        <v>39</v>
      </c>
      <c r="JE48" s="2">
        <f t="shared" si="197"/>
        <v>41</v>
      </c>
      <c r="JF48" s="2">
        <v>3</v>
      </c>
      <c r="JG48" s="255" t="str">
        <f t="shared" si="198"/>
        <v/>
      </c>
      <c r="JH48" s="255"/>
      <c r="JI48" s="231" t="str">
        <f t="shared" si="199"/>
        <v/>
      </c>
      <c r="JJ48" s="344"/>
      <c r="JK48" s="353" t="s">
        <v>1250</v>
      </c>
      <c r="JL48" s="2">
        <v>16</v>
      </c>
      <c r="JM48" s="3" t="s">
        <v>1161</v>
      </c>
      <c r="JN48" s="2">
        <f t="shared" ref="JN48:JN52" si="773">JO47+1</f>
        <v>39</v>
      </c>
      <c r="JO48" s="2">
        <f t="shared" si="201"/>
        <v>41</v>
      </c>
      <c r="JP48" s="2">
        <v>3</v>
      </c>
      <c r="JQ48" s="255" t="str">
        <f t="shared" si="202"/>
        <v/>
      </c>
      <c r="JR48" s="255"/>
      <c r="JS48" s="231" t="str">
        <f t="shared" si="203"/>
        <v/>
      </c>
      <c r="JT48" s="344"/>
      <c r="JU48" s="353" t="s">
        <v>1250</v>
      </c>
      <c r="JV48" s="2">
        <v>16</v>
      </c>
      <c r="JW48" s="3" t="s">
        <v>1161</v>
      </c>
      <c r="JX48" s="2">
        <f t="shared" ref="JX48:JX52" si="774">JY47+1</f>
        <v>39</v>
      </c>
      <c r="JY48" s="2">
        <f t="shared" si="205"/>
        <v>41</v>
      </c>
      <c r="JZ48" s="2">
        <v>3</v>
      </c>
      <c r="KA48" s="255" t="str">
        <f t="shared" si="206"/>
        <v/>
      </c>
      <c r="KB48" s="255"/>
      <c r="KC48" s="231" t="str">
        <f t="shared" si="207"/>
        <v/>
      </c>
      <c r="KD48" s="344"/>
      <c r="KE48" s="353" t="s">
        <v>1250</v>
      </c>
      <c r="KF48" s="2">
        <v>16</v>
      </c>
      <c r="KG48" s="3" t="s">
        <v>1161</v>
      </c>
      <c r="KH48" s="2">
        <f t="shared" ref="KH48:KH52" si="775">KI47+1</f>
        <v>39</v>
      </c>
      <c r="KI48" s="2">
        <f t="shared" si="209"/>
        <v>41</v>
      </c>
      <c r="KJ48" s="2">
        <v>3</v>
      </c>
      <c r="KK48" s="255" t="str">
        <f t="shared" si="210"/>
        <v/>
      </c>
      <c r="KL48" s="255"/>
      <c r="KM48" s="231" t="str">
        <f t="shared" si="211"/>
        <v/>
      </c>
      <c r="KN48" s="344"/>
      <c r="KO48" s="353" t="s">
        <v>1250</v>
      </c>
      <c r="KP48" s="2">
        <v>16</v>
      </c>
      <c r="KQ48" s="3" t="s">
        <v>1161</v>
      </c>
      <c r="KR48" s="2">
        <f t="shared" ref="KR48:KR52" si="776">KS47+1</f>
        <v>39</v>
      </c>
      <c r="KS48" s="2">
        <f t="shared" si="213"/>
        <v>41</v>
      </c>
      <c r="KT48" s="2">
        <v>3</v>
      </c>
      <c r="KU48" s="255" t="str">
        <f t="shared" si="214"/>
        <v/>
      </c>
      <c r="KV48" s="255"/>
      <c r="KW48" s="231" t="str">
        <f t="shared" si="215"/>
        <v/>
      </c>
      <c r="KX48" s="344"/>
      <c r="KY48" s="353" t="s">
        <v>1250</v>
      </c>
      <c r="KZ48" s="2">
        <v>16</v>
      </c>
      <c r="LA48" s="3" t="s">
        <v>1161</v>
      </c>
      <c r="LB48" s="2">
        <f t="shared" ref="LB48:LB52" si="777">LC47+1</f>
        <v>39</v>
      </c>
      <c r="LC48" s="2">
        <f t="shared" si="217"/>
        <v>41</v>
      </c>
      <c r="LD48" s="2">
        <v>3</v>
      </c>
      <c r="LE48" s="255" t="str">
        <f t="shared" si="218"/>
        <v/>
      </c>
      <c r="LF48" s="255"/>
      <c r="LG48" s="231" t="str">
        <f t="shared" si="219"/>
        <v/>
      </c>
      <c r="LH48" s="344"/>
      <c r="LI48" s="353" t="s">
        <v>1250</v>
      </c>
      <c r="LJ48" s="2">
        <v>16</v>
      </c>
      <c r="LK48" s="3" t="s">
        <v>1161</v>
      </c>
      <c r="LL48" s="2">
        <f t="shared" ref="LL48:LL52" si="778">LM47+1</f>
        <v>39</v>
      </c>
      <c r="LM48" s="2">
        <f t="shared" si="221"/>
        <v>41</v>
      </c>
      <c r="LN48" s="2">
        <v>3</v>
      </c>
      <c r="LO48" s="255" t="str">
        <f t="shared" si="222"/>
        <v/>
      </c>
      <c r="LP48" s="255"/>
      <c r="LQ48" s="231" t="str">
        <f t="shared" si="223"/>
        <v/>
      </c>
      <c r="LR48" s="344"/>
      <c r="LS48" s="353" t="s">
        <v>1250</v>
      </c>
      <c r="LT48" s="2">
        <v>16</v>
      </c>
      <c r="LU48" s="3" t="s">
        <v>1161</v>
      </c>
      <c r="LV48" s="2">
        <f t="shared" ref="LV48:LV52" si="779">LW47+1</f>
        <v>39</v>
      </c>
      <c r="LW48" s="2">
        <f t="shared" si="225"/>
        <v>41</v>
      </c>
      <c r="LX48" s="2">
        <v>3</v>
      </c>
      <c r="LY48" s="255" t="str">
        <f t="shared" si="226"/>
        <v/>
      </c>
      <c r="LZ48" s="255"/>
      <c r="MA48" s="231" t="str">
        <f t="shared" si="227"/>
        <v/>
      </c>
      <c r="MB48" s="344"/>
      <c r="MC48" s="353" t="s">
        <v>1250</v>
      </c>
      <c r="MD48" s="2">
        <v>16</v>
      </c>
      <c r="ME48" s="3" t="s">
        <v>1161</v>
      </c>
      <c r="MF48" s="2">
        <f t="shared" ref="MF48:MF52" si="780">MG47+1</f>
        <v>39</v>
      </c>
      <c r="MG48" s="2">
        <f t="shared" si="229"/>
        <v>41</v>
      </c>
      <c r="MH48" s="2">
        <v>3</v>
      </c>
      <c r="MI48" s="255" t="str">
        <f t="shared" si="230"/>
        <v/>
      </c>
      <c r="MJ48" s="255"/>
      <c r="MK48" s="231" t="str">
        <f t="shared" si="231"/>
        <v/>
      </c>
      <c r="ML48" s="344"/>
      <c r="MM48" s="353" t="s">
        <v>1250</v>
      </c>
      <c r="MN48" s="2">
        <v>16</v>
      </c>
      <c r="MO48" s="3" t="s">
        <v>1161</v>
      </c>
      <c r="MP48" s="2">
        <f t="shared" ref="MP48:MP52" si="781">MQ47+1</f>
        <v>39</v>
      </c>
      <c r="MQ48" s="2">
        <f t="shared" si="233"/>
        <v>41</v>
      </c>
      <c r="MR48" s="2">
        <v>3</v>
      </c>
      <c r="MS48" s="255" t="str">
        <f t="shared" si="234"/>
        <v/>
      </c>
      <c r="MT48" s="255"/>
      <c r="MU48" s="231" t="str">
        <f t="shared" si="235"/>
        <v/>
      </c>
      <c r="MV48" s="344"/>
      <c r="MW48" s="353" t="s">
        <v>1250</v>
      </c>
      <c r="MX48" s="2">
        <v>16</v>
      </c>
      <c r="MY48" s="3" t="s">
        <v>1161</v>
      </c>
      <c r="MZ48" s="2">
        <f t="shared" ref="MZ48:MZ52" si="782">NA47+1</f>
        <v>39</v>
      </c>
      <c r="NA48" s="2">
        <f t="shared" si="237"/>
        <v>41</v>
      </c>
      <c r="NB48" s="2">
        <v>3</v>
      </c>
      <c r="NC48" s="255" t="str">
        <f t="shared" si="238"/>
        <v/>
      </c>
      <c r="ND48" s="255"/>
      <c r="NE48" s="231" t="str">
        <f t="shared" si="239"/>
        <v/>
      </c>
      <c r="NF48" s="344"/>
      <c r="NG48" s="353" t="s">
        <v>1250</v>
      </c>
      <c r="NH48" s="2">
        <v>16</v>
      </c>
      <c r="NI48" s="3" t="s">
        <v>1161</v>
      </c>
      <c r="NJ48" s="2">
        <f t="shared" ref="NJ48:NJ52" si="783">NK47+1</f>
        <v>39</v>
      </c>
      <c r="NK48" s="2">
        <f t="shared" si="241"/>
        <v>41</v>
      </c>
      <c r="NL48" s="2">
        <v>3</v>
      </c>
      <c r="NM48" s="255" t="str">
        <f t="shared" si="242"/>
        <v/>
      </c>
      <c r="NN48" s="255"/>
      <c r="NO48" s="231" t="str">
        <f t="shared" si="243"/>
        <v/>
      </c>
      <c r="NP48" s="344"/>
      <c r="NQ48" s="353" t="s">
        <v>1250</v>
      </c>
      <c r="NR48" s="2">
        <v>16</v>
      </c>
      <c r="NS48" s="3" t="s">
        <v>1161</v>
      </c>
      <c r="NT48" s="2">
        <f t="shared" ref="NT48:NT52" si="784">NU47+1</f>
        <v>39</v>
      </c>
      <c r="NU48" s="2">
        <f t="shared" si="245"/>
        <v>41</v>
      </c>
      <c r="NV48" s="2">
        <v>3</v>
      </c>
      <c r="NW48" s="255" t="str">
        <f t="shared" si="246"/>
        <v/>
      </c>
      <c r="NX48" s="255"/>
      <c r="NY48" s="231" t="str">
        <f t="shared" si="247"/>
        <v/>
      </c>
      <c r="NZ48" s="344"/>
      <c r="OA48" s="353" t="s">
        <v>1250</v>
      </c>
      <c r="OB48" s="2">
        <v>16</v>
      </c>
      <c r="OC48" s="3" t="s">
        <v>1161</v>
      </c>
      <c r="OD48" s="2">
        <f t="shared" ref="OD48:OD52" si="785">OE47+1</f>
        <v>39</v>
      </c>
      <c r="OE48" s="2">
        <f t="shared" si="249"/>
        <v>41</v>
      </c>
      <c r="OF48" s="2">
        <v>3</v>
      </c>
      <c r="OG48" s="255" t="str">
        <f t="shared" si="250"/>
        <v/>
      </c>
      <c r="OH48" s="255"/>
      <c r="OI48" s="231" t="str">
        <f t="shared" si="251"/>
        <v/>
      </c>
      <c r="OJ48" s="344"/>
      <c r="OK48" s="353" t="s">
        <v>1250</v>
      </c>
      <c r="OL48" s="2">
        <v>16</v>
      </c>
      <c r="OM48" s="3" t="s">
        <v>1161</v>
      </c>
      <c r="ON48" s="2">
        <f t="shared" ref="ON48:ON52" si="786">OO47+1</f>
        <v>39</v>
      </c>
      <c r="OO48" s="2">
        <f t="shared" si="253"/>
        <v>41</v>
      </c>
      <c r="OP48" s="2">
        <v>3</v>
      </c>
      <c r="OQ48" s="255" t="str">
        <f t="shared" si="254"/>
        <v/>
      </c>
      <c r="OR48" s="255"/>
      <c r="OS48" s="231" t="str">
        <f t="shared" si="255"/>
        <v/>
      </c>
      <c r="OT48" s="344"/>
      <c r="OU48" s="353" t="s">
        <v>1250</v>
      </c>
      <c r="OV48" s="2">
        <v>16</v>
      </c>
      <c r="OW48" s="3" t="s">
        <v>1161</v>
      </c>
      <c r="OX48" s="2">
        <f t="shared" ref="OX48:OX52" si="787">OY47+1</f>
        <v>39</v>
      </c>
      <c r="OY48" s="2">
        <f t="shared" si="257"/>
        <v>41</v>
      </c>
      <c r="OZ48" s="2">
        <v>3</v>
      </c>
      <c r="PA48" s="255" t="str">
        <f t="shared" si="258"/>
        <v/>
      </c>
      <c r="PB48" s="255"/>
      <c r="PC48" s="231" t="str">
        <f t="shared" si="259"/>
        <v/>
      </c>
      <c r="PD48" s="344"/>
      <c r="PE48" s="353" t="s">
        <v>1250</v>
      </c>
      <c r="PF48" s="2">
        <v>16</v>
      </c>
      <c r="PG48" s="3" t="s">
        <v>1161</v>
      </c>
      <c r="PH48" s="2">
        <f t="shared" ref="PH48:PH52" si="788">PI47+1</f>
        <v>39</v>
      </c>
      <c r="PI48" s="2">
        <f t="shared" si="261"/>
        <v>41</v>
      </c>
      <c r="PJ48" s="2">
        <v>3</v>
      </c>
      <c r="PK48" s="255" t="str">
        <f t="shared" si="262"/>
        <v/>
      </c>
      <c r="PL48" s="255"/>
      <c r="PM48" s="231" t="str">
        <f t="shared" si="263"/>
        <v/>
      </c>
      <c r="PN48" s="344"/>
      <c r="PO48" s="353" t="s">
        <v>1250</v>
      </c>
      <c r="PP48" s="2">
        <v>16</v>
      </c>
      <c r="PQ48" s="3" t="s">
        <v>1161</v>
      </c>
      <c r="PR48" s="2">
        <f t="shared" ref="PR48:PR52" si="789">PS47+1</f>
        <v>39</v>
      </c>
      <c r="PS48" s="2">
        <f t="shared" si="265"/>
        <v>41</v>
      </c>
      <c r="PT48" s="2">
        <v>3</v>
      </c>
      <c r="PU48" s="255" t="str">
        <f t="shared" si="266"/>
        <v/>
      </c>
      <c r="PV48" s="255"/>
      <c r="PW48" s="231" t="str">
        <f t="shared" si="267"/>
        <v/>
      </c>
      <c r="PX48" s="344"/>
      <c r="PY48" s="353" t="s">
        <v>1250</v>
      </c>
      <c r="PZ48" s="2">
        <v>16</v>
      </c>
      <c r="QA48" s="3" t="s">
        <v>1161</v>
      </c>
      <c r="QB48" s="2">
        <f t="shared" ref="QB48:QB52" si="790">QC47+1</f>
        <v>39</v>
      </c>
      <c r="QC48" s="2">
        <f t="shared" si="269"/>
        <v>41</v>
      </c>
      <c r="QD48" s="2">
        <v>3</v>
      </c>
      <c r="QE48" s="255" t="str">
        <f t="shared" si="270"/>
        <v/>
      </c>
      <c r="QF48" s="255"/>
      <c r="QG48" s="231" t="str">
        <f t="shared" si="271"/>
        <v/>
      </c>
      <c r="QH48" s="344"/>
      <c r="QI48" s="353" t="s">
        <v>1250</v>
      </c>
      <c r="QJ48" s="2">
        <v>16</v>
      </c>
      <c r="QK48" s="3" t="s">
        <v>1161</v>
      </c>
      <c r="QL48" s="2">
        <f t="shared" ref="QL48:QL52" si="791">QM47+1</f>
        <v>39</v>
      </c>
      <c r="QM48" s="2">
        <f t="shared" si="273"/>
        <v>41</v>
      </c>
      <c r="QN48" s="2">
        <v>3</v>
      </c>
      <c r="QO48" s="255" t="str">
        <f t="shared" si="274"/>
        <v/>
      </c>
      <c r="QP48" s="255"/>
      <c r="QQ48" s="231" t="str">
        <f t="shared" si="275"/>
        <v/>
      </c>
      <c r="QR48" s="344"/>
      <c r="QS48" s="353" t="s">
        <v>1250</v>
      </c>
      <c r="QT48" s="2">
        <v>16</v>
      </c>
      <c r="QU48" s="3" t="s">
        <v>1161</v>
      </c>
      <c r="QV48" s="2">
        <f t="shared" ref="QV48:QV52" si="792">QW47+1</f>
        <v>39</v>
      </c>
      <c r="QW48" s="2">
        <f t="shared" si="277"/>
        <v>41</v>
      </c>
      <c r="QX48" s="2">
        <v>3</v>
      </c>
      <c r="QY48" s="255" t="str">
        <f t="shared" si="278"/>
        <v/>
      </c>
      <c r="QZ48" s="255"/>
      <c r="RA48" s="231" t="str">
        <f t="shared" si="279"/>
        <v/>
      </c>
      <c r="RB48" s="344"/>
      <c r="RC48" s="353" t="s">
        <v>1250</v>
      </c>
      <c r="RD48" s="2">
        <v>16</v>
      </c>
      <c r="RE48" s="3" t="s">
        <v>1161</v>
      </c>
      <c r="RF48" s="2">
        <f t="shared" ref="RF48:RF52" si="793">RG47+1</f>
        <v>39</v>
      </c>
      <c r="RG48" s="2">
        <f t="shared" si="281"/>
        <v>41</v>
      </c>
      <c r="RH48" s="2">
        <v>3</v>
      </c>
      <c r="RI48" s="255" t="str">
        <f t="shared" si="282"/>
        <v/>
      </c>
      <c r="RJ48" s="255"/>
      <c r="RK48" s="231" t="str">
        <f t="shared" si="283"/>
        <v/>
      </c>
      <c r="RL48" s="344"/>
      <c r="RM48" s="353" t="s">
        <v>1250</v>
      </c>
      <c r="RN48" s="2">
        <v>16</v>
      </c>
      <c r="RO48" s="3" t="s">
        <v>1161</v>
      </c>
      <c r="RP48" s="2">
        <f t="shared" ref="RP48:RP52" si="794">RQ47+1</f>
        <v>39</v>
      </c>
      <c r="RQ48" s="2">
        <f t="shared" si="285"/>
        <v>41</v>
      </c>
      <c r="RR48" s="2">
        <v>3</v>
      </c>
      <c r="RS48" s="255" t="str">
        <f t="shared" si="286"/>
        <v/>
      </c>
      <c r="RT48" s="255"/>
      <c r="RU48" s="231" t="str">
        <f t="shared" si="287"/>
        <v/>
      </c>
      <c r="RV48" s="344"/>
      <c r="RW48" s="353" t="s">
        <v>1250</v>
      </c>
      <c r="RX48" s="2">
        <v>16</v>
      </c>
      <c r="RY48" s="3" t="s">
        <v>1161</v>
      </c>
      <c r="RZ48" s="2">
        <f t="shared" ref="RZ48:RZ52" si="795">SA47+1</f>
        <v>39</v>
      </c>
      <c r="SA48" s="2">
        <f t="shared" si="289"/>
        <v>41</v>
      </c>
      <c r="SB48" s="2">
        <v>3</v>
      </c>
      <c r="SC48" s="255" t="str">
        <f t="shared" si="290"/>
        <v/>
      </c>
      <c r="SD48" s="255"/>
      <c r="SE48" s="231" t="str">
        <f t="shared" si="291"/>
        <v/>
      </c>
      <c r="SF48" s="344"/>
      <c r="SG48" s="353" t="s">
        <v>1250</v>
      </c>
      <c r="SH48" s="2">
        <v>16</v>
      </c>
      <c r="SI48" s="3" t="s">
        <v>1161</v>
      </c>
      <c r="SJ48" s="2">
        <f t="shared" ref="SJ48:SJ52" si="796">SK47+1</f>
        <v>39</v>
      </c>
      <c r="SK48" s="2">
        <f t="shared" si="293"/>
        <v>41</v>
      </c>
      <c r="SL48" s="2">
        <v>3</v>
      </c>
      <c r="SM48" s="255" t="str">
        <f t="shared" si="294"/>
        <v/>
      </c>
      <c r="SN48" s="255"/>
      <c r="SO48" s="231" t="str">
        <f t="shared" si="295"/>
        <v/>
      </c>
      <c r="SP48" s="344"/>
      <c r="SQ48" s="353" t="s">
        <v>1250</v>
      </c>
      <c r="SR48" s="2">
        <v>16</v>
      </c>
      <c r="SS48" s="3" t="s">
        <v>1161</v>
      </c>
      <c r="ST48" s="2">
        <f t="shared" ref="ST48:ST52" si="797">SU47+1</f>
        <v>39</v>
      </c>
      <c r="SU48" s="2">
        <f t="shared" si="297"/>
        <v>41</v>
      </c>
      <c r="SV48" s="2">
        <v>3</v>
      </c>
      <c r="SW48" s="255" t="str">
        <f t="shared" si="298"/>
        <v/>
      </c>
      <c r="SX48" s="255"/>
      <c r="SY48" s="231" t="str">
        <f t="shared" si="299"/>
        <v/>
      </c>
      <c r="SZ48" s="344"/>
      <c r="TA48" s="353" t="s">
        <v>1250</v>
      </c>
      <c r="TB48" s="2">
        <v>16</v>
      </c>
      <c r="TC48" s="3" t="s">
        <v>1161</v>
      </c>
      <c r="TD48" s="2">
        <f t="shared" ref="TD48:TD52" si="798">TE47+1</f>
        <v>39</v>
      </c>
      <c r="TE48" s="2">
        <f t="shared" si="301"/>
        <v>41</v>
      </c>
      <c r="TF48" s="2">
        <v>3</v>
      </c>
      <c r="TG48" s="255" t="str">
        <f t="shared" si="302"/>
        <v/>
      </c>
      <c r="TH48" s="255"/>
      <c r="TI48" s="231" t="str">
        <f t="shared" si="303"/>
        <v/>
      </c>
      <c r="TJ48" s="344"/>
      <c r="TK48" s="353" t="s">
        <v>1250</v>
      </c>
      <c r="TL48" s="2">
        <v>16</v>
      </c>
      <c r="TM48" s="3" t="s">
        <v>1161</v>
      </c>
      <c r="TN48" s="2">
        <f t="shared" ref="TN48:TN52" si="799">TO47+1</f>
        <v>39</v>
      </c>
      <c r="TO48" s="2">
        <f t="shared" si="305"/>
        <v>41</v>
      </c>
      <c r="TP48" s="2">
        <v>3</v>
      </c>
      <c r="TQ48" s="255" t="str">
        <f t="shared" si="306"/>
        <v/>
      </c>
      <c r="TR48" s="255"/>
      <c r="TS48" s="231" t="str">
        <f t="shared" si="307"/>
        <v/>
      </c>
      <c r="TT48" s="344"/>
      <c r="TU48" s="353" t="s">
        <v>1250</v>
      </c>
      <c r="TV48" s="2">
        <v>16</v>
      </c>
      <c r="TW48" s="3" t="s">
        <v>1161</v>
      </c>
      <c r="TX48" s="2">
        <f t="shared" ref="TX48:TX52" si="800">TY47+1</f>
        <v>39</v>
      </c>
      <c r="TY48" s="2">
        <f t="shared" si="309"/>
        <v>41</v>
      </c>
      <c r="TZ48" s="2">
        <v>3</v>
      </c>
      <c r="UA48" s="255" t="str">
        <f t="shared" si="310"/>
        <v/>
      </c>
      <c r="UB48" s="255"/>
      <c r="UC48" s="231" t="str">
        <f t="shared" si="311"/>
        <v/>
      </c>
      <c r="UD48" s="344"/>
      <c r="UE48" s="353" t="s">
        <v>1250</v>
      </c>
      <c r="UF48" s="2">
        <v>16</v>
      </c>
      <c r="UG48" s="3" t="s">
        <v>1161</v>
      </c>
      <c r="UH48" s="2">
        <f t="shared" ref="UH48:UH52" si="801">UI47+1</f>
        <v>39</v>
      </c>
      <c r="UI48" s="2">
        <f t="shared" si="313"/>
        <v>41</v>
      </c>
      <c r="UJ48" s="2">
        <v>3</v>
      </c>
      <c r="UK48" s="255" t="str">
        <f t="shared" si="314"/>
        <v/>
      </c>
      <c r="UL48" s="255"/>
      <c r="UM48" s="231" t="str">
        <f t="shared" si="315"/>
        <v/>
      </c>
      <c r="UN48" s="344"/>
      <c r="UO48" s="353" t="s">
        <v>1250</v>
      </c>
      <c r="UP48" s="2">
        <v>16</v>
      </c>
      <c r="UQ48" s="3" t="s">
        <v>1161</v>
      </c>
      <c r="UR48" s="2">
        <f t="shared" ref="UR48:UR52" si="802">US47+1</f>
        <v>39</v>
      </c>
      <c r="US48" s="2">
        <f t="shared" si="317"/>
        <v>41</v>
      </c>
      <c r="UT48" s="2">
        <v>3</v>
      </c>
      <c r="UU48" s="255" t="str">
        <f t="shared" si="318"/>
        <v/>
      </c>
      <c r="UV48" s="255"/>
      <c r="UW48" s="231" t="str">
        <f t="shared" si="319"/>
        <v/>
      </c>
      <c r="UX48" s="344"/>
      <c r="UY48" s="353" t="s">
        <v>1250</v>
      </c>
      <c r="UZ48" s="2">
        <v>16</v>
      </c>
      <c r="VA48" s="3" t="s">
        <v>1161</v>
      </c>
      <c r="VB48" s="2">
        <f t="shared" ref="VB48:VB52" si="803">VC47+1</f>
        <v>39</v>
      </c>
      <c r="VC48" s="2">
        <f t="shared" si="321"/>
        <v>41</v>
      </c>
      <c r="VD48" s="2">
        <v>3</v>
      </c>
      <c r="VE48" s="255" t="str">
        <f t="shared" si="322"/>
        <v/>
      </c>
      <c r="VF48" s="255"/>
      <c r="VG48" s="231" t="str">
        <f t="shared" si="323"/>
        <v/>
      </c>
      <c r="VH48" s="344"/>
      <c r="VI48" s="353" t="s">
        <v>1250</v>
      </c>
      <c r="VJ48" s="2">
        <v>16</v>
      </c>
      <c r="VK48" s="3" t="s">
        <v>1161</v>
      </c>
      <c r="VL48" s="2">
        <f t="shared" ref="VL48:VL52" si="804">VM47+1</f>
        <v>39</v>
      </c>
      <c r="VM48" s="2">
        <f t="shared" si="325"/>
        <v>41</v>
      </c>
      <c r="VN48" s="2">
        <v>3</v>
      </c>
      <c r="VO48" s="255" t="str">
        <f t="shared" si="326"/>
        <v/>
      </c>
      <c r="VP48" s="255"/>
      <c r="VQ48" s="231" t="str">
        <f t="shared" si="327"/>
        <v/>
      </c>
      <c r="VR48" s="344"/>
      <c r="VS48" s="353" t="s">
        <v>1250</v>
      </c>
      <c r="VT48" s="2">
        <v>16</v>
      </c>
      <c r="VU48" s="3" t="s">
        <v>1161</v>
      </c>
      <c r="VV48" s="2">
        <f t="shared" ref="VV48:VV52" si="805">VW47+1</f>
        <v>39</v>
      </c>
      <c r="VW48" s="2">
        <f t="shared" si="329"/>
        <v>41</v>
      </c>
      <c r="VX48" s="2">
        <v>3</v>
      </c>
      <c r="VY48" s="255" t="str">
        <f t="shared" si="330"/>
        <v/>
      </c>
      <c r="VZ48" s="255"/>
      <c r="WA48" s="231" t="str">
        <f t="shared" si="331"/>
        <v/>
      </c>
      <c r="WB48" s="344"/>
      <c r="WC48" s="353" t="s">
        <v>1250</v>
      </c>
      <c r="WD48" s="2">
        <v>16</v>
      </c>
      <c r="WE48" s="3" t="s">
        <v>1161</v>
      </c>
      <c r="WF48" s="2">
        <f t="shared" ref="WF48:WF52" si="806">WG47+1</f>
        <v>39</v>
      </c>
      <c r="WG48" s="2">
        <f t="shared" si="333"/>
        <v>41</v>
      </c>
      <c r="WH48" s="2">
        <v>3</v>
      </c>
      <c r="WI48" s="255" t="str">
        <f t="shared" si="334"/>
        <v/>
      </c>
      <c r="WJ48" s="255"/>
      <c r="WK48" s="231" t="str">
        <f t="shared" si="335"/>
        <v/>
      </c>
      <c r="WL48" s="344"/>
      <c r="WM48" s="353" t="s">
        <v>1250</v>
      </c>
      <c r="WN48" s="2">
        <v>16</v>
      </c>
      <c r="WO48" s="3" t="s">
        <v>1161</v>
      </c>
      <c r="WP48" s="2">
        <f t="shared" ref="WP48:WP52" si="807">WQ47+1</f>
        <v>39</v>
      </c>
      <c r="WQ48" s="2">
        <f t="shared" si="337"/>
        <v>41</v>
      </c>
      <c r="WR48" s="2">
        <v>3</v>
      </c>
      <c r="WS48" s="255" t="str">
        <f t="shared" si="338"/>
        <v/>
      </c>
      <c r="WT48" s="255"/>
      <c r="WU48" s="231" t="str">
        <f t="shared" si="339"/>
        <v/>
      </c>
      <c r="WV48" s="344"/>
      <c r="WW48" s="353" t="s">
        <v>1250</v>
      </c>
      <c r="WX48" s="2">
        <v>16</v>
      </c>
      <c r="WY48" s="3" t="s">
        <v>1161</v>
      </c>
      <c r="WZ48" s="2">
        <f t="shared" ref="WZ48:WZ52" si="808">XA47+1</f>
        <v>39</v>
      </c>
      <c r="XA48" s="2">
        <f t="shared" si="341"/>
        <v>41</v>
      </c>
      <c r="XB48" s="2">
        <v>3</v>
      </c>
      <c r="XC48" s="255" t="str">
        <f t="shared" si="342"/>
        <v/>
      </c>
      <c r="XD48" s="255"/>
      <c r="XE48" s="231" t="str">
        <f t="shared" si="343"/>
        <v/>
      </c>
      <c r="XF48" s="344"/>
      <c r="XG48" s="353" t="s">
        <v>1250</v>
      </c>
      <c r="XH48" s="2">
        <v>16</v>
      </c>
      <c r="XI48" s="3" t="s">
        <v>1161</v>
      </c>
      <c r="XJ48" s="2">
        <f t="shared" ref="XJ48:XJ52" si="809">XK47+1</f>
        <v>39</v>
      </c>
      <c r="XK48" s="2">
        <f t="shared" si="345"/>
        <v>41</v>
      </c>
      <c r="XL48" s="2">
        <v>3</v>
      </c>
      <c r="XM48" s="255" t="str">
        <f t="shared" si="346"/>
        <v/>
      </c>
      <c r="XN48" s="255"/>
      <c r="XO48" s="231" t="str">
        <f t="shared" si="347"/>
        <v/>
      </c>
      <c r="XP48" s="344"/>
      <c r="XQ48" s="353" t="s">
        <v>1250</v>
      </c>
      <c r="XR48" s="2">
        <v>16</v>
      </c>
      <c r="XS48" s="3" t="s">
        <v>1161</v>
      </c>
      <c r="XT48" s="2">
        <f t="shared" ref="XT48:XT52" si="810">XU47+1</f>
        <v>39</v>
      </c>
      <c r="XU48" s="2">
        <f t="shared" si="349"/>
        <v>41</v>
      </c>
      <c r="XV48" s="2">
        <v>3</v>
      </c>
      <c r="XW48" s="255" t="str">
        <f t="shared" si="350"/>
        <v/>
      </c>
      <c r="XX48" s="255"/>
      <c r="XY48" s="231" t="str">
        <f t="shared" si="351"/>
        <v/>
      </c>
      <c r="XZ48" s="344"/>
      <c r="YA48" s="353" t="s">
        <v>1250</v>
      </c>
      <c r="YB48" s="2">
        <v>16</v>
      </c>
      <c r="YC48" s="3" t="s">
        <v>1161</v>
      </c>
      <c r="YD48" s="2">
        <f t="shared" ref="YD48:YD52" si="811">YE47+1</f>
        <v>39</v>
      </c>
      <c r="YE48" s="2">
        <f t="shared" si="353"/>
        <v>41</v>
      </c>
      <c r="YF48" s="2">
        <v>3</v>
      </c>
      <c r="YG48" s="255" t="str">
        <f t="shared" si="354"/>
        <v/>
      </c>
      <c r="YH48" s="255"/>
      <c r="YI48" s="231" t="str">
        <f t="shared" si="355"/>
        <v/>
      </c>
      <c r="YJ48" s="344"/>
      <c r="YK48" s="353" t="s">
        <v>1250</v>
      </c>
      <c r="YL48" s="2">
        <v>16</v>
      </c>
      <c r="YM48" s="3" t="s">
        <v>1161</v>
      </c>
      <c r="YN48" s="2">
        <f t="shared" ref="YN48:YN52" si="812">YO47+1</f>
        <v>39</v>
      </c>
      <c r="YO48" s="2">
        <f t="shared" si="357"/>
        <v>41</v>
      </c>
      <c r="YP48" s="2">
        <v>3</v>
      </c>
      <c r="YQ48" s="255" t="str">
        <f t="shared" si="358"/>
        <v/>
      </c>
      <c r="YR48" s="255"/>
      <c r="YS48" s="231" t="str">
        <f t="shared" si="359"/>
        <v/>
      </c>
      <c r="YT48" s="344"/>
      <c r="YU48" s="353" t="s">
        <v>1250</v>
      </c>
      <c r="YV48" s="2">
        <v>16</v>
      </c>
      <c r="YW48" s="3" t="s">
        <v>1161</v>
      </c>
      <c r="YX48" s="2">
        <f t="shared" ref="YX48:YX52" si="813">YY47+1</f>
        <v>39</v>
      </c>
      <c r="YY48" s="2">
        <f t="shared" si="361"/>
        <v>41</v>
      </c>
      <c r="YZ48" s="2">
        <v>3</v>
      </c>
      <c r="ZA48" s="255" t="str">
        <f t="shared" si="362"/>
        <v/>
      </c>
      <c r="ZB48" s="255"/>
      <c r="ZC48" s="231" t="str">
        <f t="shared" si="363"/>
        <v/>
      </c>
      <c r="ZD48" s="344"/>
      <c r="ZE48" s="353" t="s">
        <v>1250</v>
      </c>
      <c r="ZF48" s="2">
        <v>16</v>
      </c>
      <c r="ZG48" s="3" t="s">
        <v>1161</v>
      </c>
      <c r="ZH48" s="2">
        <f t="shared" ref="ZH48:ZH52" si="814">ZI47+1</f>
        <v>39</v>
      </c>
      <c r="ZI48" s="2">
        <f t="shared" si="365"/>
        <v>41</v>
      </c>
      <c r="ZJ48" s="2">
        <v>3</v>
      </c>
      <c r="ZK48" s="255" t="str">
        <f t="shared" si="366"/>
        <v/>
      </c>
      <c r="ZL48" s="255"/>
      <c r="ZM48" s="231" t="str">
        <f t="shared" si="367"/>
        <v/>
      </c>
      <c r="ZN48" s="344"/>
      <c r="ZO48" s="353" t="s">
        <v>1250</v>
      </c>
      <c r="ZP48" s="2">
        <v>16</v>
      </c>
      <c r="ZQ48" s="3" t="s">
        <v>1161</v>
      </c>
      <c r="ZR48" s="2">
        <f t="shared" ref="ZR48:ZR52" si="815">ZS47+1</f>
        <v>39</v>
      </c>
      <c r="ZS48" s="2">
        <f t="shared" si="369"/>
        <v>41</v>
      </c>
      <c r="ZT48" s="2">
        <v>3</v>
      </c>
      <c r="ZU48" s="255" t="str">
        <f t="shared" si="370"/>
        <v/>
      </c>
      <c r="ZV48" s="255"/>
      <c r="ZW48" s="231" t="str">
        <f t="shared" si="371"/>
        <v/>
      </c>
      <c r="ZX48" s="344"/>
      <c r="ZY48" s="353" t="s">
        <v>1250</v>
      </c>
      <c r="ZZ48" s="2">
        <v>16</v>
      </c>
      <c r="AAA48" s="3" t="s">
        <v>1161</v>
      </c>
      <c r="AAB48" s="2">
        <f t="shared" ref="AAB48:AAB52" si="816">AAC47+1</f>
        <v>39</v>
      </c>
      <c r="AAC48" s="2">
        <f t="shared" si="373"/>
        <v>41</v>
      </c>
      <c r="AAD48" s="2">
        <v>3</v>
      </c>
      <c r="AAE48" s="255" t="str">
        <f t="shared" si="374"/>
        <v/>
      </c>
      <c r="AAF48" s="255"/>
      <c r="AAG48" s="231" t="str">
        <f t="shared" si="375"/>
        <v/>
      </c>
      <c r="AAH48" s="344"/>
      <c r="AAI48" s="353" t="s">
        <v>1250</v>
      </c>
      <c r="AAJ48" s="2">
        <v>16</v>
      </c>
      <c r="AAK48" s="3" t="s">
        <v>1161</v>
      </c>
      <c r="AAL48" s="2">
        <f t="shared" ref="AAL48:AAL52" si="817">AAM47+1</f>
        <v>39</v>
      </c>
      <c r="AAM48" s="2">
        <f t="shared" si="377"/>
        <v>41</v>
      </c>
      <c r="AAN48" s="2">
        <v>3</v>
      </c>
      <c r="AAO48" s="255" t="str">
        <f t="shared" si="378"/>
        <v/>
      </c>
      <c r="AAP48" s="255"/>
      <c r="AAQ48" s="231" t="str">
        <f t="shared" si="379"/>
        <v/>
      </c>
      <c r="AAR48" s="344"/>
      <c r="AAS48" s="353" t="s">
        <v>1250</v>
      </c>
      <c r="AAT48" s="2">
        <v>16</v>
      </c>
      <c r="AAU48" s="3" t="s">
        <v>1161</v>
      </c>
      <c r="AAV48" s="2">
        <f t="shared" ref="AAV48:AAV52" si="818">AAW47+1</f>
        <v>39</v>
      </c>
      <c r="AAW48" s="2">
        <f t="shared" si="381"/>
        <v>41</v>
      </c>
      <c r="AAX48" s="2">
        <v>3</v>
      </c>
      <c r="AAY48" s="255" t="str">
        <f t="shared" si="382"/>
        <v/>
      </c>
      <c r="AAZ48" s="255"/>
      <c r="ABA48" s="231" t="str">
        <f t="shared" si="383"/>
        <v/>
      </c>
      <c r="ABB48" s="344"/>
      <c r="ABC48" s="353" t="s">
        <v>1250</v>
      </c>
      <c r="ABD48" s="2">
        <v>16</v>
      </c>
      <c r="ABE48" s="3" t="s">
        <v>1161</v>
      </c>
      <c r="ABF48" s="2">
        <f t="shared" ref="ABF48:ABF52" si="819">ABG47+1</f>
        <v>39</v>
      </c>
      <c r="ABG48" s="2">
        <f t="shared" si="385"/>
        <v>41</v>
      </c>
      <c r="ABH48" s="2">
        <v>3</v>
      </c>
      <c r="ABI48" s="255" t="str">
        <f t="shared" si="386"/>
        <v/>
      </c>
      <c r="ABJ48" s="255"/>
      <c r="ABK48" s="231" t="str">
        <f t="shared" si="387"/>
        <v/>
      </c>
      <c r="ABL48" s="344"/>
      <c r="ABM48" s="353" t="s">
        <v>1250</v>
      </c>
      <c r="ABN48" s="2">
        <v>16</v>
      </c>
      <c r="ABO48" s="3" t="s">
        <v>1161</v>
      </c>
      <c r="ABP48" s="2">
        <f t="shared" ref="ABP48:ABP52" si="820">ABQ47+1</f>
        <v>39</v>
      </c>
      <c r="ABQ48" s="2">
        <f t="shared" si="389"/>
        <v>41</v>
      </c>
      <c r="ABR48" s="2">
        <v>3</v>
      </c>
      <c r="ABS48" s="255" t="str">
        <f t="shared" si="390"/>
        <v/>
      </c>
      <c r="ABT48" s="255"/>
      <c r="ABU48" s="231" t="str">
        <f t="shared" si="391"/>
        <v/>
      </c>
      <c r="ABV48" s="344"/>
      <c r="ABW48" s="353" t="s">
        <v>1250</v>
      </c>
      <c r="ABX48" s="2">
        <v>16</v>
      </c>
      <c r="ABY48" s="3" t="s">
        <v>1161</v>
      </c>
      <c r="ABZ48" s="2">
        <f t="shared" ref="ABZ48:ABZ52" si="821">ACA47+1</f>
        <v>39</v>
      </c>
      <c r="ACA48" s="2">
        <f t="shared" si="393"/>
        <v>41</v>
      </c>
      <c r="ACB48" s="2">
        <v>3</v>
      </c>
      <c r="ACC48" s="255" t="str">
        <f t="shared" si="394"/>
        <v/>
      </c>
      <c r="ACD48" s="255"/>
      <c r="ACE48" s="231" t="str">
        <f t="shared" si="395"/>
        <v/>
      </c>
      <c r="ACF48" s="344"/>
      <c r="ACG48" s="353" t="s">
        <v>1250</v>
      </c>
      <c r="ACH48" s="2">
        <v>16</v>
      </c>
      <c r="ACI48" s="3" t="s">
        <v>1161</v>
      </c>
      <c r="ACJ48" s="2">
        <f t="shared" ref="ACJ48:ACJ52" si="822">ACK47+1</f>
        <v>39</v>
      </c>
      <c r="ACK48" s="2">
        <f t="shared" si="397"/>
        <v>41</v>
      </c>
      <c r="ACL48" s="2">
        <v>3</v>
      </c>
      <c r="ACM48" s="255" t="str">
        <f t="shared" si="398"/>
        <v/>
      </c>
      <c r="ACN48" s="255"/>
      <c r="ACO48" s="231" t="str">
        <f t="shared" si="399"/>
        <v/>
      </c>
      <c r="ACP48" s="344"/>
      <c r="ACQ48" s="353" t="s">
        <v>1250</v>
      </c>
      <c r="ACR48" s="2">
        <v>16</v>
      </c>
      <c r="ACS48" s="3" t="s">
        <v>1161</v>
      </c>
      <c r="ACT48" s="2">
        <f t="shared" ref="ACT48:ACT52" si="823">ACU47+1</f>
        <v>39</v>
      </c>
      <c r="ACU48" s="2">
        <f t="shared" si="401"/>
        <v>41</v>
      </c>
      <c r="ACV48" s="2">
        <v>3</v>
      </c>
      <c r="ACW48" s="255" t="str">
        <f t="shared" si="402"/>
        <v/>
      </c>
      <c r="ACX48" s="255"/>
      <c r="ACY48" s="231" t="str">
        <f t="shared" si="403"/>
        <v/>
      </c>
      <c r="ACZ48" s="344"/>
      <c r="ADA48" s="353" t="s">
        <v>1250</v>
      </c>
      <c r="ADB48" s="2">
        <v>16</v>
      </c>
      <c r="ADC48" s="3" t="s">
        <v>1161</v>
      </c>
      <c r="ADD48" s="2">
        <f t="shared" ref="ADD48:ADD52" si="824">ADE47+1</f>
        <v>39</v>
      </c>
      <c r="ADE48" s="2">
        <f t="shared" si="405"/>
        <v>41</v>
      </c>
      <c r="ADF48" s="2">
        <v>3</v>
      </c>
      <c r="ADG48" s="255" t="str">
        <f t="shared" si="406"/>
        <v/>
      </c>
      <c r="ADH48" s="255"/>
      <c r="ADI48" s="231" t="str">
        <f t="shared" si="407"/>
        <v/>
      </c>
      <c r="ADJ48" s="344"/>
      <c r="ADK48" s="353" t="s">
        <v>1250</v>
      </c>
      <c r="ADL48" s="2">
        <v>16</v>
      </c>
      <c r="ADM48" s="3" t="s">
        <v>1161</v>
      </c>
      <c r="ADN48" s="2">
        <f t="shared" ref="ADN48:ADN52" si="825">ADO47+1</f>
        <v>39</v>
      </c>
      <c r="ADO48" s="2">
        <f t="shared" si="409"/>
        <v>41</v>
      </c>
      <c r="ADP48" s="2">
        <v>3</v>
      </c>
      <c r="ADQ48" s="255" t="str">
        <f t="shared" si="410"/>
        <v/>
      </c>
      <c r="ADR48" s="255"/>
      <c r="ADS48" s="231" t="str">
        <f t="shared" si="411"/>
        <v/>
      </c>
      <c r="ADT48" s="344"/>
      <c r="ADU48" s="353" t="s">
        <v>1250</v>
      </c>
      <c r="ADV48" s="2">
        <v>16</v>
      </c>
      <c r="ADW48" s="3" t="s">
        <v>1161</v>
      </c>
      <c r="ADX48" s="2">
        <f t="shared" ref="ADX48:ADX52" si="826">ADY47+1</f>
        <v>39</v>
      </c>
      <c r="ADY48" s="2">
        <f t="shared" si="413"/>
        <v>41</v>
      </c>
      <c r="ADZ48" s="2">
        <v>3</v>
      </c>
      <c r="AEA48" s="255" t="str">
        <f t="shared" si="414"/>
        <v/>
      </c>
      <c r="AEB48" s="255"/>
      <c r="AEC48" s="231" t="str">
        <f t="shared" si="415"/>
        <v/>
      </c>
      <c r="AED48" s="344"/>
      <c r="AEE48" s="353" t="s">
        <v>1250</v>
      </c>
      <c r="AEF48" s="2">
        <v>16</v>
      </c>
      <c r="AEG48" s="3" t="s">
        <v>1161</v>
      </c>
      <c r="AEH48" s="2">
        <f t="shared" ref="AEH48:AEH52" si="827">AEI47+1</f>
        <v>39</v>
      </c>
      <c r="AEI48" s="2">
        <f t="shared" si="417"/>
        <v>41</v>
      </c>
      <c r="AEJ48" s="2">
        <v>3</v>
      </c>
      <c r="AEK48" s="255" t="str">
        <f t="shared" si="418"/>
        <v/>
      </c>
      <c r="AEL48" s="255"/>
      <c r="AEM48" s="231" t="str">
        <f t="shared" si="419"/>
        <v/>
      </c>
      <c r="AEN48" s="344"/>
      <c r="AEO48" s="353" t="s">
        <v>1250</v>
      </c>
      <c r="AEP48" s="2">
        <v>16</v>
      </c>
      <c r="AEQ48" s="3" t="s">
        <v>1161</v>
      </c>
      <c r="AER48" s="2">
        <f t="shared" ref="AER48:AER52" si="828">AES47+1</f>
        <v>39</v>
      </c>
      <c r="AES48" s="2">
        <f t="shared" si="421"/>
        <v>41</v>
      </c>
      <c r="AET48" s="2">
        <v>3</v>
      </c>
      <c r="AEU48" s="255" t="str">
        <f t="shared" si="422"/>
        <v/>
      </c>
      <c r="AEV48" s="255"/>
      <c r="AEW48" s="231" t="str">
        <f t="shared" si="423"/>
        <v/>
      </c>
      <c r="AEX48" s="344"/>
      <c r="AEY48" s="353" t="s">
        <v>1250</v>
      </c>
      <c r="AEZ48" s="2">
        <v>16</v>
      </c>
      <c r="AFA48" s="3" t="s">
        <v>1161</v>
      </c>
      <c r="AFB48" s="2">
        <f t="shared" ref="AFB48:AFB52" si="829">AFC47+1</f>
        <v>39</v>
      </c>
      <c r="AFC48" s="2">
        <f t="shared" si="425"/>
        <v>41</v>
      </c>
      <c r="AFD48" s="2">
        <v>3</v>
      </c>
      <c r="AFE48" s="255" t="str">
        <f t="shared" si="426"/>
        <v/>
      </c>
      <c r="AFF48" s="255"/>
      <c r="AFG48" s="231" t="str">
        <f t="shared" si="427"/>
        <v/>
      </c>
      <c r="AFH48" s="344"/>
      <c r="AFI48" s="353" t="s">
        <v>1250</v>
      </c>
      <c r="AFJ48" s="2">
        <v>16</v>
      </c>
      <c r="AFK48" s="3" t="s">
        <v>1161</v>
      </c>
      <c r="AFL48" s="2">
        <f t="shared" ref="AFL48:AFL52" si="830">AFM47+1</f>
        <v>39</v>
      </c>
      <c r="AFM48" s="2">
        <f t="shared" si="429"/>
        <v>41</v>
      </c>
      <c r="AFN48" s="2">
        <v>3</v>
      </c>
      <c r="AFO48" s="255" t="str">
        <f t="shared" si="430"/>
        <v/>
      </c>
      <c r="AFP48" s="255"/>
      <c r="AFQ48" s="231" t="str">
        <f t="shared" si="431"/>
        <v/>
      </c>
      <c r="AFR48" s="344"/>
      <c r="AFS48" s="353" t="s">
        <v>1250</v>
      </c>
      <c r="AFT48" s="2">
        <v>16</v>
      </c>
      <c r="AFU48" s="3" t="s">
        <v>1161</v>
      </c>
      <c r="AFV48" s="2">
        <f t="shared" ref="AFV48:AFV52" si="831">AFW47+1</f>
        <v>39</v>
      </c>
      <c r="AFW48" s="2">
        <f t="shared" si="433"/>
        <v>41</v>
      </c>
      <c r="AFX48" s="2">
        <v>3</v>
      </c>
      <c r="AFY48" s="255" t="str">
        <f t="shared" si="434"/>
        <v/>
      </c>
      <c r="AFZ48" s="255"/>
      <c r="AGA48" s="231" t="str">
        <f t="shared" si="435"/>
        <v/>
      </c>
      <c r="AGB48" s="344"/>
      <c r="AGC48" s="353" t="s">
        <v>1250</v>
      </c>
      <c r="AGD48" s="2">
        <v>16</v>
      </c>
      <c r="AGE48" s="3" t="s">
        <v>1161</v>
      </c>
      <c r="AGF48" s="2">
        <f t="shared" ref="AGF48:AGF52" si="832">AGG47+1</f>
        <v>39</v>
      </c>
      <c r="AGG48" s="2">
        <f t="shared" si="437"/>
        <v>41</v>
      </c>
      <c r="AGH48" s="2">
        <v>3</v>
      </c>
      <c r="AGI48" s="255" t="str">
        <f t="shared" si="438"/>
        <v/>
      </c>
      <c r="AGJ48" s="255"/>
      <c r="AGK48" s="231" t="str">
        <f t="shared" si="439"/>
        <v/>
      </c>
      <c r="AGL48" s="344"/>
      <c r="AGM48" s="353" t="s">
        <v>1250</v>
      </c>
      <c r="AGN48" s="2">
        <v>16</v>
      </c>
      <c r="AGO48" s="3" t="s">
        <v>1161</v>
      </c>
      <c r="AGP48" s="2">
        <f t="shared" ref="AGP48:AGP52" si="833">AGQ47+1</f>
        <v>39</v>
      </c>
      <c r="AGQ48" s="2">
        <f t="shared" si="441"/>
        <v>41</v>
      </c>
      <c r="AGR48" s="2">
        <v>3</v>
      </c>
      <c r="AGS48" s="255" t="str">
        <f t="shared" si="442"/>
        <v/>
      </c>
      <c r="AGT48" s="255"/>
      <c r="AGU48" s="231" t="str">
        <f t="shared" si="443"/>
        <v/>
      </c>
      <c r="AGV48" s="344"/>
      <c r="AGW48" s="353" t="s">
        <v>1250</v>
      </c>
      <c r="AGX48" s="2">
        <v>16</v>
      </c>
      <c r="AGY48" s="3" t="s">
        <v>1161</v>
      </c>
      <c r="AGZ48" s="2">
        <f t="shared" ref="AGZ48:AGZ52" si="834">AHA47+1</f>
        <v>39</v>
      </c>
      <c r="AHA48" s="2">
        <f t="shared" si="445"/>
        <v>41</v>
      </c>
      <c r="AHB48" s="2">
        <v>3</v>
      </c>
      <c r="AHC48" s="255" t="str">
        <f t="shared" si="446"/>
        <v/>
      </c>
      <c r="AHD48" s="255"/>
      <c r="AHE48" s="231" t="str">
        <f t="shared" si="447"/>
        <v/>
      </c>
      <c r="AHF48" s="344"/>
      <c r="AHG48" s="353" t="s">
        <v>1250</v>
      </c>
      <c r="AHH48" s="2">
        <v>16</v>
      </c>
      <c r="AHI48" s="3" t="s">
        <v>1161</v>
      </c>
      <c r="AHJ48" s="2">
        <f t="shared" ref="AHJ48:AHJ52" si="835">AHK47+1</f>
        <v>39</v>
      </c>
      <c r="AHK48" s="2">
        <f t="shared" si="449"/>
        <v>41</v>
      </c>
      <c r="AHL48" s="2">
        <v>3</v>
      </c>
      <c r="AHM48" s="255" t="str">
        <f t="shared" si="450"/>
        <v/>
      </c>
      <c r="AHN48" s="255"/>
      <c r="AHO48" s="231" t="str">
        <f t="shared" si="451"/>
        <v/>
      </c>
      <c r="AHP48" s="344"/>
      <c r="AHQ48" s="353" t="s">
        <v>1250</v>
      </c>
      <c r="AHR48" s="2">
        <v>16</v>
      </c>
      <c r="AHS48" s="3" t="s">
        <v>1161</v>
      </c>
      <c r="AHT48" s="2">
        <f t="shared" ref="AHT48:AHT52" si="836">AHU47+1</f>
        <v>39</v>
      </c>
      <c r="AHU48" s="2">
        <f t="shared" si="453"/>
        <v>41</v>
      </c>
      <c r="AHV48" s="2">
        <v>3</v>
      </c>
      <c r="AHW48" s="255" t="str">
        <f t="shared" si="454"/>
        <v/>
      </c>
      <c r="AHX48" s="255"/>
      <c r="AHY48" s="231" t="str">
        <f t="shared" si="455"/>
        <v/>
      </c>
      <c r="AHZ48" s="344"/>
      <c r="AIA48" s="353" t="s">
        <v>1250</v>
      </c>
      <c r="AIB48" s="2">
        <v>16</v>
      </c>
      <c r="AIC48" s="3" t="s">
        <v>1161</v>
      </c>
      <c r="AID48" s="2">
        <f t="shared" ref="AID48:AID52" si="837">AIE47+1</f>
        <v>39</v>
      </c>
      <c r="AIE48" s="2">
        <f t="shared" si="457"/>
        <v>41</v>
      </c>
      <c r="AIF48" s="2">
        <v>3</v>
      </c>
      <c r="AIG48" s="255" t="str">
        <f t="shared" si="458"/>
        <v/>
      </c>
      <c r="AIH48" s="255"/>
      <c r="AII48" s="231" t="str">
        <f t="shared" si="459"/>
        <v/>
      </c>
      <c r="AIJ48" s="344"/>
      <c r="AIK48" s="353" t="s">
        <v>1250</v>
      </c>
      <c r="AIL48" s="2">
        <v>16</v>
      </c>
      <c r="AIM48" s="3" t="s">
        <v>1161</v>
      </c>
      <c r="AIN48" s="2">
        <f t="shared" ref="AIN48:AIN52" si="838">AIO47+1</f>
        <v>39</v>
      </c>
      <c r="AIO48" s="2">
        <f t="shared" si="461"/>
        <v>41</v>
      </c>
      <c r="AIP48" s="2">
        <v>3</v>
      </c>
      <c r="AIQ48" s="255" t="str">
        <f t="shared" si="462"/>
        <v/>
      </c>
      <c r="AIR48" s="255"/>
      <c r="AIS48" s="231" t="str">
        <f t="shared" si="463"/>
        <v/>
      </c>
      <c r="AIT48" s="344"/>
      <c r="AIU48" s="353" t="s">
        <v>1250</v>
      </c>
      <c r="AIV48" s="2">
        <v>16</v>
      </c>
      <c r="AIW48" s="3" t="s">
        <v>1161</v>
      </c>
      <c r="AIX48" s="2">
        <f t="shared" ref="AIX48:AIX52" si="839">AIY47+1</f>
        <v>39</v>
      </c>
      <c r="AIY48" s="2">
        <f t="shared" si="465"/>
        <v>41</v>
      </c>
      <c r="AIZ48" s="2">
        <v>3</v>
      </c>
      <c r="AJA48" s="255" t="str">
        <f t="shared" si="466"/>
        <v/>
      </c>
      <c r="AJB48" s="255"/>
      <c r="AJC48" s="231" t="str">
        <f t="shared" si="467"/>
        <v/>
      </c>
      <c r="AJD48" s="344"/>
    </row>
    <row r="49" spans="1:940">
      <c r="A49" s="366"/>
      <c r="B49" s="2">
        <v>18</v>
      </c>
      <c r="C49" s="3" t="s">
        <v>1162</v>
      </c>
      <c r="D49" s="2">
        <f t="shared" si="561"/>
        <v>42</v>
      </c>
      <c r="E49" s="2">
        <f t="shared" si="563"/>
        <v>44</v>
      </c>
      <c r="F49" s="2">
        <v>3</v>
      </c>
      <c r="G49" s="255" t="str">
        <f t="shared" si="468"/>
        <v/>
      </c>
      <c r="H49" s="255"/>
      <c r="I49" s="231">
        <f t="shared" si="96"/>
        <v>0</v>
      </c>
      <c r="J49" s="205"/>
      <c r="K49" s="353"/>
      <c r="L49" s="2">
        <v>17</v>
      </c>
      <c r="M49" s="3" t="s">
        <v>1162</v>
      </c>
      <c r="N49" s="2">
        <f t="shared" si="562"/>
        <v>42</v>
      </c>
      <c r="O49" s="2">
        <f t="shared" si="97"/>
        <v>44</v>
      </c>
      <c r="P49" s="2">
        <v>3</v>
      </c>
      <c r="Q49" s="255" t="str">
        <f t="shared" si="98"/>
        <v/>
      </c>
      <c r="R49" s="255"/>
      <c r="S49" s="231" t="str">
        <f t="shared" si="99"/>
        <v/>
      </c>
      <c r="T49" s="344"/>
      <c r="U49" s="353"/>
      <c r="V49" s="2">
        <v>17</v>
      </c>
      <c r="W49" s="3" t="s">
        <v>1162</v>
      </c>
      <c r="X49" s="2">
        <f t="shared" si="748"/>
        <v>42</v>
      </c>
      <c r="Y49" s="2">
        <f t="shared" si="101"/>
        <v>44</v>
      </c>
      <c r="Z49" s="2">
        <v>3</v>
      </c>
      <c r="AA49" s="255" t="str">
        <f t="shared" si="102"/>
        <v/>
      </c>
      <c r="AB49" s="255"/>
      <c r="AC49" s="231" t="str">
        <f t="shared" si="103"/>
        <v/>
      </c>
      <c r="AD49" s="344"/>
      <c r="AE49" s="353"/>
      <c r="AF49" s="2">
        <v>17</v>
      </c>
      <c r="AG49" s="3" t="s">
        <v>1162</v>
      </c>
      <c r="AH49" s="2">
        <f t="shared" si="749"/>
        <v>42</v>
      </c>
      <c r="AI49" s="2">
        <f t="shared" si="105"/>
        <v>44</v>
      </c>
      <c r="AJ49" s="2">
        <v>3</v>
      </c>
      <c r="AK49" s="255" t="str">
        <f t="shared" si="106"/>
        <v/>
      </c>
      <c r="AL49" s="255"/>
      <c r="AM49" s="231" t="str">
        <f t="shared" si="107"/>
        <v/>
      </c>
      <c r="AN49" s="344"/>
      <c r="AO49" s="353"/>
      <c r="AP49" s="2">
        <v>17</v>
      </c>
      <c r="AQ49" s="3" t="s">
        <v>1162</v>
      </c>
      <c r="AR49" s="2">
        <f t="shared" si="750"/>
        <v>42</v>
      </c>
      <c r="AS49" s="2">
        <f t="shared" si="109"/>
        <v>44</v>
      </c>
      <c r="AT49" s="2">
        <v>3</v>
      </c>
      <c r="AU49" s="255" t="str">
        <f t="shared" si="110"/>
        <v/>
      </c>
      <c r="AV49" s="255"/>
      <c r="AW49" s="231" t="str">
        <f t="shared" si="111"/>
        <v/>
      </c>
      <c r="AX49" s="344"/>
      <c r="AY49" s="353"/>
      <c r="AZ49" s="2">
        <v>17</v>
      </c>
      <c r="BA49" s="3" t="s">
        <v>1162</v>
      </c>
      <c r="BB49" s="2">
        <f t="shared" si="751"/>
        <v>42</v>
      </c>
      <c r="BC49" s="2">
        <f t="shared" si="113"/>
        <v>44</v>
      </c>
      <c r="BD49" s="2">
        <v>3</v>
      </c>
      <c r="BE49" s="255" t="str">
        <f t="shared" si="114"/>
        <v/>
      </c>
      <c r="BF49" s="255"/>
      <c r="BG49" s="231" t="str">
        <f t="shared" si="115"/>
        <v/>
      </c>
      <c r="BH49" s="344"/>
      <c r="BI49" s="353"/>
      <c r="BJ49" s="2">
        <v>17</v>
      </c>
      <c r="BK49" s="3" t="s">
        <v>1162</v>
      </c>
      <c r="BL49" s="2">
        <f t="shared" si="752"/>
        <v>42</v>
      </c>
      <c r="BM49" s="2">
        <f t="shared" si="117"/>
        <v>44</v>
      </c>
      <c r="BN49" s="2">
        <v>3</v>
      </c>
      <c r="BO49" s="255" t="str">
        <f t="shared" si="118"/>
        <v/>
      </c>
      <c r="BP49" s="255"/>
      <c r="BQ49" s="231" t="str">
        <f t="shared" si="119"/>
        <v/>
      </c>
      <c r="BR49" s="344"/>
      <c r="BS49" s="353"/>
      <c r="BT49" s="2">
        <v>17</v>
      </c>
      <c r="BU49" s="3" t="s">
        <v>1162</v>
      </c>
      <c r="BV49" s="2">
        <f t="shared" si="753"/>
        <v>42</v>
      </c>
      <c r="BW49" s="2">
        <f t="shared" si="121"/>
        <v>44</v>
      </c>
      <c r="BX49" s="2">
        <v>3</v>
      </c>
      <c r="BY49" s="255" t="str">
        <f t="shared" si="122"/>
        <v/>
      </c>
      <c r="BZ49" s="255"/>
      <c r="CA49" s="231" t="str">
        <f t="shared" si="123"/>
        <v/>
      </c>
      <c r="CB49" s="344"/>
      <c r="CC49" s="353"/>
      <c r="CD49" s="2">
        <v>17</v>
      </c>
      <c r="CE49" s="3" t="s">
        <v>1162</v>
      </c>
      <c r="CF49" s="2">
        <f t="shared" si="754"/>
        <v>42</v>
      </c>
      <c r="CG49" s="2">
        <f t="shared" si="125"/>
        <v>44</v>
      </c>
      <c r="CH49" s="2">
        <v>3</v>
      </c>
      <c r="CI49" s="255" t="str">
        <f t="shared" si="126"/>
        <v/>
      </c>
      <c r="CJ49" s="255"/>
      <c r="CK49" s="231" t="str">
        <f t="shared" si="127"/>
        <v/>
      </c>
      <c r="CL49" s="344"/>
      <c r="CM49" s="353"/>
      <c r="CN49" s="2">
        <v>17</v>
      </c>
      <c r="CO49" s="3" t="s">
        <v>1162</v>
      </c>
      <c r="CP49" s="2">
        <f t="shared" si="755"/>
        <v>42</v>
      </c>
      <c r="CQ49" s="2">
        <f t="shared" si="129"/>
        <v>44</v>
      </c>
      <c r="CR49" s="2">
        <v>3</v>
      </c>
      <c r="CS49" s="255" t="str">
        <f t="shared" si="130"/>
        <v/>
      </c>
      <c r="CT49" s="255"/>
      <c r="CU49" s="231" t="str">
        <f t="shared" si="131"/>
        <v/>
      </c>
      <c r="CV49" s="344"/>
      <c r="CW49" s="353"/>
      <c r="CX49" s="2">
        <v>17</v>
      </c>
      <c r="CY49" s="3" t="s">
        <v>1162</v>
      </c>
      <c r="CZ49" s="2">
        <f t="shared" si="756"/>
        <v>42</v>
      </c>
      <c r="DA49" s="2">
        <f t="shared" si="133"/>
        <v>44</v>
      </c>
      <c r="DB49" s="2">
        <v>3</v>
      </c>
      <c r="DC49" s="255" t="str">
        <f t="shared" si="134"/>
        <v/>
      </c>
      <c r="DD49" s="255"/>
      <c r="DE49" s="231" t="str">
        <f t="shared" si="135"/>
        <v/>
      </c>
      <c r="DF49" s="344"/>
      <c r="DG49" s="353"/>
      <c r="DH49" s="2">
        <v>17</v>
      </c>
      <c r="DI49" s="3" t="s">
        <v>1162</v>
      </c>
      <c r="DJ49" s="2">
        <f t="shared" si="757"/>
        <v>42</v>
      </c>
      <c r="DK49" s="2">
        <f t="shared" si="137"/>
        <v>44</v>
      </c>
      <c r="DL49" s="2">
        <v>3</v>
      </c>
      <c r="DM49" s="255" t="str">
        <f t="shared" si="138"/>
        <v/>
      </c>
      <c r="DN49" s="255"/>
      <c r="DO49" s="231" t="str">
        <f t="shared" si="139"/>
        <v/>
      </c>
      <c r="DP49" s="344"/>
      <c r="DQ49" s="353"/>
      <c r="DR49" s="2">
        <v>17</v>
      </c>
      <c r="DS49" s="3" t="s">
        <v>1162</v>
      </c>
      <c r="DT49" s="2">
        <f t="shared" si="758"/>
        <v>42</v>
      </c>
      <c r="DU49" s="2">
        <f t="shared" si="141"/>
        <v>44</v>
      </c>
      <c r="DV49" s="2">
        <v>3</v>
      </c>
      <c r="DW49" s="255" t="str">
        <f t="shared" si="142"/>
        <v/>
      </c>
      <c r="DX49" s="255"/>
      <c r="DY49" s="231" t="str">
        <f t="shared" si="143"/>
        <v/>
      </c>
      <c r="DZ49" s="344"/>
      <c r="EA49" s="353"/>
      <c r="EB49" s="2">
        <v>17</v>
      </c>
      <c r="EC49" s="3" t="s">
        <v>1162</v>
      </c>
      <c r="ED49" s="2">
        <f t="shared" si="759"/>
        <v>42</v>
      </c>
      <c r="EE49" s="2">
        <f t="shared" si="145"/>
        <v>44</v>
      </c>
      <c r="EF49" s="2">
        <v>3</v>
      </c>
      <c r="EG49" s="255" t="str">
        <f t="shared" si="146"/>
        <v/>
      </c>
      <c r="EH49" s="255"/>
      <c r="EI49" s="231" t="str">
        <f t="shared" si="147"/>
        <v/>
      </c>
      <c r="EJ49" s="344"/>
      <c r="EK49" s="353"/>
      <c r="EL49" s="2">
        <v>17</v>
      </c>
      <c r="EM49" s="3" t="s">
        <v>1162</v>
      </c>
      <c r="EN49" s="2">
        <f t="shared" si="760"/>
        <v>42</v>
      </c>
      <c r="EO49" s="2">
        <f t="shared" si="149"/>
        <v>44</v>
      </c>
      <c r="EP49" s="2">
        <v>3</v>
      </c>
      <c r="EQ49" s="255" t="str">
        <f t="shared" si="150"/>
        <v/>
      </c>
      <c r="ER49" s="255"/>
      <c r="ES49" s="231" t="str">
        <f t="shared" si="151"/>
        <v/>
      </c>
      <c r="ET49" s="344"/>
      <c r="EU49" s="353"/>
      <c r="EV49" s="2">
        <v>17</v>
      </c>
      <c r="EW49" s="3" t="s">
        <v>1162</v>
      </c>
      <c r="EX49" s="2">
        <f t="shared" si="761"/>
        <v>42</v>
      </c>
      <c r="EY49" s="2">
        <f t="shared" si="153"/>
        <v>44</v>
      </c>
      <c r="EZ49" s="2">
        <v>3</v>
      </c>
      <c r="FA49" s="255" t="str">
        <f t="shared" si="154"/>
        <v/>
      </c>
      <c r="FB49" s="255"/>
      <c r="FC49" s="231" t="str">
        <f t="shared" si="155"/>
        <v/>
      </c>
      <c r="FD49" s="344"/>
      <c r="FE49" s="353"/>
      <c r="FF49" s="2">
        <v>17</v>
      </c>
      <c r="FG49" s="3" t="s">
        <v>1162</v>
      </c>
      <c r="FH49" s="2">
        <f t="shared" si="762"/>
        <v>42</v>
      </c>
      <c r="FI49" s="2">
        <f t="shared" si="157"/>
        <v>44</v>
      </c>
      <c r="FJ49" s="2">
        <v>3</v>
      </c>
      <c r="FK49" s="255" t="str">
        <f t="shared" si="158"/>
        <v/>
      </c>
      <c r="FL49" s="255"/>
      <c r="FM49" s="231" t="str">
        <f t="shared" si="159"/>
        <v/>
      </c>
      <c r="FN49" s="344"/>
      <c r="FO49" s="353"/>
      <c r="FP49" s="2">
        <v>17</v>
      </c>
      <c r="FQ49" s="3" t="s">
        <v>1162</v>
      </c>
      <c r="FR49" s="2">
        <f t="shared" si="763"/>
        <v>42</v>
      </c>
      <c r="FS49" s="2">
        <f t="shared" si="161"/>
        <v>44</v>
      </c>
      <c r="FT49" s="2">
        <v>3</v>
      </c>
      <c r="FU49" s="255" t="str">
        <f t="shared" si="162"/>
        <v/>
      </c>
      <c r="FV49" s="255"/>
      <c r="FW49" s="231" t="str">
        <f t="shared" si="163"/>
        <v/>
      </c>
      <c r="FX49" s="344"/>
      <c r="FY49" s="353"/>
      <c r="FZ49" s="2">
        <v>17</v>
      </c>
      <c r="GA49" s="3" t="s">
        <v>1162</v>
      </c>
      <c r="GB49" s="2">
        <f t="shared" si="764"/>
        <v>42</v>
      </c>
      <c r="GC49" s="2">
        <f t="shared" si="165"/>
        <v>44</v>
      </c>
      <c r="GD49" s="2">
        <v>3</v>
      </c>
      <c r="GE49" s="255" t="str">
        <f t="shared" si="166"/>
        <v/>
      </c>
      <c r="GF49" s="255"/>
      <c r="GG49" s="231" t="str">
        <f t="shared" si="167"/>
        <v/>
      </c>
      <c r="GH49" s="344"/>
      <c r="GI49" s="353"/>
      <c r="GJ49" s="2">
        <v>17</v>
      </c>
      <c r="GK49" s="3" t="s">
        <v>1162</v>
      </c>
      <c r="GL49" s="2">
        <f t="shared" si="765"/>
        <v>42</v>
      </c>
      <c r="GM49" s="2">
        <f t="shared" si="169"/>
        <v>44</v>
      </c>
      <c r="GN49" s="2">
        <v>3</v>
      </c>
      <c r="GO49" s="255" t="str">
        <f t="shared" si="170"/>
        <v/>
      </c>
      <c r="GP49" s="255"/>
      <c r="GQ49" s="231" t="str">
        <f t="shared" si="171"/>
        <v/>
      </c>
      <c r="GR49" s="344"/>
      <c r="GS49" s="353"/>
      <c r="GT49" s="2">
        <v>17</v>
      </c>
      <c r="GU49" s="3" t="s">
        <v>1162</v>
      </c>
      <c r="GV49" s="2">
        <f t="shared" si="766"/>
        <v>42</v>
      </c>
      <c r="GW49" s="2">
        <f t="shared" si="173"/>
        <v>44</v>
      </c>
      <c r="GX49" s="2">
        <v>3</v>
      </c>
      <c r="GY49" s="255" t="str">
        <f t="shared" si="174"/>
        <v/>
      </c>
      <c r="GZ49" s="255"/>
      <c r="HA49" s="231" t="str">
        <f t="shared" si="175"/>
        <v/>
      </c>
      <c r="HB49" s="344"/>
      <c r="HC49" s="353"/>
      <c r="HD49" s="2">
        <v>17</v>
      </c>
      <c r="HE49" s="3" t="s">
        <v>1162</v>
      </c>
      <c r="HF49" s="2">
        <f t="shared" si="767"/>
        <v>42</v>
      </c>
      <c r="HG49" s="2">
        <f t="shared" si="177"/>
        <v>44</v>
      </c>
      <c r="HH49" s="2">
        <v>3</v>
      </c>
      <c r="HI49" s="255" t="str">
        <f t="shared" si="178"/>
        <v/>
      </c>
      <c r="HJ49" s="255"/>
      <c r="HK49" s="231" t="str">
        <f t="shared" si="179"/>
        <v/>
      </c>
      <c r="HL49" s="344"/>
      <c r="HM49" s="353"/>
      <c r="HN49" s="2">
        <v>17</v>
      </c>
      <c r="HO49" s="3" t="s">
        <v>1162</v>
      </c>
      <c r="HP49" s="2">
        <f t="shared" si="768"/>
        <v>42</v>
      </c>
      <c r="HQ49" s="2">
        <f t="shared" si="181"/>
        <v>44</v>
      </c>
      <c r="HR49" s="2">
        <v>3</v>
      </c>
      <c r="HS49" s="255" t="str">
        <f t="shared" si="182"/>
        <v/>
      </c>
      <c r="HT49" s="255"/>
      <c r="HU49" s="231" t="str">
        <f t="shared" si="183"/>
        <v/>
      </c>
      <c r="HV49" s="344"/>
      <c r="HW49" s="353"/>
      <c r="HX49" s="2">
        <v>17</v>
      </c>
      <c r="HY49" s="3" t="s">
        <v>1162</v>
      </c>
      <c r="HZ49" s="2">
        <f t="shared" si="769"/>
        <v>42</v>
      </c>
      <c r="IA49" s="2">
        <f t="shared" si="185"/>
        <v>44</v>
      </c>
      <c r="IB49" s="2">
        <v>3</v>
      </c>
      <c r="IC49" s="255" t="str">
        <f t="shared" si="186"/>
        <v/>
      </c>
      <c r="ID49" s="255"/>
      <c r="IE49" s="231" t="str">
        <f t="shared" si="187"/>
        <v/>
      </c>
      <c r="IF49" s="344"/>
      <c r="IG49" s="353"/>
      <c r="IH49" s="2">
        <v>17</v>
      </c>
      <c r="II49" s="3" t="s">
        <v>1162</v>
      </c>
      <c r="IJ49" s="2">
        <f t="shared" si="770"/>
        <v>42</v>
      </c>
      <c r="IK49" s="2">
        <f t="shared" si="189"/>
        <v>44</v>
      </c>
      <c r="IL49" s="2">
        <v>3</v>
      </c>
      <c r="IM49" s="255" t="str">
        <f t="shared" si="190"/>
        <v/>
      </c>
      <c r="IN49" s="255"/>
      <c r="IO49" s="231" t="str">
        <f t="shared" si="191"/>
        <v/>
      </c>
      <c r="IP49" s="344"/>
      <c r="IQ49" s="353"/>
      <c r="IR49" s="2">
        <v>17</v>
      </c>
      <c r="IS49" s="3" t="s">
        <v>1162</v>
      </c>
      <c r="IT49" s="2">
        <f t="shared" si="771"/>
        <v>42</v>
      </c>
      <c r="IU49" s="2">
        <f t="shared" si="193"/>
        <v>44</v>
      </c>
      <c r="IV49" s="2">
        <v>3</v>
      </c>
      <c r="IW49" s="255" t="str">
        <f t="shared" si="194"/>
        <v/>
      </c>
      <c r="IX49" s="255"/>
      <c r="IY49" s="231" t="str">
        <f t="shared" si="195"/>
        <v/>
      </c>
      <c r="IZ49" s="344"/>
      <c r="JA49" s="353"/>
      <c r="JB49" s="2">
        <v>17</v>
      </c>
      <c r="JC49" s="3" t="s">
        <v>1162</v>
      </c>
      <c r="JD49" s="2">
        <f t="shared" si="772"/>
        <v>42</v>
      </c>
      <c r="JE49" s="2">
        <f t="shared" si="197"/>
        <v>44</v>
      </c>
      <c r="JF49" s="2">
        <v>3</v>
      </c>
      <c r="JG49" s="255" t="str">
        <f t="shared" si="198"/>
        <v/>
      </c>
      <c r="JH49" s="255"/>
      <c r="JI49" s="231" t="str">
        <f t="shared" si="199"/>
        <v/>
      </c>
      <c r="JJ49" s="344"/>
      <c r="JK49" s="353"/>
      <c r="JL49" s="2">
        <v>17</v>
      </c>
      <c r="JM49" s="3" t="s">
        <v>1162</v>
      </c>
      <c r="JN49" s="2">
        <f t="shared" si="773"/>
        <v>42</v>
      </c>
      <c r="JO49" s="2">
        <f t="shared" si="201"/>
        <v>44</v>
      </c>
      <c r="JP49" s="2">
        <v>3</v>
      </c>
      <c r="JQ49" s="255" t="str">
        <f t="shared" si="202"/>
        <v/>
      </c>
      <c r="JR49" s="255"/>
      <c r="JS49" s="231" t="str">
        <f t="shared" si="203"/>
        <v/>
      </c>
      <c r="JT49" s="344"/>
      <c r="JU49" s="353"/>
      <c r="JV49" s="2">
        <v>17</v>
      </c>
      <c r="JW49" s="3" t="s">
        <v>1162</v>
      </c>
      <c r="JX49" s="2">
        <f t="shared" si="774"/>
        <v>42</v>
      </c>
      <c r="JY49" s="2">
        <f t="shared" si="205"/>
        <v>44</v>
      </c>
      <c r="JZ49" s="2">
        <v>3</v>
      </c>
      <c r="KA49" s="255" t="str">
        <f t="shared" si="206"/>
        <v/>
      </c>
      <c r="KB49" s="255"/>
      <c r="KC49" s="231" t="str">
        <f t="shared" si="207"/>
        <v/>
      </c>
      <c r="KD49" s="344"/>
      <c r="KE49" s="353"/>
      <c r="KF49" s="2">
        <v>17</v>
      </c>
      <c r="KG49" s="3" t="s">
        <v>1162</v>
      </c>
      <c r="KH49" s="2">
        <f t="shared" si="775"/>
        <v>42</v>
      </c>
      <c r="KI49" s="2">
        <f t="shared" si="209"/>
        <v>44</v>
      </c>
      <c r="KJ49" s="2">
        <v>3</v>
      </c>
      <c r="KK49" s="255" t="str">
        <f t="shared" si="210"/>
        <v/>
      </c>
      <c r="KL49" s="255"/>
      <c r="KM49" s="231" t="str">
        <f t="shared" si="211"/>
        <v/>
      </c>
      <c r="KN49" s="344"/>
      <c r="KO49" s="353"/>
      <c r="KP49" s="2">
        <v>17</v>
      </c>
      <c r="KQ49" s="3" t="s">
        <v>1162</v>
      </c>
      <c r="KR49" s="2">
        <f t="shared" si="776"/>
        <v>42</v>
      </c>
      <c r="KS49" s="2">
        <f t="shared" si="213"/>
        <v>44</v>
      </c>
      <c r="KT49" s="2">
        <v>3</v>
      </c>
      <c r="KU49" s="255" t="str">
        <f t="shared" si="214"/>
        <v/>
      </c>
      <c r="KV49" s="255"/>
      <c r="KW49" s="231" t="str">
        <f t="shared" si="215"/>
        <v/>
      </c>
      <c r="KX49" s="344"/>
      <c r="KY49" s="353"/>
      <c r="KZ49" s="2">
        <v>17</v>
      </c>
      <c r="LA49" s="3" t="s">
        <v>1162</v>
      </c>
      <c r="LB49" s="2">
        <f t="shared" si="777"/>
        <v>42</v>
      </c>
      <c r="LC49" s="2">
        <f t="shared" si="217"/>
        <v>44</v>
      </c>
      <c r="LD49" s="2">
        <v>3</v>
      </c>
      <c r="LE49" s="255" t="str">
        <f t="shared" si="218"/>
        <v/>
      </c>
      <c r="LF49" s="255"/>
      <c r="LG49" s="231" t="str">
        <f t="shared" si="219"/>
        <v/>
      </c>
      <c r="LH49" s="344"/>
      <c r="LI49" s="353"/>
      <c r="LJ49" s="2">
        <v>17</v>
      </c>
      <c r="LK49" s="3" t="s">
        <v>1162</v>
      </c>
      <c r="LL49" s="2">
        <f t="shared" si="778"/>
        <v>42</v>
      </c>
      <c r="LM49" s="2">
        <f t="shared" si="221"/>
        <v>44</v>
      </c>
      <c r="LN49" s="2">
        <v>3</v>
      </c>
      <c r="LO49" s="255" t="str">
        <f t="shared" si="222"/>
        <v/>
      </c>
      <c r="LP49" s="255"/>
      <c r="LQ49" s="231" t="str">
        <f t="shared" si="223"/>
        <v/>
      </c>
      <c r="LR49" s="344"/>
      <c r="LS49" s="353"/>
      <c r="LT49" s="2">
        <v>17</v>
      </c>
      <c r="LU49" s="3" t="s">
        <v>1162</v>
      </c>
      <c r="LV49" s="2">
        <f t="shared" si="779"/>
        <v>42</v>
      </c>
      <c r="LW49" s="2">
        <f t="shared" si="225"/>
        <v>44</v>
      </c>
      <c r="LX49" s="2">
        <v>3</v>
      </c>
      <c r="LY49" s="255" t="str">
        <f t="shared" si="226"/>
        <v/>
      </c>
      <c r="LZ49" s="255"/>
      <c r="MA49" s="231" t="str">
        <f t="shared" si="227"/>
        <v/>
      </c>
      <c r="MB49" s="344"/>
      <c r="MC49" s="353"/>
      <c r="MD49" s="2">
        <v>17</v>
      </c>
      <c r="ME49" s="3" t="s">
        <v>1162</v>
      </c>
      <c r="MF49" s="2">
        <f t="shared" si="780"/>
        <v>42</v>
      </c>
      <c r="MG49" s="2">
        <f t="shared" si="229"/>
        <v>44</v>
      </c>
      <c r="MH49" s="2">
        <v>3</v>
      </c>
      <c r="MI49" s="255" t="str">
        <f t="shared" si="230"/>
        <v/>
      </c>
      <c r="MJ49" s="255"/>
      <c r="MK49" s="231" t="str">
        <f t="shared" si="231"/>
        <v/>
      </c>
      <c r="ML49" s="344"/>
      <c r="MM49" s="353"/>
      <c r="MN49" s="2">
        <v>17</v>
      </c>
      <c r="MO49" s="3" t="s">
        <v>1162</v>
      </c>
      <c r="MP49" s="2">
        <f t="shared" si="781"/>
        <v>42</v>
      </c>
      <c r="MQ49" s="2">
        <f t="shared" si="233"/>
        <v>44</v>
      </c>
      <c r="MR49" s="2">
        <v>3</v>
      </c>
      <c r="MS49" s="255" t="str">
        <f t="shared" si="234"/>
        <v/>
      </c>
      <c r="MT49" s="255"/>
      <c r="MU49" s="231" t="str">
        <f t="shared" si="235"/>
        <v/>
      </c>
      <c r="MV49" s="344"/>
      <c r="MW49" s="353"/>
      <c r="MX49" s="2">
        <v>17</v>
      </c>
      <c r="MY49" s="3" t="s">
        <v>1162</v>
      </c>
      <c r="MZ49" s="2">
        <f t="shared" si="782"/>
        <v>42</v>
      </c>
      <c r="NA49" s="2">
        <f t="shared" si="237"/>
        <v>44</v>
      </c>
      <c r="NB49" s="2">
        <v>3</v>
      </c>
      <c r="NC49" s="255" t="str">
        <f t="shared" si="238"/>
        <v/>
      </c>
      <c r="ND49" s="255"/>
      <c r="NE49" s="231" t="str">
        <f t="shared" si="239"/>
        <v/>
      </c>
      <c r="NF49" s="344"/>
      <c r="NG49" s="353"/>
      <c r="NH49" s="2">
        <v>17</v>
      </c>
      <c r="NI49" s="3" t="s">
        <v>1162</v>
      </c>
      <c r="NJ49" s="2">
        <f t="shared" si="783"/>
        <v>42</v>
      </c>
      <c r="NK49" s="2">
        <f t="shared" si="241"/>
        <v>44</v>
      </c>
      <c r="NL49" s="2">
        <v>3</v>
      </c>
      <c r="NM49" s="255" t="str">
        <f t="shared" si="242"/>
        <v/>
      </c>
      <c r="NN49" s="255"/>
      <c r="NO49" s="231" t="str">
        <f t="shared" si="243"/>
        <v/>
      </c>
      <c r="NP49" s="344"/>
      <c r="NQ49" s="353"/>
      <c r="NR49" s="2">
        <v>17</v>
      </c>
      <c r="NS49" s="3" t="s">
        <v>1162</v>
      </c>
      <c r="NT49" s="2">
        <f t="shared" si="784"/>
        <v>42</v>
      </c>
      <c r="NU49" s="2">
        <f t="shared" si="245"/>
        <v>44</v>
      </c>
      <c r="NV49" s="2">
        <v>3</v>
      </c>
      <c r="NW49" s="255" t="str">
        <f t="shared" si="246"/>
        <v/>
      </c>
      <c r="NX49" s="255"/>
      <c r="NY49" s="231" t="str">
        <f t="shared" si="247"/>
        <v/>
      </c>
      <c r="NZ49" s="344"/>
      <c r="OA49" s="353"/>
      <c r="OB49" s="2">
        <v>17</v>
      </c>
      <c r="OC49" s="3" t="s">
        <v>1162</v>
      </c>
      <c r="OD49" s="2">
        <f t="shared" si="785"/>
        <v>42</v>
      </c>
      <c r="OE49" s="2">
        <f t="shared" si="249"/>
        <v>44</v>
      </c>
      <c r="OF49" s="2">
        <v>3</v>
      </c>
      <c r="OG49" s="255" t="str">
        <f t="shared" si="250"/>
        <v/>
      </c>
      <c r="OH49" s="255"/>
      <c r="OI49" s="231" t="str">
        <f t="shared" si="251"/>
        <v/>
      </c>
      <c r="OJ49" s="344"/>
      <c r="OK49" s="353"/>
      <c r="OL49" s="2">
        <v>17</v>
      </c>
      <c r="OM49" s="3" t="s">
        <v>1162</v>
      </c>
      <c r="ON49" s="2">
        <f t="shared" si="786"/>
        <v>42</v>
      </c>
      <c r="OO49" s="2">
        <f t="shared" si="253"/>
        <v>44</v>
      </c>
      <c r="OP49" s="2">
        <v>3</v>
      </c>
      <c r="OQ49" s="255" t="str">
        <f t="shared" si="254"/>
        <v/>
      </c>
      <c r="OR49" s="255"/>
      <c r="OS49" s="231" t="str">
        <f t="shared" si="255"/>
        <v/>
      </c>
      <c r="OT49" s="344"/>
      <c r="OU49" s="353"/>
      <c r="OV49" s="2">
        <v>17</v>
      </c>
      <c r="OW49" s="3" t="s">
        <v>1162</v>
      </c>
      <c r="OX49" s="2">
        <f t="shared" si="787"/>
        <v>42</v>
      </c>
      <c r="OY49" s="2">
        <f t="shared" si="257"/>
        <v>44</v>
      </c>
      <c r="OZ49" s="2">
        <v>3</v>
      </c>
      <c r="PA49" s="255" t="str">
        <f t="shared" si="258"/>
        <v/>
      </c>
      <c r="PB49" s="255"/>
      <c r="PC49" s="231" t="str">
        <f t="shared" si="259"/>
        <v/>
      </c>
      <c r="PD49" s="344"/>
      <c r="PE49" s="353"/>
      <c r="PF49" s="2">
        <v>17</v>
      </c>
      <c r="PG49" s="3" t="s">
        <v>1162</v>
      </c>
      <c r="PH49" s="2">
        <f t="shared" si="788"/>
        <v>42</v>
      </c>
      <c r="PI49" s="2">
        <f t="shared" si="261"/>
        <v>44</v>
      </c>
      <c r="PJ49" s="2">
        <v>3</v>
      </c>
      <c r="PK49" s="255" t="str">
        <f t="shared" si="262"/>
        <v/>
      </c>
      <c r="PL49" s="255"/>
      <c r="PM49" s="231" t="str">
        <f t="shared" si="263"/>
        <v/>
      </c>
      <c r="PN49" s="344"/>
      <c r="PO49" s="353"/>
      <c r="PP49" s="2">
        <v>17</v>
      </c>
      <c r="PQ49" s="3" t="s">
        <v>1162</v>
      </c>
      <c r="PR49" s="2">
        <f t="shared" si="789"/>
        <v>42</v>
      </c>
      <c r="PS49" s="2">
        <f t="shared" si="265"/>
        <v>44</v>
      </c>
      <c r="PT49" s="2">
        <v>3</v>
      </c>
      <c r="PU49" s="255" t="str">
        <f t="shared" si="266"/>
        <v/>
      </c>
      <c r="PV49" s="255"/>
      <c r="PW49" s="231" t="str">
        <f t="shared" si="267"/>
        <v/>
      </c>
      <c r="PX49" s="344"/>
      <c r="PY49" s="353"/>
      <c r="PZ49" s="2">
        <v>17</v>
      </c>
      <c r="QA49" s="3" t="s">
        <v>1162</v>
      </c>
      <c r="QB49" s="2">
        <f t="shared" si="790"/>
        <v>42</v>
      </c>
      <c r="QC49" s="2">
        <f t="shared" si="269"/>
        <v>44</v>
      </c>
      <c r="QD49" s="2">
        <v>3</v>
      </c>
      <c r="QE49" s="255" t="str">
        <f t="shared" si="270"/>
        <v/>
      </c>
      <c r="QF49" s="255"/>
      <c r="QG49" s="231" t="str">
        <f t="shared" si="271"/>
        <v/>
      </c>
      <c r="QH49" s="344"/>
      <c r="QI49" s="353"/>
      <c r="QJ49" s="2">
        <v>17</v>
      </c>
      <c r="QK49" s="3" t="s">
        <v>1162</v>
      </c>
      <c r="QL49" s="2">
        <f t="shared" si="791"/>
        <v>42</v>
      </c>
      <c r="QM49" s="2">
        <f t="shared" si="273"/>
        <v>44</v>
      </c>
      <c r="QN49" s="2">
        <v>3</v>
      </c>
      <c r="QO49" s="255" t="str">
        <f t="shared" si="274"/>
        <v/>
      </c>
      <c r="QP49" s="255"/>
      <c r="QQ49" s="231" t="str">
        <f t="shared" si="275"/>
        <v/>
      </c>
      <c r="QR49" s="344"/>
      <c r="QS49" s="353"/>
      <c r="QT49" s="2">
        <v>17</v>
      </c>
      <c r="QU49" s="3" t="s">
        <v>1162</v>
      </c>
      <c r="QV49" s="2">
        <f t="shared" si="792"/>
        <v>42</v>
      </c>
      <c r="QW49" s="2">
        <f t="shared" si="277"/>
        <v>44</v>
      </c>
      <c r="QX49" s="2">
        <v>3</v>
      </c>
      <c r="QY49" s="255" t="str">
        <f t="shared" si="278"/>
        <v/>
      </c>
      <c r="QZ49" s="255"/>
      <c r="RA49" s="231" t="str">
        <f t="shared" si="279"/>
        <v/>
      </c>
      <c r="RB49" s="344"/>
      <c r="RC49" s="353"/>
      <c r="RD49" s="2">
        <v>17</v>
      </c>
      <c r="RE49" s="3" t="s">
        <v>1162</v>
      </c>
      <c r="RF49" s="2">
        <f t="shared" si="793"/>
        <v>42</v>
      </c>
      <c r="RG49" s="2">
        <f t="shared" si="281"/>
        <v>44</v>
      </c>
      <c r="RH49" s="2">
        <v>3</v>
      </c>
      <c r="RI49" s="255" t="str">
        <f t="shared" si="282"/>
        <v/>
      </c>
      <c r="RJ49" s="255"/>
      <c r="RK49" s="231" t="str">
        <f t="shared" si="283"/>
        <v/>
      </c>
      <c r="RL49" s="344"/>
      <c r="RM49" s="353"/>
      <c r="RN49" s="2">
        <v>17</v>
      </c>
      <c r="RO49" s="3" t="s">
        <v>1162</v>
      </c>
      <c r="RP49" s="2">
        <f t="shared" si="794"/>
        <v>42</v>
      </c>
      <c r="RQ49" s="2">
        <f t="shared" si="285"/>
        <v>44</v>
      </c>
      <c r="RR49" s="2">
        <v>3</v>
      </c>
      <c r="RS49" s="255" t="str">
        <f t="shared" si="286"/>
        <v/>
      </c>
      <c r="RT49" s="255"/>
      <c r="RU49" s="231" t="str">
        <f t="shared" si="287"/>
        <v/>
      </c>
      <c r="RV49" s="344"/>
      <c r="RW49" s="353"/>
      <c r="RX49" s="2">
        <v>17</v>
      </c>
      <c r="RY49" s="3" t="s">
        <v>1162</v>
      </c>
      <c r="RZ49" s="2">
        <f t="shared" si="795"/>
        <v>42</v>
      </c>
      <c r="SA49" s="2">
        <f t="shared" si="289"/>
        <v>44</v>
      </c>
      <c r="SB49" s="2">
        <v>3</v>
      </c>
      <c r="SC49" s="255" t="str">
        <f t="shared" si="290"/>
        <v/>
      </c>
      <c r="SD49" s="255"/>
      <c r="SE49" s="231" t="str">
        <f t="shared" si="291"/>
        <v/>
      </c>
      <c r="SF49" s="344"/>
      <c r="SG49" s="353"/>
      <c r="SH49" s="2">
        <v>17</v>
      </c>
      <c r="SI49" s="3" t="s">
        <v>1162</v>
      </c>
      <c r="SJ49" s="2">
        <f t="shared" si="796"/>
        <v>42</v>
      </c>
      <c r="SK49" s="2">
        <f t="shared" si="293"/>
        <v>44</v>
      </c>
      <c r="SL49" s="2">
        <v>3</v>
      </c>
      <c r="SM49" s="255" t="str">
        <f t="shared" si="294"/>
        <v/>
      </c>
      <c r="SN49" s="255"/>
      <c r="SO49" s="231" t="str">
        <f t="shared" si="295"/>
        <v/>
      </c>
      <c r="SP49" s="344"/>
      <c r="SQ49" s="353"/>
      <c r="SR49" s="2">
        <v>17</v>
      </c>
      <c r="SS49" s="3" t="s">
        <v>1162</v>
      </c>
      <c r="ST49" s="2">
        <f t="shared" si="797"/>
        <v>42</v>
      </c>
      <c r="SU49" s="2">
        <f t="shared" si="297"/>
        <v>44</v>
      </c>
      <c r="SV49" s="2">
        <v>3</v>
      </c>
      <c r="SW49" s="255" t="str">
        <f t="shared" si="298"/>
        <v/>
      </c>
      <c r="SX49" s="255"/>
      <c r="SY49" s="231" t="str">
        <f t="shared" si="299"/>
        <v/>
      </c>
      <c r="SZ49" s="344"/>
      <c r="TA49" s="353"/>
      <c r="TB49" s="2">
        <v>17</v>
      </c>
      <c r="TC49" s="3" t="s">
        <v>1162</v>
      </c>
      <c r="TD49" s="2">
        <f t="shared" si="798"/>
        <v>42</v>
      </c>
      <c r="TE49" s="2">
        <f t="shared" si="301"/>
        <v>44</v>
      </c>
      <c r="TF49" s="2">
        <v>3</v>
      </c>
      <c r="TG49" s="255" t="str">
        <f t="shared" si="302"/>
        <v/>
      </c>
      <c r="TH49" s="255"/>
      <c r="TI49" s="231" t="str">
        <f t="shared" si="303"/>
        <v/>
      </c>
      <c r="TJ49" s="344"/>
      <c r="TK49" s="353"/>
      <c r="TL49" s="2">
        <v>17</v>
      </c>
      <c r="TM49" s="3" t="s">
        <v>1162</v>
      </c>
      <c r="TN49" s="2">
        <f t="shared" si="799"/>
        <v>42</v>
      </c>
      <c r="TO49" s="2">
        <f t="shared" si="305"/>
        <v>44</v>
      </c>
      <c r="TP49" s="2">
        <v>3</v>
      </c>
      <c r="TQ49" s="255" t="str">
        <f t="shared" si="306"/>
        <v/>
      </c>
      <c r="TR49" s="255"/>
      <c r="TS49" s="231" t="str">
        <f t="shared" si="307"/>
        <v/>
      </c>
      <c r="TT49" s="344"/>
      <c r="TU49" s="353"/>
      <c r="TV49" s="2">
        <v>17</v>
      </c>
      <c r="TW49" s="3" t="s">
        <v>1162</v>
      </c>
      <c r="TX49" s="2">
        <f t="shared" si="800"/>
        <v>42</v>
      </c>
      <c r="TY49" s="2">
        <f t="shared" si="309"/>
        <v>44</v>
      </c>
      <c r="TZ49" s="2">
        <v>3</v>
      </c>
      <c r="UA49" s="255" t="str">
        <f t="shared" si="310"/>
        <v/>
      </c>
      <c r="UB49" s="255"/>
      <c r="UC49" s="231" t="str">
        <f t="shared" si="311"/>
        <v/>
      </c>
      <c r="UD49" s="344"/>
      <c r="UE49" s="353"/>
      <c r="UF49" s="2">
        <v>17</v>
      </c>
      <c r="UG49" s="3" t="s">
        <v>1162</v>
      </c>
      <c r="UH49" s="2">
        <f t="shared" si="801"/>
        <v>42</v>
      </c>
      <c r="UI49" s="2">
        <f t="shared" si="313"/>
        <v>44</v>
      </c>
      <c r="UJ49" s="2">
        <v>3</v>
      </c>
      <c r="UK49" s="255" t="str">
        <f t="shared" si="314"/>
        <v/>
      </c>
      <c r="UL49" s="255"/>
      <c r="UM49" s="231" t="str">
        <f t="shared" si="315"/>
        <v/>
      </c>
      <c r="UN49" s="344"/>
      <c r="UO49" s="353"/>
      <c r="UP49" s="2">
        <v>17</v>
      </c>
      <c r="UQ49" s="3" t="s">
        <v>1162</v>
      </c>
      <c r="UR49" s="2">
        <f t="shared" si="802"/>
        <v>42</v>
      </c>
      <c r="US49" s="2">
        <f t="shared" si="317"/>
        <v>44</v>
      </c>
      <c r="UT49" s="2">
        <v>3</v>
      </c>
      <c r="UU49" s="255" t="str">
        <f t="shared" si="318"/>
        <v/>
      </c>
      <c r="UV49" s="255"/>
      <c r="UW49" s="231" t="str">
        <f t="shared" si="319"/>
        <v/>
      </c>
      <c r="UX49" s="344"/>
      <c r="UY49" s="353"/>
      <c r="UZ49" s="2">
        <v>17</v>
      </c>
      <c r="VA49" s="3" t="s">
        <v>1162</v>
      </c>
      <c r="VB49" s="2">
        <f t="shared" si="803"/>
        <v>42</v>
      </c>
      <c r="VC49" s="2">
        <f t="shared" si="321"/>
        <v>44</v>
      </c>
      <c r="VD49" s="2">
        <v>3</v>
      </c>
      <c r="VE49" s="255" t="str">
        <f t="shared" si="322"/>
        <v/>
      </c>
      <c r="VF49" s="255"/>
      <c r="VG49" s="231" t="str">
        <f t="shared" si="323"/>
        <v/>
      </c>
      <c r="VH49" s="344"/>
      <c r="VI49" s="353"/>
      <c r="VJ49" s="2">
        <v>17</v>
      </c>
      <c r="VK49" s="3" t="s">
        <v>1162</v>
      </c>
      <c r="VL49" s="2">
        <f t="shared" si="804"/>
        <v>42</v>
      </c>
      <c r="VM49" s="2">
        <f t="shared" si="325"/>
        <v>44</v>
      </c>
      <c r="VN49" s="2">
        <v>3</v>
      </c>
      <c r="VO49" s="255" t="str">
        <f t="shared" si="326"/>
        <v/>
      </c>
      <c r="VP49" s="255"/>
      <c r="VQ49" s="231" t="str">
        <f t="shared" si="327"/>
        <v/>
      </c>
      <c r="VR49" s="344"/>
      <c r="VS49" s="353"/>
      <c r="VT49" s="2">
        <v>17</v>
      </c>
      <c r="VU49" s="3" t="s">
        <v>1162</v>
      </c>
      <c r="VV49" s="2">
        <f t="shared" si="805"/>
        <v>42</v>
      </c>
      <c r="VW49" s="2">
        <f t="shared" si="329"/>
        <v>44</v>
      </c>
      <c r="VX49" s="2">
        <v>3</v>
      </c>
      <c r="VY49" s="255" t="str">
        <f t="shared" si="330"/>
        <v/>
      </c>
      <c r="VZ49" s="255"/>
      <c r="WA49" s="231" t="str">
        <f t="shared" si="331"/>
        <v/>
      </c>
      <c r="WB49" s="344"/>
      <c r="WC49" s="353"/>
      <c r="WD49" s="2">
        <v>17</v>
      </c>
      <c r="WE49" s="3" t="s">
        <v>1162</v>
      </c>
      <c r="WF49" s="2">
        <f t="shared" si="806"/>
        <v>42</v>
      </c>
      <c r="WG49" s="2">
        <f t="shared" si="333"/>
        <v>44</v>
      </c>
      <c r="WH49" s="2">
        <v>3</v>
      </c>
      <c r="WI49" s="255" t="str">
        <f t="shared" si="334"/>
        <v/>
      </c>
      <c r="WJ49" s="255"/>
      <c r="WK49" s="231" t="str">
        <f t="shared" si="335"/>
        <v/>
      </c>
      <c r="WL49" s="344"/>
      <c r="WM49" s="353"/>
      <c r="WN49" s="2">
        <v>17</v>
      </c>
      <c r="WO49" s="3" t="s">
        <v>1162</v>
      </c>
      <c r="WP49" s="2">
        <f t="shared" si="807"/>
        <v>42</v>
      </c>
      <c r="WQ49" s="2">
        <f t="shared" si="337"/>
        <v>44</v>
      </c>
      <c r="WR49" s="2">
        <v>3</v>
      </c>
      <c r="WS49" s="255" t="str">
        <f t="shared" si="338"/>
        <v/>
      </c>
      <c r="WT49" s="255"/>
      <c r="WU49" s="231" t="str">
        <f t="shared" si="339"/>
        <v/>
      </c>
      <c r="WV49" s="344"/>
      <c r="WW49" s="353"/>
      <c r="WX49" s="2">
        <v>17</v>
      </c>
      <c r="WY49" s="3" t="s">
        <v>1162</v>
      </c>
      <c r="WZ49" s="2">
        <f t="shared" si="808"/>
        <v>42</v>
      </c>
      <c r="XA49" s="2">
        <f t="shared" si="341"/>
        <v>44</v>
      </c>
      <c r="XB49" s="2">
        <v>3</v>
      </c>
      <c r="XC49" s="255" t="str">
        <f t="shared" si="342"/>
        <v/>
      </c>
      <c r="XD49" s="255"/>
      <c r="XE49" s="231" t="str">
        <f t="shared" si="343"/>
        <v/>
      </c>
      <c r="XF49" s="344"/>
      <c r="XG49" s="353"/>
      <c r="XH49" s="2">
        <v>17</v>
      </c>
      <c r="XI49" s="3" t="s">
        <v>1162</v>
      </c>
      <c r="XJ49" s="2">
        <f t="shared" si="809"/>
        <v>42</v>
      </c>
      <c r="XK49" s="2">
        <f t="shared" si="345"/>
        <v>44</v>
      </c>
      <c r="XL49" s="2">
        <v>3</v>
      </c>
      <c r="XM49" s="255" t="str">
        <f t="shared" si="346"/>
        <v/>
      </c>
      <c r="XN49" s="255"/>
      <c r="XO49" s="231" t="str">
        <f t="shared" si="347"/>
        <v/>
      </c>
      <c r="XP49" s="344"/>
      <c r="XQ49" s="353"/>
      <c r="XR49" s="2">
        <v>17</v>
      </c>
      <c r="XS49" s="3" t="s">
        <v>1162</v>
      </c>
      <c r="XT49" s="2">
        <f t="shared" si="810"/>
        <v>42</v>
      </c>
      <c r="XU49" s="2">
        <f t="shared" si="349"/>
        <v>44</v>
      </c>
      <c r="XV49" s="2">
        <v>3</v>
      </c>
      <c r="XW49" s="255" t="str">
        <f t="shared" si="350"/>
        <v/>
      </c>
      <c r="XX49" s="255"/>
      <c r="XY49" s="231" t="str">
        <f t="shared" si="351"/>
        <v/>
      </c>
      <c r="XZ49" s="344"/>
      <c r="YA49" s="353"/>
      <c r="YB49" s="2">
        <v>17</v>
      </c>
      <c r="YC49" s="3" t="s">
        <v>1162</v>
      </c>
      <c r="YD49" s="2">
        <f t="shared" si="811"/>
        <v>42</v>
      </c>
      <c r="YE49" s="2">
        <f t="shared" si="353"/>
        <v>44</v>
      </c>
      <c r="YF49" s="2">
        <v>3</v>
      </c>
      <c r="YG49" s="255" t="str">
        <f t="shared" si="354"/>
        <v/>
      </c>
      <c r="YH49" s="255"/>
      <c r="YI49" s="231" t="str">
        <f t="shared" si="355"/>
        <v/>
      </c>
      <c r="YJ49" s="344"/>
      <c r="YK49" s="353"/>
      <c r="YL49" s="2">
        <v>17</v>
      </c>
      <c r="YM49" s="3" t="s">
        <v>1162</v>
      </c>
      <c r="YN49" s="2">
        <f t="shared" si="812"/>
        <v>42</v>
      </c>
      <c r="YO49" s="2">
        <f t="shared" si="357"/>
        <v>44</v>
      </c>
      <c r="YP49" s="2">
        <v>3</v>
      </c>
      <c r="YQ49" s="255" t="str">
        <f t="shared" si="358"/>
        <v/>
      </c>
      <c r="YR49" s="255"/>
      <c r="YS49" s="231" t="str">
        <f t="shared" si="359"/>
        <v/>
      </c>
      <c r="YT49" s="344"/>
      <c r="YU49" s="353"/>
      <c r="YV49" s="2">
        <v>17</v>
      </c>
      <c r="YW49" s="3" t="s">
        <v>1162</v>
      </c>
      <c r="YX49" s="2">
        <f t="shared" si="813"/>
        <v>42</v>
      </c>
      <c r="YY49" s="2">
        <f t="shared" si="361"/>
        <v>44</v>
      </c>
      <c r="YZ49" s="2">
        <v>3</v>
      </c>
      <c r="ZA49" s="255" t="str">
        <f t="shared" si="362"/>
        <v/>
      </c>
      <c r="ZB49" s="255"/>
      <c r="ZC49" s="231" t="str">
        <f t="shared" si="363"/>
        <v/>
      </c>
      <c r="ZD49" s="344"/>
      <c r="ZE49" s="353"/>
      <c r="ZF49" s="2">
        <v>17</v>
      </c>
      <c r="ZG49" s="3" t="s">
        <v>1162</v>
      </c>
      <c r="ZH49" s="2">
        <f t="shared" si="814"/>
        <v>42</v>
      </c>
      <c r="ZI49" s="2">
        <f t="shared" si="365"/>
        <v>44</v>
      </c>
      <c r="ZJ49" s="2">
        <v>3</v>
      </c>
      <c r="ZK49" s="255" t="str">
        <f t="shared" si="366"/>
        <v/>
      </c>
      <c r="ZL49" s="255"/>
      <c r="ZM49" s="231" t="str">
        <f t="shared" si="367"/>
        <v/>
      </c>
      <c r="ZN49" s="344"/>
      <c r="ZO49" s="353"/>
      <c r="ZP49" s="2">
        <v>17</v>
      </c>
      <c r="ZQ49" s="3" t="s">
        <v>1162</v>
      </c>
      <c r="ZR49" s="2">
        <f t="shared" si="815"/>
        <v>42</v>
      </c>
      <c r="ZS49" s="2">
        <f t="shared" si="369"/>
        <v>44</v>
      </c>
      <c r="ZT49" s="2">
        <v>3</v>
      </c>
      <c r="ZU49" s="255" t="str">
        <f t="shared" si="370"/>
        <v/>
      </c>
      <c r="ZV49" s="255"/>
      <c r="ZW49" s="231" t="str">
        <f t="shared" si="371"/>
        <v/>
      </c>
      <c r="ZX49" s="344"/>
      <c r="ZY49" s="353"/>
      <c r="ZZ49" s="2">
        <v>17</v>
      </c>
      <c r="AAA49" s="3" t="s">
        <v>1162</v>
      </c>
      <c r="AAB49" s="2">
        <f t="shared" si="816"/>
        <v>42</v>
      </c>
      <c r="AAC49" s="2">
        <f t="shared" si="373"/>
        <v>44</v>
      </c>
      <c r="AAD49" s="2">
        <v>3</v>
      </c>
      <c r="AAE49" s="255" t="str">
        <f t="shared" si="374"/>
        <v/>
      </c>
      <c r="AAF49" s="255"/>
      <c r="AAG49" s="231" t="str">
        <f t="shared" si="375"/>
        <v/>
      </c>
      <c r="AAH49" s="344"/>
      <c r="AAI49" s="353"/>
      <c r="AAJ49" s="2">
        <v>17</v>
      </c>
      <c r="AAK49" s="3" t="s">
        <v>1162</v>
      </c>
      <c r="AAL49" s="2">
        <f t="shared" si="817"/>
        <v>42</v>
      </c>
      <c r="AAM49" s="2">
        <f t="shared" si="377"/>
        <v>44</v>
      </c>
      <c r="AAN49" s="2">
        <v>3</v>
      </c>
      <c r="AAO49" s="255" t="str">
        <f t="shared" si="378"/>
        <v/>
      </c>
      <c r="AAP49" s="255"/>
      <c r="AAQ49" s="231" t="str">
        <f t="shared" si="379"/>
        <v/>
      </c>
      <c r="AAR49" s="344"/>
      <c r="AAS49" s="353"/>
      <c r="AAT49" s="2">
        <v>17</v>
      </c>
      <c r="AAU49" s="3" t="s">
        <v>1162</v>
      </c>
      <c r="AAV49" s="2">
        <f t="shared" si="818"/>
        <v>42</v>
      </c>
      <c r="AAW49" s="2">
        <f t="shared" si="381"/>
        <v>44</v>
      </c>
      <c r="AAX49" s="2">
        <v>3</v>
      </c>
      <c r="AAY49" s="255" t="str">
        <f t="shared" si="382"/>
        <v/>
      </c>
      <c r="AAZ49" s="255"/>
      <c r="ABA49" s="231" t="str">
        <f t="shared" si="383"/>
        <v/>
      </c>
      <c r="ABB49" s="344"/>
      <c r="ABC49" s="353"/>
      <c r="ABD49" s="2">
        <v>17</v>
      </c>
      <c r="ABE49" s="3" t="s">
        <v>1162</v>
      </c>
      <c r="ABF49" s="2">
        <f t="shared" si="819"/>
        <v>42</v>
      </c>
      <c r="ABG49" s="2">
        <f t="shared" si="385"/>
        <v>44</v>
      </c>
      <c r="ABH49" s="2">
        <v>3</v>
      </c>
      <c r="ABI49" s="255" t="str">
        <f t="shared" si="386"/>
        <v/>
      </c>
      <c r="ABJ49" s="255"/>
      <c r="ABK49" s="231" t="str">
        <f t="shared" si="387"/>
        <v/>
      </c>
      <c r="ABL49" s="344"/>
      <c r="ABM49" s="353"/>
      <c r="ABN49" s="2">
        <v>17</v>
      </c>
      <c r="ABO49" s="3" t="s">
        <v>1162</v>
      </c>
      <c r="ABP49" s="2">
        <f t="shared" si="820"/>
        <v>42</v>
      </c>
      <c r="ABQ49" s="2">
        <f t="shared" si="389"/>
        <v>44</v>
      </c>
      <c r="ABR49" s="2">
        <v>3</v>
      </c>
      <c r="ABS49" s="255" t="str">
        <f t="shared" si="390"/>
        <v/>
      </c>
      <c r="ABT49" s="255"/>
      <c r="ABU49" s="231" t="str">
        <f t="shared" si="391"/>
        <v/>
      </c>
      <c r="ABV49" s="344"/>
      <c r="ABW49" s="353"/>
      <c r="ABX49" s="2">
        <v>17</v>
      </c>
      <c r="ABY49" s="3" t="s">
        <v>1162</v>
      </c>
      <c r="ABZ49" s="2">
        <f t="shared" si="821"/>
        <v>42</v>
      </c>
      <c r="ACA49" s="2">
        <f t="shared" si="393"/>
        <v>44</v>
      </c>
      <c r="ACB49" s="2">
        <v>3</v>
      </c>
      <c r="ACC49" s="255" t="str">
        <f t="shared" si="394"/>
        <v/>
      </c>
      <c r="ACD49" s="255"/>
      <c r="ACE49" s="231" t="str">
        <f t="shared" si="395"/>
        <v/>
      </c>
      <c r="ACF49" s="344"/>
      <c r="ACG49" s="353"/>
      <c r="ACH49" s="2">
        <v>17</v>
      </c>
      <c r="ACI49" s="3" t="s">
        <v>1162</v>
      </c>
      <c r="ACJ49" s="2">
        <f t="shared" si="822"/>
        <v>42</v>
      </c>
      <c r="ACK49" s="2">
        <f t="shared" si="397"/>
        <v>44</v>
      </c>
      <c r="ACL49" s="2">
        <v>3</v>
      </c>
      <c r="ACM49" s="255" t="str">
        <f t="shared" si="398"/>
        <v/>
      </c>
      <c r="ACN49" s="255"/>
      <c r="ACO49" s="231" t="str">
        <f t="shared" si="399"/>
        <v/>
      </c>
      <c r="ACP49" s="344"/>
      <c r="ACQ49" s="353"/>
      <c r="ACR49" s="2">
        <v>17</v>
      </c>
      <c r="ACS49" s="3" t="s">
        <v>1162</v>
      </c>
      <c r="ACT49" s="2">
        <f t="shared" si="823"/>
        <v>42</v>
      </c>
      <c r="ACU49" s="2">
        <f t="shared" si="401"/>
        <v>44</v>
      </c>
      <c r="ACV49" s="2">
        <v>3</v>
      </c>
      <c r="ACW49" s="255" t="str">
        <f t="shared" si="402"/>
        <v/>
      </c>
      <c r="ACX49" s="255"/>
      <c r="ACY49" s="231" t="str">
        <f t="shared" si="403"/>
        <v/>
      </c>
      <c r="ACZ49" s="344"/>
      <c r="ADA49" s="353"/>
      <c r="ADB49" s="2">
        <v>17</v>
      </c>
      <c r="ADC49" s="3" t="s">
        <v>1162</v>
      </c>
      <c r="ADD49" s="2">
        <f t="shared" si="824"/>
        <v>42</v>
      </c>
      <c r="ADE49" s="2">
        <f t="shared" si="405"/>
        <v>44</v>
      </c>
      <c r="ADF49" s="2">
        <v>3</v>
      </c>
      <c r="ADG49" s="255" t="str">
        <f t="shared" si="406"/>
        <v/>
      </c>
      <c r="ADH49" s="255"/>
      <c r="ADI49" s="231" t="str">
        <f t="shared" si="407"/>
        <v/>
      </c>
      <c r="ADJ49" s="344"/>
      <c r="ADK49" s="353"/>
      <c r="ADL49" s="2">
        <v>17</v>
      </c>
      <c r="ADM49" s="3" t="s">
        <v>1162</v>
      </c>
      <c r="ADN49" s="2">
        <f t="shared" si="825"/>
        <v>42</v>
      </c>
      <c r="ADO49" s="2">
        <f t="shared" si="409"/>
        <v>44</v>
      </c>
      <c r="ADP49" s="2">
        <v>3</v>
      </c>
      <c r="ADQ49" s="255" t="str">
        <f t="shared" si="410"/>
        <v/>
      </c>
      <c r="ADR49" s="255"/>
      <c r="ADS49" s="231" t="str">
        <f t="shared" si="411"/>
        <v/>
      </c>
      <c r="ADT49" s="344"/>
      <c r="ADU49" s="353"/>
      <c r="ADV49" s="2">
        <v>17</v>
      </c>
      <c r="ADW49" s="3" t="s">
        <v>1162</v>
      </c>
      <c r="ADX49" s="2">
        <f t="shared" si="826"/>
        <v>42</v>
      </c>
      <c r="ADY49" s="2">
        <f t="shared" si="413"/>
        <v>44</v>
      </c>
      <c r="ADZ49" s="2">
        <v>3</v>
      </c>
      <c r="AEA49" s="255" t="str">
        <f t="shared" si="414"/>
        <v/>
      </c>
      <c r="AEB49" s="255"/>
      <c r="AEC49" s="231" t="str">
        <f t="shared" si="415"/>
        <v/>
      </c>
      <c r="AED49" s="344"/>
      <c r="AEE49" s="353"/>
      <c r="AEF49" s="2">
        <v>17</v>
      </c>
      <c r="AEG49" s="3" t="s">
        <v>1162</v>
      </c>
      <c r="AEH49" s="2">
        <f t="shared" si="827"/>
        <v>42</v>
      </c>
      <c r="AEI49" s="2">
        <f t="shared" si="417"/>
        <v>44</v>
      </c>
      <c r="AEJ49" s="2">
        <v>3</v>
      </c>
      <c r="AEK49" s="255" t="str">
        <f t="shared" si="418"/>
        <v/>
      </c>
      <c r="AEL49" s="255"/>
      <c r="AEM49" s="231" t="str">
        <f t="shared" si="419"/>
        <v/>
      </c>
      <c r="AEN49" s="344"/>
      <c r="AEO49" s="353"/>
      <c r="AEP49" s="2">
        <v>17</v>
      </c>
      <c r="AEQ49" s="3" t="s">
        <v>1162</v>
      </c>
      <c r="AER49" s="2">
        <f t="shared" si="828"/>
        <v>42</v>
      </c>
      <c r="AES49" s="2">
        <f t="shared" si="421"/>
        <v>44</v>
      </c>
      <c r="AET49" s="2">
        <v>3</v>
      </c>
      <c r="AEU49" s="255" t="str">
        <f t="shared" si="422"/>
        <v/>
      </c>
      <c r="AEV49" s="255"/>
      <c r="AEW49" s="231" t="str">
        <f t="shared" si="423"/>
        <v/>
      </c>
      <c r="AEX49" s="344"/>
      <c r="AEY49" s="353"/>
      <c r="AEZ49" s="2">
        <v>17</v>
      </c>
      <c r="AFA49" s="3" t="s">
        <v>1162</v>
      </c>
      <c r="AFB49" s="2">
        <f t="shared" si="829"/>
        <v>42</v>
      </c>
      <c r="AFC49" s="2">
        <f t="shared" si="425"/>
        <v>44</v>
      </c>
      <c r="AFD49" s="2">
        <v>3</v>
      </c>
      <c r="AFE49" s="255" t="str">
        <f t="shared" si="426"/>
        <v/>
      </c>
      <c r="AFF49" s="255"/>
      <c r="AFG49" s="231" t="str">
        <f t="shared" si="427"/>
        <v/>
      </c>
      <c r="AFH49" s="344"/>
      <c r="AFI49" s="353"/>
      <c r="AFJ49" s="2">
        <v>17</v>
      </c>
      <c r="AFK49" s="3" t="s">
        <v>1162</v>
      </c>
      <c r="AFL49" s="2">
        <f t="shared" si="830"/>
        <v>42</v>
      </c>
      <c r="AFM49" s="2">
        <f t="shared" si="429"/>
        <v>44</v>
      </c>
      <c r="AFN49" s="2">
        <v>3</v>
      </c>
      <c r="AFO49" s="255" t="str">
        <f t="shared" si="430"/>
        <v/>
      </c>
      <c r="AFP49" s="255"/>
      <c r="AFQ49" s="231" t="str">
        <f t="shared" si="431"/>
        <v/>
      </c>
      <c r="AFR49" s="344"/>
      <c r="AFS49" s="353"/>
      <c r="AFT49" s="2">
        <v>17</v>
      </c>
      <c r="AFU49" s="3" t="s">
        <v>1162</v>
      </c>
      <c r="AFV49" s="2">
        <f t="shared" si="831"/>
        <v>42</v>
      </c>
      <c r="AFW49" s="2">
        <f t="shared" si="433"/>
        <v>44</v>
      </c>
      <c r="AFX49" s="2">
        <v>3</v>
      </c>
      <c r="AFY49" s="255" t="str">
        <f t="shared" si="434"/>
        <v/>
      </c>
      <c r="AFZ49" s="255"/>
      <c r="AGA49" s="231" t="str">
        <f t="shared" si="435"/>
        <v/>
      </c>
      <c r="AGB49" s="344"/>
      <c r="AGC49" s="353"/>
      <c r="AGD49" s="2">
        <v>17</v>
      </c>
      <c r="AGE49" s="3" t="s">
        <v>1162</v>
      </c>
      <c r="AGF49" s="2">
        <f t="shared" si="832"/>
        <v>42</v>
      </c>
      <c r="AGG49" s="2">
        <f t="shared" si="437"/>
        <v>44</v>
      </c>
      <c r="AGH49" s="2">
        <v>3</v>
      </c>
      <c r="AGI49" s="255" t="str">
        <f t="shared" si="438"/>
        <v/>
      </c>
      <c r="AGJ49" s="255"/>
      <c r="AGK49" s="231" t="str">
        <f t="shared" si="439"/>
        <v/>
      </c>
      <c r="AGL49" s="344"/>
      <c r="AGM49" s="353"/>
      <c r="AGN49" s="2">
        <v>17</v>
      </c>
      <c r="AGO49" s="3" t="s">
        <v>1162</v>
      </c>
      <c r="AGP49" s="2">
        <f t="shared" si="833"/>
        <v>42</v>
      </c>
      <c r="AGQ49" s="2">
        <f t="shared" si="441"/>
        <v>44</v>
      </c>
      <c r="AGR49" s="2">
        <v>3</v>
      </c>
      <c r="AGS49" s="255" t="str">
        <f t="shared" si="442"/>
        <v/>
      </c>
      <c r="AGT49" s="255"/>
      <c r="AGU49" s="231" t="str">
        <f t="shared" si="443"/>
        <v/>
      </c>
      <c r="AGV49" s="344"/>
      <c r="AGW49" s="353"/>
      <c r="AGX49" s="2">
        <v>17</v>
      </c>
      <c r="AGY49" s="3" t="s">
        <v>1162</v>
      </c>
      <c r="AGZ49" s="2">
        <f t="shared" si="834"/>
        <v>42</v>
      </c>
      <c r="AHA49" s="2">
        <f t="shared" si="445"/>
        <v>44</v>
      </c>
      <c r="AHB49" s="2">
        <v>3</v>
      </c>
      <c r="AHC49" s="255" t="str">
        <f t="shared" si="446"/>
        <v/>
      </c>
      <c r="AHD49" s="255"/>
      <c r="AHE49" s="231" t="str">
        <f t="shared" si="447"/>
        <v/>
      </c>
      <c r="AHF49" s="344"/>
      <c r="AHG49" s="353"/>
      <c r="AHH49" s="2">
        <v>17</v>
      </c>
      <c r="AHI49" s="3" t="s">
        <v>1162</v>
      </c>
      <c r="AHJ49" s="2">
        <f t="shared" si="835"/>
        <v>42</v>
      </c>
      <c r="AHK49" s="2">
        <f t="shared" si="449"/>
        <v>44</v>
      </c>
      <c r="AHL49" s="2">
        <v>3</v>
      </c>
      <c r="AHM49" s="255" t="str">
        <f t="shared" si="450"/>
        <v/>
      </c>
      <c r="AHN49" s="255"/>
      <c r="AHO49" s="231" t="str">
        <f t="shared" si="451"/>
        <v/>
      </c>
      <c r="AHP49" s="344"/>
      <c r="AHQ49" s="353"/>
      <c r="AHR49" s="2">
        <v>17</v>
      </c>
      <c r="AHS49" s="3" t="s">
        <v>1162</v>
      </c>
      <c r="AHT49" s="2">
        <f t="shared" si="836"/>
        <v>42</v>
      </c>
      <c r="AHU49" s="2">
        <f t="shared" si="453"/>
        <v>44</v>
      </c>
      <c r="AHV49" s="2">
        <v>3</v>
      </c>
      <c r="AHW49" s="255" t="str">
        <f t="shared" si="454"/>
        <v/>
      </c>
      <c r="AHX49" s="255"/>
      <c r="AHY49" s="231" t="str">
        <f t="shared" si="455"/>
        <v/>
      </c>
      <c r="AHZ49" s="344"/>
      <c r="AIA49" s="353"/>
      <c r="AIB49" s="2">
        <v>17</v>
      </c>
      <c r="AIC49" s="3" t="s">
        <v>1162</v>
      </c>
      <c r="AID49" s="2">
        <f t="shared" si="837"/>
        <v>42</v>
      </c>
      <c r="AIE49" s="2">
        <f t="shared" si="457"/>
        <v>44</v>
      </c>
      <c r="AIF49" s="2">
        <v>3</v>
      </c>
      <c r="AIG49" s="255" t="str">
        <f t="shared" si="458"/>
        <v/>
      </c>
      <c r="AIH49" s="255"/>
      <c r="AII49" s="231" t="str">
        <f t="shared" si="459"/>
        <v/>
      </c>
      <c r="AIJ49" s="344"/>
      <c r="AIK49" s="353"/>
      <c r="AIL49" s="2">
        <v>17</v>
      </c>
      <c r="AIM49" s="3" t="s">
        <v>1162</v>
      </c>
      <c r="AIN49" s="2">
        <f t="shared" si="838"/>
        <v>42</v>
      </c>
      <c r="AIO49" s="2">
        <f t="shared" si="461"/>
        <v>44</v>
      </c>
      <c r="AIP49" s="2">
        <v>3</v>
      </c>
      <c r="AIQ49" s="255" t="str">
        <f t="shared" si="462"/>
        <v/>
      </c>
      <c r="AIR49" s="255"/>
      <c r="AIS49" s="231" t="str">
        <f t="shared" si="463"/>
        <v/>
      </c>
      <c r="AIT49" s="344"/>
      <c r="AIU49" s="353"/>
      <c r="AIV49" s="2">
        <v>17</v>
      </c>
      <c r="AIW49" s="3" t="s">
        <v>1162</v>
      </c>
      <c r="AIX49" s="2">
        <f t="shared" si="839"/>
        <v>42</v>
      </c>
      <c r="AIY49" s="2">
        <f t="shared" si="465"/>
        <v>44</v>
      </c>
      <c r="AIZ49" s="2">
        <v>3</v>
      </c>
      <c r="AJA49" s="255" t="str">
        <f t="shared" si="466"/>
        <v/>
      </c>
      <c r="AJB49" s="255"/>
      <c r="AJC49" s="231" t="str">
        <f t="shared" si="467"/>
        <v/>
      </c>
      <c r="AJD49" s="344"/>
    </row>
    <row r="50" spans="1:940">
      <c r="A50" s="366"/>
      <c r="B50" s="2">
        <v>19</v>
      </c>
      <c r="C50" s="3" t="s">
        <v>1251</v>
      </c>
      <c r="D50" s="2">
        <f t="shared" si="561"/>
        <v>45</v>
      </c>
      <c r="E50" s="2">
        <f t="shared" si="563"/>
        <v>48</v>
      </c>
      <c r="F50" s="2">
        <v>4</v>
      </c>
      <c r="G50" s="255" t="str">
        <f t="shared" si="468"/>
        <v/>
      </c>
      <c r="H50" s="255"/>
      <c r="I50" s="324" t="str">
        <f>CONCATENATE(TEXT(HEX2DEC(SUBSTITUTE(MID(G50,1,6)," ","")),"0000"),"/",TEXT(HEX2DEC(SUBSTITUTE(MID(G50,7,3)," ","")),"00"),"/",TEXT(HEX2DEC(SUBSTITUTE(MID(G50,10,3)," ","")),"00"))</f>
        <v>0000/00/00</v>
      </c>
      <c r="J50" s="362"/>
      <c r="K50" s="353"/>
      <c r="L50" s="2">
        <v>18</v>
      </c>
      <c r="M50" s="3" t="s">
        <v>1251</v>
      </c>
      <c r="N50" s="2">
        <f t="shared" si="562"/>
        <v>45</v>
      </c>
      <c r="O50" s="2">
        <f t="shared" si="97"/>
        <v>48</v>
      </c>
      <c r="P50" s="2">
        <v>4</v>
      </c>
      <c r="Q50" s="255" t="str">
        <f t="shared" si="98"/>
        <v/>
      </c>
      <c r="R50" s="255"/>
      <c r="S50" s="324" t="str">
        <f>CONCATENATE(TEXT(HEX2DEC(SUBSTITUTE(MID(Q50,1,6)," ","")),"0000"),"/",TEXT(HEX2DEC(SUBSTITUTE(MID(Q50,7,3)," ","")),"00"),"/",TEXT(HEX2DEC(SUBSTITUTE(MID(Q50,10,3)," ","")),"00"))</f>
        <v>0000/00/00</v>
      </c>
      <c r="T50" s="352"/>
      <c r="U50" s="353"/>
      <c r="V50" s="2">
        <v>18</v>
      </c>
      <c r="W50" s="3" t="s">
        <v>1251</v>
      </c>
      <c r="X50" s="2">
        <f t="shared" si="748"/>
        <v>45</v>
      </c>
      <c r="Y50" s="2">
        <f t="shared" si="101"/>
        <v>48</v>
      </c>
      <c r="Z50" s="2">
        <v>4</v>
      </c>
      <c r="AA50" s="255" t="str">
        <f t="shared" si="102"/>
        <v/>
      </c>
      <c r="AB50" s="255"/>
      <c r="AC50" s="324" t="str">
        <f t="shared" ref="AC50" si="840">CONCATENATE(TEXT(HEX2DEC(SUBSTITUTE(MID(AA50,1,6)," ","")),"0000"),"/",TEXT(HEX2DEC(SUBSTITUTE(MID(AA50,7,3)," ","")),"00"),"/",TEXT(HEX2DEC(SUBSTITUTE(MID(AA50,10,3)," ","")),"00"))</f>
        <v>0000/00/00</v>
      </c>
      <c r="AD50" s="352"/>
      <c r="AE50" s="353"/>
      <c r="AF50" s="2">
        <v>18</v>
      </c>
      <c r="AG50" s="3" t="s">
        <v>1251</v>
      </c>
      <c r="AH50" s="2">
        <f t="shared" si="749"/>
        <v>45</v>
      </c>
      <c r="AI50" s="2">
        <f t="shared" si="105"/>
        <v>48</v>
      </c>
      <c r="AJ50" s="2">
        <v>4</v>
      </c>
      <c r="AK50" s="255" t="str">
        <f t="shared" si="106"/>
        <v/>
      </c>
      <c r="AL50" s="255"/>
      <c r="AM50" s="324" t="str">
        <f t="shared" ref="AM50" si="841">CONCATENATE(TEXT(HEX2DEC(SUBSTITUTE(MID(AK50,1,6)," ","")),"0000"),"/",TEXT(HEX2DEC(SUBSTITUTE(MID(AK50,7,3)," ","")),"00"),"/",TEXT(HEX2DEC(SUBSTITUTE(MID(AK50,10,3)," ","")),"00"))</f>
        <v>0000/00/00</v>
      </c>
      <c r="AN50" s="352"/>
      <c r="AO50" s="353"/>
      <c r="AP50" s="2">
        <v>18</v>
      </c>
      <c r="AQ50" s="3" t="s">
        <v>1251</v>
      </c>
      <c r="AR50" s="2">
        <f t="shared" si="750"/>
        <v>45</v>
      </c>
      <c r="AS50" s="2">
        <f t="shared" si="109"/>
        <v>48</v>
      </c>
      <c r="AT50" s="2">
        <v>4</v>
      </c>
      <c r="AU50" s="255" t="str">
        <f t="shared" si="110"/>
        <v/>
      </c>
      <c r="AV50" s="255"/>
      <c r="AW50" s="324" t="str">
        <f t="shared" ref="AW50" si="842">CONCATENATE(TEXT(HEX2DEC(SUBSTITUTE(MID(AU50,1,6)," ","")),"0000"),"/",TEXT(HEX2DEC(SUBSTITUTE(MID(AU50,7,3)," ","")),"00"),"/",TEXT(HEX2DEC(SUBSTITUTE(MID(AU50,10,3)," ","")),"00"))</f>
        <v>0000/00/00</v>
      </c>
      <c r="AX50" s="352"/>
      <c r="AY50" s="353"/>
      <c r="AZ50" s="2">
        <v>18</v>
      </c>
      <c r="BA50" s="3" t="s">
        <v>1251</v>
      </c>
      <c r="BB50" s="2">
        <f t="shared" si="751"/>
        <v>45</v>
      </c>
      <c r="BC50" s="2">
        <f t="shared" si="113"/>
        <v>48</v>
      </c>
      <c r="BD50" s="2">
        <v>4</v>
      </c>
      <c r="BE50" s="255" t="str">
        <f t="shared" si="114"/>
        <v/>
      </c>
      <c r="BF50" s="255"/>
      <c r="BG50" s="324" t="str">
        <f t="shared" ref="BG50" si="843">CONCATENATE(TEXT(HEX2DEC(SUBSTITUTE(MID(BE50,1,6)," ","")),"0000"),"/",TEXT(HEX2DEC(SUBSTITUTE(MID(BE50,7,3)," ","")),"00"),"/",TEXT(HEX2DEC(SUBSTITUTE(MID(BE50,10,3)," ","")),"00"))</f>
        <v>0000/00/00</v>
      </c>
      <c r="BH50" s="352"/>
      <c r="BI50" s="353"/>
      <c r="BJ50" s="2">
        <v>18</v>
      </c>
      <c r="BK50" s="3" t="s">
        <v>1251</v>
      </c>
      <c r="BL50" s="2">
        <f t="shared" si="752"/>
        <v>45</v>
      </c>
      <c r="BM50" s="2">
        <f t="shared" si="117"/>
        <v>48</v>
      </c>
      <c r="BN50" s="2">
        <v>4</v>
      </c>
      <c r="BO50" s="255" t="str">
        <f t="shared" si="118"/>
        <v/>
      </c>
      <c r="BP50" s="255"/>
      <c r="BQ50" s="324" t="str">
        <f t="shared" ref="BQ50" si="844">CONCATENATE(TEXT(HEX2DEC(SUBSTITUTE(MID(BO50,1,6)," ","")),"0000"),"/",TEXT(HEX2DEC(SUBSTITUTE(MID(BO50,7,3)," ","")),"00"),"/",TEXT(HEX2DEC(SUBSTITUTE(MID(BO50,10,3)," ","")),"00"))</f>
        <v>0000/00/00</v>
      </c>
      <c r="BR50" s="352"/>
      <c r="BS50" s="353"/>
      <c r="BT50" s="2">
        <v>18</v>
      </c>
      <c r="BU50" s="3" t="s">
        <v>1251</v>
      </c>
      <c r="BV50" s="2">
        <f t="shared" si="753"/>
        <v>45</v>
      </c>
      <c r="BW50" s="2">
        <f t="shared" si="121"/>
        <v>48</v>
      </c>
      <c r="BX50" s="2">
        <v>4</v>
      </c>
      <c r="BY50" s="255" t="str">
        <f t="shared" si="122"/>
        <v/>
      </c>
      <c r="BZ50" s="255"/>
      <c r="CA50" s="324" t="str">
        <f t="shared" ref="CA50" si="845">CONCATENATE(TEXT(HEX2DEC(SUBSTITUTE(MID(BY50,1,6)," ","")),"0000"),"/",TEXT(HEX2DEC(SUBSTITUTE(MID(BY50,7,3)," ","")),"00"),"/",TEXT(HEX2DEC(SUBSTITUTE(MID(BY50,10,3)," ","")),"00"))</f>
        <v>0000/00/00</v>
      </c>
      <c r="CB50" s="352"/>
      <c r="CC50" s="353"/>
      <c r="CD50" s="2">
        <v>18</v>
      </c>
      <c r="CE50" s="3" t="s">
        <v>1251</v>
      </c>
      <c r="CF50" s="2">
        <f t="shared" si="754"/>
        <v>45</v>
      </c>
      <c r="CG50" s="2">
        <f t="shared" si="125"/>
        <v>48</v>
      </c>
      <c r="CH50" s="2">
        <v>4</v>
      </c>
      <c r="CI50" s="255" t="str">
        <f t="shared" si="126"/>
        <v/>
      </c>
      <c r="CJ50" s="255"/>
      <c r="CK50" s="324" t="str">
        <f t="shared" ref="CK50" si="846">CONCATENATE(TEXT(HEX2DEC(SUBSTITUTE(MID(CI50,1,6)," ","")),"0000"),"/",TEXT(HEX2DEC(SUBSTITUTE(MID(CI50,7,3)," ","")),"00"),"/",TEXT(HEX2DEC(SUBSTITUTE(MID(CI50,10,3)," ","")),"00"))</f>
        <v>0000/00/00</v>
      </c>
      <c r="CL50" s="352"/>
      <c r="CM50" s="353"/>
      <c r="CN50" s="2">
        <v>18</v>
      </c>
      <c r="CO50" s="3" t="s">
        <v>1251</v>
      </c>
      <c r="CP50" s="2">
        <f t="shared" si="755"/>
        <v>45</v>
      </c>
      <c r="CQ50" s="2">
        <f t="shared" si="129"/>
        <v>48</v>
      </c>
      <c r="CR50" s="2">
        <v>4</v>
      </c>
      <c r="CS50" s="255" t="str">
        <f t="shared" si="130"/>
        <v/>
      </c>
      <c r="CT50" s="255"/>
      <c r="CU50" s="324" t="str">
        <f t="shared" ref="CU50" si="847">CONCATENATE(TEXT(HEX2DEC(SUBSTITUTE(MID(CS50,1,6)," ","")),"0000"),"/",TEXT(HEX2DEC(SUBSTITUTE(MID(CS50,7,3)," ","")),"00"),"/",TEXT(HEX2DEC(SUBSTITUTE(MID(CS50,10,3)," ","")),"00"))</f>
        <v>0000/00/00</v>
      </c>
      <c r="CV50" s="352"/>
      <c r="CW50" s="353"/>
      <c r="CX50" s="2">
        <v>18</v>
      </c>
      <c r="CY50" s="3" t="s">
        <v>1251</v>
      </c>
      <c r="CZ50" s="2">
        <f t="shared" si="756"/>
        <v>45</v>
      </c>
      <c r="DA50" s="2">
        <f t="shared" si="133"/>
        <v>48</v>
      </c>
      <c r="DB50" s="2">
        <v>4</v>
      </c>
      <c r="DC50" s="255" t="str">
        <f t="shared" si="134"/>
        <v/>
      </c>
      <c r="DD50" s="255"/>
      <c r="DE50" s="324" t="str">
        <f t="shared" ref="DE50" si="848">CONCATENATE(TEXT(HEX2DEC(SUBSTITUTE(MID(DC50,1,6)," ","")),"0000"),"/",TEXT(HEX2DEC(SUBSTITUTE(MID(DC50,7,3)," ","")),"00"),"/",TEXT(HEX2DEC(SUBSTITUTE(MID(DC50,10,3)," ","")),"00"))</f>
        <v>0000/00/00</v>
      </c>
      <c r="DF50" s="352"/>
      <c r="DG50" s="353"/>
      <c r="DH50" s="2">
        <v>18</v>
      </c>
      <c r="DI50" s="3" t="s">
        <v>1251</v>
      </c>
      <c r="DJ50" s="2">
        <f t="shared" si="757"/>
        <v>45</v>
      </c>
      <c r="DK50" s="2">
        <f t="shared" si="137"/>
        <v>48</v>
      </c>
      <c r="DL50" s="2">
        <v>4</v>
      </c>
      <c r="DM50" s="255" t="str">
        <f t="shared" si="138"/>
        <v/>
      </c>
      <c r="DN50" s="255"/>
      <c r="DO50" s="324" t="str">
        <f t="shared" ref="DO50" si="849">CONCATENATE(TEXT(HEX2DEC(SUBSTITUTE(MID(DM50,1,6)," ","")),"0000"),"/",TEXT(HEX2DEC(SUBSTITUTE(MID(DM50,7,3)," ","")),"00"),"/",TEXT(HEX2DEC(SUBSTITUTE(MID(DM50,10,3)," ","")),"00"))</f>
        <v>0000/00/00</v>
      </c>
      <c r="DP50" s="352"/>
      <c r="DQ50" s="353"/>
      <c r="DR50" s="2">
        <v>18</v>
      </c>
      <c r="DS50" s="3" t="s">
        <v>1251</v>
      </c>
      <c r="DT50" s="2">
        <f t="shared" si="758"/>
        <v>45</v>
      </c>
      <c r="DU50" s="2">
        <f t="shared" si="141"/>
        <v>48</v>
      </c>
      <c r="DV50" s="2">
        <v>4</v>
      </c>
      <c r="DW50" s="255" t="str">
        <f t="shared" si="142"/>
        <v/>
      </c>
      <c r="DX50" s="255"/>
      <c r="DY50" s="324" t="str">
        <f t="shared" ref="DY50" si="850">CONCATENATE(TEXT(HEX2DEC(SUBSTITUTE(MID(DW50,1,6)," ","")),"0000"),"/",TEXT(HEX2DEC(SUBSTITUTE(MID(DW50,7,3)," ","")),"00"),"/",TEXT(HEX2DEC(SUBSTITUTE(MID(DW50,10,3)," ","")),"00"))</f>
        <v>0000/00/00</v>
      </c>
      <c r="DZ50" s="352"/>
      <c r="EA50" s="353"/>
      <c r="EB50" s="2">
        <v>18</v>
      </c>
      <c r="EC50" s="3" t="s">
        <v>1251</v>
      </c>
      <c r="ED50" s="2">
        <f t="shared" si="759"/>
        <v>45</v>
      </c>
      <c r="EE50" s="2">
        <f t="shared" si="145"/>
        <v>48</v>
      </c>
      <c r="EF50" s="2">
        <v>4</v>
      </c>
      <c r="EG50" s="255" t="str">
        <f t="shared" si="146"/>
        <v/>
      </c>
      <c r="EH50" s="255"/>
      <c r="EI50" s="324" t="str">
        <f t="shared" ref="EI50" si="851">CONCATENATE(TEXT(HEX2DEC(SUBSTITUTE(MID(EG50,1,6)," ","")),"0000"),"/",TEXT(HEX2DEC(SUBSTITUTE(MID(EG50,7,3)," ","")),"00"),"/",TEXT(HEX2DEC(SUBSTITUTE(MID(EG50,10,3)," ","")),"00"))</f>
        <v>0000/00/00</v>
      </c>
      <c r="EJ50" s="352"/>
      <c r="EK50" s="353"/>
      <c r="EL50" s="2">
        <v>18</v>
      </c>
      <c r="EM50" s="3" t="s">
        <v>1251</v>
      </c>
      <c r="EN50" s="2">
        <f t="shared" si="760"/>
        <v>45</v>
      </c>
      <c r="EO50" s="2">
        <f t="shared" si="149"/>
        <v>48</v>
      </c>
      <c r="EP50" s="2">
        <v>4</v>
      </c>
      <c r="EQ50" s="255" t="str">
        <f t="shared" si="150"/>
        <v/>
      </c>
      <c r="ER50" s="255"/>
      <c r="ES50" s="324" t="str">
        <f t="shared" ref="ES50" si="852">CONCATENATE(TEXT(HEX2DEC(SUBSTITUTE(MID(EQ50,1,6)," ","")),"0000"),"/",TEXT(HEX2DEC(SUBSTITUTE(MID(EQ50,7,3)," ","")),"00"),"/",TEXT(HEX2DEC(SUBSTITUTE(MID(EQ50,10,3)," ","")),"00"))</f>
        <v>0000/00/00</v>
      </c>
      <c r="ET50" s="352"/>
      <c r="EU50" s="353"/>
      <c r="EV50" s="2">
        <v>18</v>
      </c>
      <c r="EW50" s="3" t="s">
        <v>1251</v>
      </c>
      <c r="EX50" s="2">
        <f t="shared" si="761"/>
        <v>45</v>
      </c>
      <c r="EY50" s="2">
        <f t="shared" si="153"/>
        <v>48</v>
      </c>
      <c r="EZ50" s="2">
        <v>4</v>
      </c>
      <c r="FA50" s="255" t="str">
        <f t="shared" si="154"/>
        <v/>
      </c>
      <c r="FB50" s="255"/>
      <c r="FC50" s="324" t="str">
        <f t="shared" ref="FC50" si="853">CONCATENATE(TEXT(HEX2DEC(SUBSTITUTE(MID(FA50,1,6)," ","")),"0000"),"/",TEXT(HEX2DEC(SUBSTITUTE(MID(FA50,7,3)," ","")),"00"),"/",TEXT(HEX2DEC(SUBSTITUTE(MID(FA50,10,3)," ","")),"00"))</f>
        <v>0000/00/00</v>
      </c>
      <c r="FD50" s="352"/>
      <c r="FE50" s="353"/>
      <c r="FF50" s="2">
        <v>18</v>
      </c>
      <c r="FG50" s="3" t="s">
        <v>1251</v>
      </c>
      <c r="FH50" s="2">
        <f t="shared" si="762"/>
        <v>45</v>
      </c>
      <c r="FI50" s="2">
        <f t="shared" si="157"/>
        <v>48</v>
      </c>
      <c r="FJ50" s="2">
        <v>4</v>
      </c>
      <c r="FK50" s="255" t="str">
        <f t="shared" si="158"/>
        <v/>
      </c>
      <c r="FL50" s="255"/>
      <c r="FM50" s="324" t="str">
        <f t="shared" ref="FM50" si="854">CONCATENATE(TEXT(HEX2DEC(SUBSTITUTE(MID(FK50,1,6)," ","")),"0000"),"/",TEXT(HEX2DEC(SUBSTITUTE(MID(FK50,7,3)," ","")),"00"),"/",TEXT(HEX2DEC(SUBSTITUTE(MID(FK50,10,3)," ","")),"00"))</f>
        <v>0000/00/00</v>
      </c>
      <c r="FN50" s="352"/>
      <c r="FO50" s="353"/>
      <c r="FP50" s="2">
        <v>18</v>
      </c>
      <c r="FQ50" s="3" t="s">
        <v>1251</v>
      </c>
      <c r="FR50" s="2">
        <f t="shared" si="763"/>
        <v>45</v>
      </c>
      <c r="FS50" s="2">
        <f t="shared" si="161"/>
        <v>48</v>
      </c>
      <c r="FT50" s="2">
        <v>4</v>
      </c>
      <c r="FU50" s="255" t="str">
        <f t="shared" si="162"/>
        <v/>
      </c>
      <c r="FV50" s="255"/>
      <c r="FW50" s="324" t="str">
        <f t="shared" ref="FW50" si="855">CONCATENATE(TEXT(HEX2DEC(SUBSTITUTE(MID(FU50,1,6)," ","")),"0000"),"/",TEXT(HEX2DEC(SUBSTITUTE(MID(FU50,7,3)," ","")),"00"),"/",TEXT(HEX2DEC(SUBSTITUTE(MID(FU50,10,3)," ","")),"00"))</f>
        <v>0000/00/00</v>
      </c>
      <c r="FX50" s="352"/>
      <c r="FY50" s="353"/>
      <c r="FZ50" s="2">
        <v>18</v>
      </c>
      <c r="GA50" s="3" t="s">
        <v>1251</v>
      </c>
      <c r="GB50" s="2">
        <f t="shared" si="764"/>
        <v>45</v>
      </c>
      <c r="GC50" s="2">
        <f t="shared" si="165"/>
        <v>48</v>
      </c>
      <c r="GD50" s="2">
        <v>4</v>
      </c>
      <c r="GE50" s="255" t="str">
        <f t="shared" si="166"/>
        <v/>
      </c>
      <c r="GF50" s="255"/>
      <c r="GG50" s="324" t="str">
        <f t="shared" ref="GG50" si="856">CONCATENATE(TEXT(HEX2DEC(SUBSTITUTE(MID(GE50,1,6)," ","")),"0000"),"/",TEXT(HEX2DEC(SUBSTITUTE(MID(GE50,7,3)," ","")),"00"),"/",TEXT(HEX2DEC(SUBSTITUTE(MID(GE50,10,3)," ","")),"00"))</f>
        <v>0000/00/00</v>
      </c>
      <c r="GH50" s="352"/>
      <c r="GI50" s="353"/>
      <c r="GJ50" s="2">
        <v>18</v>
      </c>
      <c r="GK50" s="3" t="s">
        <v>1251</v>
      </c>
      <c r="GL50" s="2">
        <f t="shared" si="765"/>
        <v>45</v>
      </c>
      <c r="GM50" s="2">
        <f t="shared" si="169"/>
        <v>48</v>
      </c>
      <c r="GN50" s="2">
        <v>4</v>
      </c>
      <c r="GO50" s="255" t="str">
        <f t="shared" si="170"/>
        <v/>
      </c>
      <c r="GP50" s="255"/>
      <c r="GQ50" s="324" t="str">
        <f t="shared" ref="GQ50" si="857">CONCATENATE(TEXT(HEX2DEC(SUBSTITUTE(MID(GO50,1,6)," ","")),"0000"),"/",TEXT(HEX2DEC(SUBSTITUTE(MID(GO50,7,3)," ","")),"00"),"/",TEXT(HEX2DEC(SUBSTITUTE(MID(GO50,10,3)," ","")),"00"))</f>
        <v>0000/00/00</v>
      </c>
      <c r="GR50" s="352"/>
      <c r="GS50" s="353"/>
      <c r="GT50" s="2">
        <v>18</v>
      </c>
      <c r="GU50" s="3" t="s">
        <v>1251</v>
      </c>
      <c r="GV50" s="2">
        <f t="shared" si="766"/>
        <v>45</v>
      </c>
      <c r="GW50" s="2">
        <f t="shared" si="173"/>
        <v>48</v>
      </c>
      <c r="GX50" s="2">
        <v>4</v>
      </c>
      <c r="GY50" s="255" t="str">
        <f t="shared" si="174"/>
        <v/>
      </c>
      <c r="GZ50" s="255"/>
      <c r="HA50" s="324" t="str">
        <f t="shared" ref="HA50" si="858">CONCATENATE(TEXT(HEX2DEC(SUBSTITUTE(MID(GY50,1,6)," ","")),"0000"),"/",TEXT(HEX2DEC(SUBSTITUTE(MID(GY50,7,3)," ","")),"00"),"/",TEXT(HEX2DEC(SUBSTITUTE(MID(GY50,10,3)," ","")),"00"))</f>
        <v>0000/00/00</v>
      </c>
      <c r="HB50" s="352"/>
      <c r="HC50" s="353"/>
      <c r="HD50" s="2">
        <v>18</v>
      </c>
      <c r="HE50" s="3" t="s">
        <v>1251</v>
      </c>
      <c r="HF50" s="2">
        <f t="shared" si="767"/>
        <v>45</v>
      </c>
      <c r="HG50" s="2">
        <f t="shared" si="177"/>
        <v>48</v>
      </c>
      <c r="HH50" s="2">
        <v>4</v>
      </c>
      <c r="HI50" s="255" t="str">
        <f t="shared" si="178"/>
        <v/>
      </c>
      <c r="HJ50" s="255"/>
      <c r="HK50" s="324" t="str">
        <f t="shared" ref="HK50" si="859">CONCATENATE(TEXT(HEX2DEC(SUBSTITUTE(MID(HI50,1,6)," ","")),"0000"),"/",TEXT(HEX2DEC(SUBSTITUTE(MID(HI50,7,3)," ","")),"00"),"/",TEXT(HEX2DEC(SUBSTITUTE(MID(HI50,10,3)," ","")),"00"))</f>
        <v>0000/00/00</v>
      </c>
      <c r="HL50" s="352"/>
      <c r="HM50" s="353"/>
      <c r="HN50" s="2">
        <v>18</v>
      </c>
      <c r="HO50" s="3" t="s">
        <v>1251</v>
      </c>
      <c r="HP50" s="2">
        <f t="shared" si="768"/>
        <v>45</v>
      </c>
      <c r="HQ50" s="2">
        <f t="shared" si="181"/>
        <v>48</v>
      </c>
      <c r="HR50" s="2">
        <v>4</v>
      </c>
      <c r="HS50" s="255" t="str">
        <f t="shared" si="182"/>
        <v/>
      </c>
      <c r="HT50" s="255"/>
      <c r="HU50" s="324" t="str">
        <f t="shared" ref="HU50" si="860">CONCATENATE(TEXT(HEX2DEC(SUBSTITUTE(MID(HS50,1,6)," ","")),"0000"),"/",TEXT(HEX2DEC(SUBSTITUTE(MID(HS50,7,3)," ","")),"00"),"/",TEXT(HEX2DEC(SUBSTITUTE(MID(HS50,10,3)," ","")),"00"))</f>
        <v>0000/00/00</v>
      </c>
      <c r="HV50" s="352"/>
      <c r="HW50" s="353"/>
      <c r="HX50" s="2">
        <v>18</v>
      </c>
      <c r="HY50" s="3" t="s">
        <v>1251</v>
      </c>
      <c r="HZ50" s="2">
        <f t="shared" si="769"/>
        <v>45</v>
      </c>
      <c r="IA50" s="2">
        <f t="shared" si="185"/>
        <v>48</v>
      </c>
      <c r="IB50" s="2">
        <v>4</v>
      </c>
      <c r="IC50" s="255" t="str">
        <f t="shared" si="186"/>
        <v/>
      </c>
      <c r="ID50" s="255"/>
      <c r="IE50" s="324" t="str">
        <f t="shared" ref="IE50" si="861">CONCATENATE(TEXT(HEX2DEC(SUBSTITUTE(MID(IC50,1,6)," ","")),"0000"),"/",TEXT(HEX2DEC(SUBSTITUTE(MID(IC50,7,3)," ","")),"00"),"/",TEXT(HEX2DEC(SUBSTITUTE(MID(IC50,10,3)," ","")),"00"))</f>
        <v>0000/00/00</v>
      </c>
      <c r="IF50" s="352"/>
      <c r="IG50" s="353"/>
      <c r="IH50" s="2">
        <v>18</v>
      </c>
      <c r="II50" s="3" t="s">
        <v>1251</v>
      </c>
      <c r="IJ50" s="2">
        <f t="shared" si="770"/>
        <v>45</v>
      </c>
      <c r="IK50" s="2">
        <f t="shared" si="189"/>
        <v>48</v>
      </c>
      <c r="IL50" s="2">
        <v>4</v>
      </c>
      <c r="IM50" s="255" t="str">
        <f t="shared" si="190"/>
        <v/>
      </c>
      <c r="IN50" s="255"/>
      <c r="IO50" s="324" t="str">
        <f t="shared" ref="IO50" si="862">CONCATENATE(TEXT(HEX2DEC(SUBSTITUTE(MID(IM50,1,6)," ","")),"0000"),"/",TEXT(HEX2DEC(SUBSTITUTE(MID(IM50,7,3)," ","")),"00"),"/",TEXT(HEX2DEC(SUBSTITUTE(MID(IM50,10,3)," ","")),"00"))</f>
        <v>0000/00/00</v>
      </c>
      <c r="IP50" s="352"/>
      <c r="IQ50" s="353"/>
      <c r="IR50" s="2">
        <v>18</v>
      </c>
      <c r="IS50" s="3" t="s">
        <v>1251</v>
      </c>
      <c r="IT50" s="2">
        <f t="shared" si="771"/>
        <v>45</v>
      </c>
      <c r="IU50" s="2">
        <f t="shared" si="193"/>
        <v>48</v>
      </c>
      <c r="IV50" s="2">
        <v>4</v>
      </c>
      <c r="IW50" s="255" t="str">
        <f t="shared" si="194"/>
        <v/>
      </c>
      <c r="IX50" s="255"/>
      <c r="IY50" s="324" t="str">
        <f t="shared" ref="IY50" si="863">CONCATENATE(TEXT(HEX2DEC(SUBSTITUTE(MID(IW50,1,6)," ","")),"0000"),"/",TEXT(HEX2DEC(SUBSTITUTE(MID(IW50,7,3)," ","")),"00"),"/",TEXT(HEX2DEC(SUBSTITUTE(MID(IW50,10,3)," ","")),"00"))</f>
        <v>0000/00/00</v>
      </c>
      <c r="IZ50" s="352"/>
      <c r="JA50" s="353"/>
      <c r="JB50" s="2">
        <v>18</v>
      </c>
      <c r="JC50" s="3" t="s">
        <v>1251</v>
      </c>
      <c r="JD50" s="2">
        <f t="shared" si="772"/>
        <v>45</v>
      </c>
      <c r="JE50" s="2">
        <f t="shared" si="197"/>
        <v>48</v>
      </c>
      <c r="JF50" s="2">
        <v>4</v>
      </c>
      <c r="JG50" s="255" t="str">
        <f t="shared" si="198"/>
        <v/>
      </c>
      <c r="JH50" s="255"/>
      <c r="JI50" s="324" t="str">
        <f t="shared" ref="JI50" si="864">CONCATENATE(TEXT(HEX2DEC(SUBSTITUTE(MID(JG50,1,6)," ","")),"0000"),"/",TEXT(HEX2DEC(SUBSTITUTE(MID(JG50,7,3)," ","")),"00"),"/",TEXT(HEX2DEC(SUBSTITUTE(MID(JG50,10,3)," ","")),"00"))</f>
        <v>0000/00/00</v>
      </c>
      <c r="JJ50" s="352"/>
      <c r="JK50" s="353"/>
      <c r="JL50" s="2">
        <v>18</v>
      </c>
      <c r="JM50" s="3" t="s">
        <v>1251</v>
      </c>
      <c r="JN50" s="2">
        <f t="shared" si="773"/>
        <v>45</v>
      </c>
      <c r="JO50" s="2">
        <f t="shared" si="201"/>
        <v>48</v>
      </c>
      <c r="JP50" s="2">
        <v>4</v>
      </c>
      <c r="JQ50" s="255" t="str">
        <f t="shared" si="202"/>
        <v/>
      </c>
      <c r="JR50" s="255"/>
      <c r="JS50" s="324" t="str">
        <f t="shared" ref="JS50" si="865">CONCATENATE(TEXT(HEX2DEC(SUBSTITUTE(MID(JQ50,1,6)," ","")),"0000"),"/",TEXT(HEX2DEC(SUBSTITUTE(MID(JQ50,7,3)," ","")),"00"),"/",TEXT(HEX2DEC(SUBSTITUTE(MID(JQ50,10,3)," ","")),"00"))</f>
        <v>0000/00/00</v>
      </c>
      <c r="JT50" s="352"/>
      <c r="JU50" s="353"/>
      <c r="JV50" s="2">
        <v>18</v>
      </c>
      <c r="JW50" s="3" t="s">
        <v>1251</v>
      </c>
      <c r="JX50" s="2">
        <f t="shared" si="774"/>
        <v>45</v>
      </c>
      <c r="JY50" s="2">
        <f t="shared" si="205"/>
        <v>48</v>
      </c>
      <c r="JZ50" s="2">
        <v>4</v>
      </c>
      <c r="KA50" s="255" t="str">
        <f t="shared" si="206"/>
        <v/>
      </c>
      <c r="KB50" s="255"/>
      <c r="KC50" s="324" t="str">
        <f t="shared" ref="KC50" si="866">CONCATENATE(TEXT(HEX2DEC(SUBSTITUTE(MID(KA50,1,6)," ","")),"0000"),"/",TEXT(HEX2DEC(SUBSTITUTE(MID(KA50,7,3)," ","")),"00"),"/",TEXT(HEX2DEC(SUBSTITUTE(MID(KA50,10,3)," ","")),"00"))</f>
        <v>0000/00/00</v>
      </c>
      <c r="KD50" s="352"/>
      <c r="KE50" s="353"/>
      <c r="KF50" s="2">
        <v>18</v>
      </c>
      <c r="KG50" s="3" t="s">
        <v>1251</v>
      </c>
      <c r="KH50" s="2">
        <f t="shared" si="775"/>
        <v>45</v>
      </c>
      <c r="KI50" s="2">
        <f t="shared" si="209"/>
        <v>48</v>
      </c>
      <c r="KJ50" s="2">
        <v>4</v>
      </c>
      <c r="KK50" s="255" t="str">
        <f t="shared" si="210"/>
        <v/>
      </c>
      <c r="KL50" s="255"/>
      <c r="KM50" s="324" t="str">
        <f t="shared" ref="KM50" si="867">CONCATENATE(TEXT(HEX2DEC(SUBSTITUTE(MID(KK50,1,6)," ","")),"0000"),"/",TEXT(HEX2DEC(SUBSTITUTE(MID(KK50,7,3)," ","")),"00"),"/",TEXT(HEX2DEC(SUBSTITUTE(MID(KK50,10,3)," ","")),"00"))</f>
        <v>0000/00/00</v>
      </c>
      <c r="KN50" s="352"/>
      <c r="KO50" s="353"/>
      <c r="KP50" s="2">
        <v>18</v>
      </c>
      <c r="KQ50" s="3" t="s">
        <v>1251</v>
      </c>
      <c r="KR50" s="2">
        <f t="shared" si="776"/>
        <v>45</v>
      </c>
      <c r="KS50" s="2">
        <f t="shared" si="213"/>
        <v>48</v>
      </c>
      <c r="KT50" s="2">
        <v>4</v>
      </c>
      <c r="KU50" s="255" t="str">
        <f t="shared" si="214"/>
        <v/>
      </c>
      <c r="KV50" s="255"/>
      <c r="KW50" s="324" t="str">
        <f t="shared" ref="KW50" si="868">CONCATENATE(TEXT(HEX2DEC(SUBSTITUTE(MID(KU50,1,6)," ","")),"0000"),"/",TEXT(HEX2DEC(SUBSTITUTE(MID(KU50,7,3)," ","")),"00"),"/",TEXT(HEX2DEC(SUBSTITUTE(MID(KU50,10,3)," ","")),"00"))</f>
        <v>0000/00/00</v>
      </c>
      <c r="KX50" s="352"/>
      <c r="KY50" s="353"/>
      <c r="KZ50" s="2">
        <v>18</v>
      </c>
      <c r="LA50" s="3" t="s">
        <v>1251</v>
      </c>
      <c r="LB50" s="2">
        <f t="shared" si="777"/>
        <v>45</v>
      </c>
      <c r="LC50" s="2">
        <f t="shared" si="217"/>
        <v>48</v>
      </c>
      <c r="LD50" s="2">
        <v>4</v>
      </c>
      <c r="LE50" s="255" t="str">
        <f t="shared" si="218"/>
        <v/>
      </c>
      <c r="LF50" s="255"/>
      <c r="LG50" s="324" t="str">
        <f t="shared" ref="LG50" si="869">CONCATENATE(TEXT(HEX2DEC(SUBSTITUTE(MID(LE50,1,6)," ","")),"0000"),"/",TEXT(HEX2DEC(SUBSTITUTE(MID(LE50,7,3)," ","")),"00"),"/",TEXT(HEX2DEC(SUBSTITUTE(MID(LE50,10,3)," ","")),"00"))</f>
        <v>0000/00/00</v>
      </c>
      <c r="LH50" s="352"/>
      <c r="LI50" s="353"/>
      <c r="LJ50" s="2">
        <v>18</v>
      </c>
      <c r="LK50" s="3" t="s">
        <v>1251</v>
      </c>
      <c r="LL50" s="2">
        <f t="shared" si="778"/>
        <v>45</v>
      </c>
      <c r="LM50" s="2">
        <f t="shared" si="221"/>
        <v>48</v>
      </c>
      <c r="LN50" s="2">
        <v>4</v>
      </c>
      <c r="LO50" s="255" t="str">
        <f t="shared" si="222"/>
        <v/>
      </c>
      <c r="LP50" s="255"/>
      <c r="LQ50" s="324" t="str">
        <f t="shared" ref="LQ50" si="870">CONCATENATE(TEXT(HEX2DEC(SUBSTITUTE(MID(LO50,1,6)," ","")),"0000"),"/",TEXT(HEX2DEC(SUBSTITUTE(MID(LO50,7,3)," ","")),"00"),"/",TEXT(HEX2DEC(SUBSTITUTE(MID(LO50,10,3)," ","")),"00"))</f>
        <v>0000/00/00</v>
      </c>
      <c r="LR50" s="352"/>
      <c r="LS50" s="353"/>
      <c r="LT50" s="2">
        <v>18</v>
      </c>
      <c r="LU50" s="3" t="s">
        <v>1251</v>
      </c>
      <c r="LV50" s="2">
        <f t="shared" si="779"/>
        <v>45</v>
      </c>
      <c r="LW50" s="2">
        <f t="shared" si="225"/>
        <v>48</v>
      </c>
      <c r="LX50" s="2">
        <v>4</v>
      </c>
      <c r="LY50" s="255" t="str">
        <f t="shared" si="226"/>
        <v/>
      </c>
      <c r="LZ50" s="255"/>
      <c r="MA50" s="324" t="str">
        <f t="shared" ref="MA50" si="871">CONCATENATE(TEXT(HEX2DEC(SUBSTITUTE(MID(LY50,1,6)," ","")),"0000"),"/",TEXT(HEX2DEC(SUBSTITUTE(MID(LY50,7,3)," ","")),"00"),"/",TEXT(HEX2DEC(SUBSTITUTE(MID(LY50,10,3)," ","")),"00"))</f>
        <v>0000/00/00</v>
      </c>
      <c r="MB50" s="352"/>
      <c r="MC50" s="353"/>
      <c r="MD50" s="2">
        <v>18</v>
      </c>
      <c r="ME50" s="3" t="s">
        <v>1251</v>
      </c>
      <c r="MF50" s="2">
        <f t="shared" si="780"/>
        <v>45</v>
      </c>
      <c r="MG50" s="2">
        <f t="shared" si="229"/>
        <v>48</v>
      </c>
      <c r="MH50" s="2">
        <v>4</v>
      </c>
      <c r="MI50" s="255" t="str">
        <f t="shared" si="230"/>
        <v/>
      </c>
      <c r="MJ50" s="255"/>
      <c r="MK50" s="324" t="str">
        <f t="shared" ref="MK50" si="872">CONCATENATE(TEXT(HEX2DEC(SUBSTITUTE(MID(MI50,1,6)," ","")),"0000"),"/",TEXT(HEX2DEC(SUBSTITUTE(MID(MI50,7,3)," ","")),"00"),"/",TEXT(HEX2DEC(SUBSTITUTE(MID(MI50,10,3)," ","")),"00"))</f>
        <v>0000/00/00</v>
      </c>
      <c r="ML50" s="352"/>
      <c r="MM50" s="353"/>
      <c r="MN50" s="2">
        <v>18</v>
      </c>
      <c r="MO50" s="3" t="s">
        <v>1251</v>
      </c>
      <c r="MP50" s="2">
        <f t="shared" si="781"/>
        <v>45</v>
      </c>
      <c r="MQ50" s="2">
        <f t="shared" si="233"/>
        <v>48</v>
      </c>
      <c r="MR50" s="2">
        <v>4</v>
      </c>
      <c r="MS50" s="255" t="str">
        <f t="shared" si="234"/>
        <v/>
      </c>
      <c r="MT50" s="255"/>
      <c r="MU50" s="324" t="str">
        <f t="shared" ref="MU50" si="873">CONCATENATE(TEXT(HEX2DEC(SUBSTITUTE(MID(MS50,1,6)," ","")),"0000"),"/",TEXT(HEX2DEC(SUBSTITUTE(MID(MS50,7,3)," ","")),"00"),"/",TEXT(HEX2DEC(SUBSTITUTE(MID(MS50,10,3)," ","")),"00"))</f>
        <v>0000/00/00</v>
      </c>
      <c r="MV50" s="352"/>
      <c r="MW50" s="353"/>
      <c r="MX50" s="2">
        <v>18</v>
      </c>
      <c r="MY50" s="3" t="s">
        <v>1251</v>
      </c>
      <c r="MZ50" s="2">
        <f t="shared" si="782"/>
        <v>45</v>
      </c>
      <c r="NA50" s="2">
        <f t="shared" si="237"/>
        <v>48</v>
      </c>
      <c r="NB50" s="2">
        <v>4</v>
      </c>
      <c r="NC50" s="255" t="str">
        <f t="shared" si="238"/>
        <v/>
      </c>
      <c r="ND50" s="255"/>
      <c r="NE50" s="324" t="str">
        <f t="shared" ref="NE50" si="874">CONCATENATE(TEXT(HEX2DEC(SUBSTITUTE(MID(NC50,1,6)," ","")),"0000"),"/",TEXT(HEX2DEC(SUBSTITUTE(MID(NC50,7,3)," ","")),"00"),"/",TEXT(HEX2DEC(SUBSTITUTE(MID(NC50,10,3)," ","")),"00"))</f>
        <v>0000/00/00</v>
      </c>
      <c r="NF50" s="352"/>
      <c r="NG50" s="353"/>
      <c r="NH50" s="2">
        <v>18</v>
      </c>
      <c r="NI50" s="3" t="s">
        <v>1251</v>
      </c>
      <c r="NJ50" s="2">
        <f t="shared" si="783"/>
        <v>45</v>
      </c>
      <c r="NK50" s="2">
        <f t="shared" si="241"/>
        <v>48</v>
      </c>
      <c r="NL50" s="2">
        <v>4</v>
      </c>
      <c r="NM50" s="255" t="str">
        <f t="shared" si="242"/>
        <v/>
      </c>
      <c r="NN50" s="255"/>
      <c r="NO50" s="324" t="str">
        <f t="shared" ref="NO50" si="875">CONCATENATE(TEXT(HEX2DEC(SUBSTITUTE(MID(NM50,1,6)," ","")),"0000"),"/",TEXT(HEX2DEC(SUBSTITUTE(MID(NM50,7,3)," ","")),"00"),"/",TEXT(HEX2DEC(SUBSTITUTE(MID(NM50,10,3)," ","")),"00"))</f>
        <v>0000/00/00</v>
      </c>
      <c r="NP50" s="352"/>
      <c r="NQ50" s="353"/>
      <c r="NR50" s="2">
        <v>18</v>
      </c>
      <c r="NS50" s="3" t="s">
        <v>1251</v>
      </c>
      <c r="NT50" s="2">
        <f t="shared" si="784"/>
        <v>45</v>
      </c>
      <c r="NU50" s="2">
        <f t="shared" si="245"/>
        <v>48</v>
      </c>
      <c r="NV50" s="2">
        <v>4</v>
      </c>
      <c r="NW50" s="255" t="str">
        <f t="shared" si="246"/>
        <v/>
      </c>
      <c r="NX50" s="255"/>
      <c r="NY50" s="324" t="str">
        <f t="shared" ref="NY50" si="876">CONCATENATE(TEXT(HEX2DEC(SUBSTITUTE(MID(NW50,1,6)," ","")),"0000"),"/",TEXT(HEX2DEC(SUBSTITUTE(MID(NW50,7,3)," ","")),"00"),"/",TEXT(HEX2DEC(SUBSTITUTE(MID(NW50,10,3)," ","")),"00"))</f>
        <v>0000/00/00</v>
      </c>
      <c r="NZ50" s="352"/>
      <c r="OA50" s="353"/>
      <c r="OB50" s="2">
        <v>18</v>
      </c>
      <c r="OC50" s="3" t="s">
        <v>1251</v>
      </c>
      <c r="OD50" s="2">
        <f t="shared" si="785"/>
        <v>45</v>
      </c>
      <c r="OE50" s="2">
        <f t="shared" si="249"/>
        <v>48</v>
      </c>
      <c r="OF50" s="2">
        <v>4</v>
      </c>
      <c r="OG50" s="255" t="str">
        <f t="shared" si="250"/>
        <v/>
      </c>
      <c r="OH50" s="255"/>
      <c r="OI50" s="324" t="str">
        <f t="shared" ref="OI50" si="877">CONCATENATE(TEXT(HEX2DEC(SUBSTITUTE(MID(OG50,1,6)," ","")),"0000"),"/",TEXT(HEX2DEC(SUBSTITUTE(MID(OG50,7,3)," ","")),"00"),"/",TEXT(HEX2DEC(SUBSTITUTE(MID(OG50,10,3)," ","")),"00"))</f>
        <v>0000/00/00</v>
      </c>
      <c r="OJ50" s="352"/>
      <c r="OK50" s="353"/>
      <c r="OL50" s="2">
        <v>18</v>
      </c>
      <c r="OM50" s="3" t="s">
        <v>1251</v>
      </c>
      <c r="ON50" s="2">
        <f t="shared" si="786"/>
        <v>45</v>
      </c>
      <c r="OO50" s="2">
        <f t="shared" si="253"/>
        <v>48</v>
      </c>
      <c r="OP50" s="2">
        <v>4</v>
      </c>
      <c r="OQ50" s="255" t="str">
        <f t="shared" si="254"/>
        <v/>
      </c>
      <c r="OR50" s="255"/>
      <c r="OS50" s="324" t="str">
        <f t="shared" ref="OS50" si="878">CONCATENATE(TEXT(HEX2DEC(SUBSTITUTE(MID(OQ50,1,6)," ","")),"0000"),"/",TEXT(HEX2DEC(SUBSTITUTE(MID(OQ50,7,3)," ","")),"00"),"/",TEXT(HEX2DEC(SUBSTITUTE(MID(OQ50,10,3)," ","")),"00"))</f>
        <v>0000/00/00</v>
      </c>
      <c r="OT50" s="352"/>
      <c r="OU50" s="353"/>
      <c r="OV50" s="2">
        <v>18</v>
      </c>
      <c r="OW50" s="3" t="s">
        <v>1251</v>
      </c>
      <c r="OX50" s="2">
        <f t="shared" si="787"/>
        <v>45</v>
      </c>
      <c r="OY50" s="2">
        <f t="shared" si="257"/>
        <v>48</v>
      </c>
      <c r="OZ50" s="2">
        <v>4</v>
      </c>
      <c r="PA50" s="255" t="str">
        <f t="shared" si="258"/>
        <v/>
      </c>
      <c r="PB50" s="255"/>
      <c r="PC50" s="324" t="str">
        <f t="shared" ref="PC50" si="879">CONCATENATE(TEXT(HEX2DEC(SUBSTITUTE(MID(PA50,1,6)," ","")),"0000"),"/",TEXT(HEX2DEC(SUBSTITUTE(MID(PA50,7,3)," ","")),"00"),"/",TEXT(HEX2DEC(SUBSTITUTE(MID(PA50,10,3)," ","")),"00"))</f>
        <v>0000/00/00</v>
      </c>
      <c r="PD50" s="352"/>
      <c r="PE50" s="353"/>
      <c r="PF50" s="2">
        <v>18</v>
      </c>
      <c r="PG50" s="3" t="s">
        <v>1251</v>
      </c>
      <c r="PH50" s="2">
        <f t="shared" si="788"/>
        <v>45</v>
      </c>
      <c r="PI50" s="2">
        <f t="shared" si="261"/>
        <v>48</v>
      </c>
      <c r="PJ50" s="2">
        <v>4</v>
      </c>
      <c r="PK50" s="255" t="str">
        <f t="shared" si="262"/>
        <v/>
      </c>
      <c r="PL50" s="255"/>
      <c r="PM50" s="324" t="str">
        <f t="shared" ref="PM50" si="880">CONCATENATE(TEXT(HEX2DEC(SUBSTITUTE(MID(PK50,1,6)," ","")),"0000"),"/",TEXT(HEX2DEC(SUBSTITUTE(MID(PK50,7,3)," ","")),"00"),"/",TEXT(HEX2DEC(SUBSTITUTE(MID(PK50,10,3)," ","")),"00"))</f>
        <v>0000/00/00</v>
      </c>
      <c r="PN50" s="352"/>
      <c r="PO50" s="353"/>
      <c r="PP50" s="2">
        <v>18</v>
      </c>
      <c r="PQ50" s="3" t="s">
        <v>1251</v>
      </c>
      <c r="PR50" s="2">
        <f t="shared" si="789"/>
        <v>45</v>
      </c>
      <c r="PS50" s="2">
        <f t="shared" si="265"/>
        <v>48</v>
      </c>
      <c r="PT50" s="2">
        <v>4</v>
      </c>
      <c r="PU50" s="255" t="str">
        <f t="shared" si="266"/>
        <v/>
      </c>
      <c r="PV50" s="255"/>
      <c r="PW50" s="324" t="str">
        <f t="shared" ref="PW50" si="881">CONCATENATE(TEXT(HEX2DEC(SUBSTITUTE(MID(PU50,1,6)," ","")),"0000"),"/",TEXT(HEX2DEC(SUBSTITUTE(MID(PU50,7,3)," ","")),"00"),"/",TEXT(HEX2DEC(SUBSTITUTE(MID(PU50,10,3)," ","")),"00"))</f>
        <v>0000/00/00</v>
      </c>
      <c r="PX50" s="352"/>
      <c r="PY50" s="353"/>
      <c r="PZ50" s="2">
        <v>18</v>
      </c>
      <c r="QA50" s="3" t="s">
        <v>1251</v>
      </c>
      <c r="QB50" s="2">
        <f t="shared" si="790"/>
        <v>45</v>
      </c>
      <c r="QC50" s="2">
        <f t="shared" si="269"/>
        <v>48</v>
      </c>
      <c r="QD50" s="2">
        <v>4</v>
      </c>
      <c r="QE50" s="255" t="str">
        <f t="shared" si="270"/>
        <v/>
      </c>
      <c r="QF50" s="255"/>
      <c r="QG50" s="324" t="str">
        <f t="shared" ref="QG50" si="882">CONCATENATE(TEXT(HEX2DEC(SUBSTITUTE(MID(QE50,1,6)," ","")),"0000"),"/",TEXT(HEX2DEC(SUBSTITUTE(MID(QE50,7,3)," ","")),"00"),"/",TEXT(HEX2DEC(SUBSTITUTE(MID(QE50,10,3)," ","")),"00"))</f>
        <v>0000/00/00</v>
      </c>
      <c r="QH50" s="352"/>
      <c r="QI50" s="353"/>
      <c r="QJ50" s="2">
        <v>18</v>
      </c>
      <c r="QK50" s="3" t="s">
        <v>1251</v>
      </c>
      <c r="QL50" s="2">
        <f t="shared" si="791"/>
        <v>45</v>
      </c>
      <c r="QM50" s="2">
        <f t="shared" si="273"/>
        <v>48</v>
      </c>
      <c r="QN50" s="2">
        <v>4</v>
      </c>
      <c r="QO50" s="255" t="str">
        <f t="shared" si="274"/>
        <v/>
      </c>
      <c r="QP50" s="255"/>
      <c r="QQ50" s="324" t="str">
        <f t="shared" ref="QQ50" si="883">CONCATENATE(TEXT(HEX2DEC(SUBSTITUTE(MID(QO50,1,6)," ","")),"0000"),"/",TEXT(HEX2DEC(SUBSTITUTE(MID(QO50,7,3)," ","")),"00"),"/",TEXT(HEX2DEC(SUBSTITUTE(MID(QO50,10,3)," ","")),"00"))</f>
        <v>0000/00/00</v>
      </c>
      <c r="QR50" s="352"/>
      <c r="QS50" s="353"/>
      <c r="QT50" s="2">
        <v>18</v>
      </c>
      <c r="QU50" s="3" t="s">
        <v>1251</v>
      </c>
      <c r="QV50" s="2">
        <f t="shared" si="792"/>
        <v>45</v>
      </c>
      <c r="QW50" s="2">
        <f t="shared" si="277"/>
        <v>48</v>
      </c>
      <c r="QX50" s="2">
        <v>4</v>
      </c>
      <c r="QY50" s="255" t="str">
        <f t="shared" si="278"/>
        <v/>
      </c>
      <c r="QZ50" s="255"/>
      <c r="RA50" s="324" t="str">
        <f t="shared" ref="RA50" si="884">CONCATENATE(TEXT(HEX2DEC(SUBSTITUTE(MID(QY50,1,6)," ","")),"0000"),"/",TEXT(HEX2DEC(SUBSTITUTE(MID(QY50,7,3)," ","")),"00"),"/",TEXT(HEX2DEC(SUBSTITUTE(MID(QY50,10,3)," ","")),"00"))</f>
        <v>0000/00/00</v>
      </c>
      <c r="RB50" s="352"/>
      <c r="RC50" s="353"/>
      <c r="RD50" s="2">
        <v>18</v>
      </c>
      <c r="RE50" s="3" t="s">
        <v>1251</v>
      </c>
      <c r="RF50" s="2">
        <f t="shared" si="793"/>
        <v>45</v>
      </c>
      <c r="RG50" s="2">
        <f t="shared" si="281"/>
        <v>48</v>
      </c>
      <c r="RH50" s="2">
        <v>4</v>
      </c>
      <c r="RI50" s="255" t="str">
        <f t="shared" si="282"/>
        <v/>
      </c>
      <c r="RJ50" s="255"/>
      <c r="RK50" s="324" t="str">
        <f t="shared" ref="RK50" si="885">CONCATENATE(TEXT(HEX2DEC(SUBSTITUTE(MID(RI50,1,6)," ","")),"0000"),"/",TEXT(HEX2DEC(SUBSTITUTE(MID(RI50,7,3)," ","")),"00"),"/",TEXT(HEX2DEC(SUBSTITUTE(MID(RI50,10,3)," ","")),"00"))</f>
        <v>0000/00/00</v>
      </c>
      <c r="RL50" s="352"/>
      <c r="RM50" s="353"/>
      <c r="RN50" s="2">
        <v>18</v>
      </c>
      <c r="RO50" s="3" t="s">
        <v>1251</v>
      </c>
      <c r="RP50" s="2">
        <f t="shared" si="794"/>
        <v>45</v>
      </c>
      <c r="RQ50" s="2">
        <f t="shared" si="285"/>
        <v>48</v>
      </c>
      <c r="RR50" s="2">
        <v>4</v>
      </c>
      <c r="RS50" s="255" t="str">
        <f t="shared" si="286"/>
        <v/>
      </c>
      <c r="RT50" s="255"/>
      <c r="RU50" s="324" t="str">
        <f t="shared" ref="RU50" si="886">CONCATENATE(TEXT(HEX2DEC(SUBSTITUTE(MID(RS50,1,6)," ","")),"0000"),"/",TEXT(HEX2DEC(SUBSTITUTE(MID(RS50,7,3)," ","")),"00"),"/",TEXT(HEX2DEC(SUBSTITUTE(MID(RS50,10,3)," ","")),"00"))</f>
        <v>0000/00/00</v>
      </c>
      <c r="RV50" s="352"/>
      <c r="RW50" s="353"/>
      <c r="RX50" s="2">
        <v>18</v>
      </c>
      <c r="RY50" s="3" t="s">
        <v>1251</v>
      </c>
      <c r="RZ50" s="2">
        <f t="shared" si="795"/>
        <v>45</v>
      </c>
      <c r="SA50" s="2">
        <f t="shared" si="289"/>
        <v>48</v>
      </c>
      <c r="SB50" s="2">
        <v>4</v>
      </c>
      <c r="SC50" s="255" t="str">
        <f t="shared" si="290"/>
        <v/>
      </c>
      <c r="SD50" s="255"/>
      <c r="SE50" s="324" t="str">
        <f t="shared" ref="SE50" si="887">CONCATENATE(TEXT(HEX2DEC(SUBSTITUTE(MID(SC50,1,6)," ","")),"0000"),"/",TEXT(HEX2DEC(SUBSTITUTE(MID(SC50,7,3)," ","")),"00"),"/",TEXT(HEX2DEC(SUBSTITUTE(MID(SC50,10,3)," ","")),"00"))</f>
        <v>0000/00/00</v>
      </c>
      <c r="SF50" s="352"/>
      <c r="SG50" s="353"/>
      <c r="SH50" s="2">
        <v>18</v>
      </c>
      <c r="SI50" s="3" t="s">
        <v>1251</v>
      </c>
      <c r="SJ50" s="2">
        <f t="shared" si="796"/>
        <v>45</v>
      </c>
      <c r="SK50" s="2">
        <f t="shared" si="293"/>
        <v>48</v>
      </c>
      <c r="SL50" s="2">
        <v>4</v>
      </c>
      <c r="SM50" s="255" t="str">
        <f t="shared" si="294"/>
        <v/>
      </c>
      <c r="SN50" s="255"/>
      <c r="SO50" s="324" t="str">
        <f t="shared" ref="SO50" si="888">CONCATENATE(TEXT(HEX2DEC(SUBSTITUTE(MID(SM50,1,6)," ","")),"0000"),"/",TEXT(HEX2DEC(SUBSTITUTE(MID(SM50,7,3)," ","")),"00"),"/",TEXT(HEX2DEC(SUBSTITUTE(MID(SM50,10,3)," ","")),"00"))</f>
        <v>0000/00/00</v>
      </c>
      <c r="SP50" s="352"/>
      <c r="SQ50" s="353"/>
      <c r="SR50" s="2">
        <v>18</v>
      </c>
      <c r="SS50" s="3" t="s">
        <v>1251</v>
      </c>
      <c r="ST50" s="2">
        <f t="shared" si="797"/>
        <v>45</v>
      </c>
      <c r="SU50" s="2">
        <f t="shared" si="297"/>
        <v>48</v>
      </c>
      <c r="SV50" s="2">
        <v>4</v>
      </c>
      <c r="SW50" s="255" t="str">
        <f t="shared" si="298"/>
        <v/>
      </c>
      <c r="SX50" s="255"/>
      <c r="SY50" s="324" t="str">
        <f t="shared" ref="SY50" si="889">CONCATENATE(TEXT(HEX2DEC(SUBSTITUTE(MID(SW50,1,6)," ","")),"0000"),"/",TEXT(HEX2DEC(SUBSTITUTE(MID(SW50,7,3)," ","")),"00"),"/",TEXT(HEX2DEC(SUBSTITUTE(MID(SW50,10,3)," ","")),"00"))</f>
        <v>0000/00/00</v>
      </c>
      <c r="SZ50" s="352"/>
      <c r="TA50" s="353"/>
      <c r="TB50" s="2">
        <v>18</v>
      </c>
      <c r="TC50" s="3" t="s">
        <v>1251</v>
      </c>
      <c r="TD50" s="2">
        <f t="shared" si="798"/>
        <v>45</v>
      </c>
      <c r="TE50" s="2">
        <f t="shared" si="301"/>
        <v>48</v>
      </c>
      <c r="TF50" s="2">
        <v>4</v>
      </c>
      <c r="TG50" s="255" t="str">
        <f t="shared" si="302"/>
        <v/>
      </c>
      <c r="TH50" s="255"/>
      <c r="TI50" s="324" t="str">
        <f t="shared" ref="TI50" si="890">CONCATENATE(TEXT(HEX2DEC(SUBSTITUTE(MID(TG50,1,6)," ","")),"0000"),"/",TEXT(HEX2DEC(SUBSTITUTE(MID(TG50,7,3)," ","")),"00"),"/",TEXT(HEX2DEC(SUBSTITUTE(MID(TG50,10,3)," ","")),"00"))</f>
        <v>0000/00/00</v>
      </c>
      <c r="TJ50" s="352"/>
      <c r="TK50" s="353"/>
      <c r="TL50" s="2">
        <v>18</v>
      </c>
      <c r="TM50" s="3" t="s">
        <v>1251</v>
      </c>
      <c r="TN50" s="2">
        <f t="shared" si="799"/>
        <v>45</v>
      </c>
      <c r="TO50" s="2">
        <f t="shared" si="305"/>
        <v>48</v>
      </c>
      <c r="TP50" s="2">
        <v>4</v>
      </c>
      <c r="TQ50" s="255" t="str">
        <f t="shared" si="306"/>
        <v/>
      </c>
      <c r="TR50" s="255"/>
      <c r="TS50" s="324" t="str">
        <f t="shared" ref="TS50" si="891">CONCATENATE(TEXT(HEX2DEC(SUBSTITUTE(MID(TQ50,1,6)," ","")),"0000"),"/",TEXT(HEX2DEC(SUBSTITUTE(MID(TQ50,7,3)," ","")),"00"),"/",TEXT(HEX2DEC(SUBSTITUTE(MID(TQ50,10,3)," ","")),"00"))</f>
        <v>0000/00/00</v>
      </c>
      <c r="TT50" s="352"/>
      <c r="TU50" s="353"/>
      <c r="TV50" s="2">
        <v>18</v>
      </c>
      <c r="TW50" s="3" t="s">
        <v>1251</v>
      </c>
      <c r="TX50" s="2">
        <f t="shared" si="800"/>
        <v>45</v>
      </c>
      <c r="TY50" s="2">
        <f t="shared" si="309"/>
        <v>48</v>
      </c>
      <c r="TZ50" s="2">
        <v>4</v>
      </c>
      <c r="UA50" s="255" t="str">
        <f t="shared" si="310"/>
        <v/>
      </c>
      <c r="UB50" s="255"/>
      <c r="UC50" s="324" t="str">
        <f t="shared" ref="UC50" si="892">CONCATENATE(TEXT(HEX2DEC(SUBSTITUTE(MID(UA50,1,6)," ","")),"0000"),"/",TEXT(HEX2DEC(SUBSTITUTE(MID(UA50,7,3)," ","")),"00"),"/",TEXT(HEX2DEC(SUBSTITUTE(MID(UA50,10,3)," ","")),"00"))</f>
        <v>0000/00/00</v>
      </c>
      <c r="UD50" s="352"/>
      <c r="UE50" s="353"/>
      <c r="UF50" s="2">
        <v>18</v>
      </c>
      <c r="UG50" s="3" t="s">
        <v>1251</v>
      </c>
      <c r="UH50" s="2">
        <f t="shared" si="801"/>
        <v>45</v>
      </c>
      <c r="UI50" s="2">
        <f t="shared" si="313"/>
        <v>48</v>
      </c>
      <c r="UJ50" s="2">
        <v>4</v>
      </c>
      <c r="UK50" s="255" t="str">
        <f t="shared" si="314"/>
        <v/>
      </c>
      <c r="UL50" s="255"/>
      <c r="UM50" s="324" t="str">
        <f t="shared" ref="UM50" si="893">CONCATENATE(TEXT(HEX2DEC(SUBSTITUTE(MID(UK50,1,6)," ","")),"0000"),"/",TEXT(HEX2DEC(SUBSTITUTE(MID(UK50,7,3)," ","")),"00"),"/",TEXT(HEX2DEC(SUBSTITUTE(MID(UK50,10,3)," ","")),"00"))</f>
        <v>0000/00/00</v>
      </c>
      <c r="UN50" s="352"/>
      <c r="UO50" s="353"/>
      <c r="UP50" s="2">
        <v>18</v>
      </c>
      <c r="UQ50" s="3" t="s">
        <v>1251</v>
      </c>
      <c r="UR50" s="2">
        <f t="shared" si="802"/>
        <v>45</v>
      </c>
      <c r="US50" s="2">
        <f t="shared" si="317"/>
        <v>48</v>
      </c>
      <c r="UT50" s="2">
        <v>4</v>
      </c>
      <c r="UU50" s="255" t="str">
        <f t="shared" si="318"/>
        <v/>
      </c>
      <c r="UV50" s="255"/>
      <c r="UW50" s="324" t="str">
        <f t="shared" ref="UW50" si="894">CONCATENATE(TEXT(HEX2DEC(SUBSTITUTE(MID(UU50,1,6)," ","")),"0000"),"/",TEXT(HEX2DEC(SUBSTITUTE(MID(UU50,7,3)," ","")),"00"),"/",TEXT(HEX2DEC(SUBSTITUTE(MID(UU50,10,3)," ","")),"00"))</f>
        <v>0000/00/00</v>
      </c>
      <c r="UX50" s="352"/>
      <c r="UY50" s="353"/>
      <c r="UZ50" s="2">
        <v>18</v>
      </c>
      <c r="VA50" s="3" t="s">
        <v>1251</v>
      </c>
      <c r="VB50" s="2">
        <f t="shared" si="803"/>
        <v>45</v>
      </c>
      <c r="VC50" s="2">
        <f t="shared" si="321"/>
        <v>48</v>
      </c>
      <c r="VD50" s="2">
        <v>4</v>
      </c>
      <c r="VE50" s="255" t="str">
        <f t="shared" si="322"/>
        <v/>
      </c>
      <c r="VF50" s="255"/>
      <c r="VG50" s="324" t="str">
        <f t="shared" ref="VG50" si="895">CONCATENATE(TEXT(HEX2DEC(SUBSTITUTE(MID(VE50,1,6)," ","")),"0000"),"/",TEXT(HEX2DEC(SUBSTITUTE(MID(VE50,7,3)," ","")),"00"),"/",TEXT(HEX2DEC(SUBSTITUTE(MID(VE50,10,3)," ","")),"00"))</f>
        <v>0000/00/00</v>
      </c>
      <c r="VH50" s="352"/>
      <c r="VI50" s="353"/>
      <c r="VJ50" s="2">
        <v>18</v>
      </c>
      <c r="VK50" s="3" t="s">
        <v>1251</v>
      </c>
      <c r="VL50" s="2">
        <f t="shared" si="804"/>
        <v>45</v>
      </c>
      <c r="VM50" s="2">
        <f t="shared" si="325"/>
        <v>48</v>
      </c>
      <c r="VN50" s="2">
        <v>4</v>
      </c>
      <c r="VO50" s="255" t="str">
        <f t="shared" si="326"/>
        <v/>
      </c>
      <c r="VP50" s="255"/>
      <c r="VQ50" s="324" t="str">
        <f t="shared" ref="VQ50" si="896">CONCATENATE(TEXT(HEX2DEC(SUBSTITUTE(MID(VO50,1,6)," ","")),"0000"),"/",TEXT(HEX2DEC(SUBSTITUTE(MID(VO50,7,3)," ","")),"00"),"/",TEXT(HEX2DEC(SUBSTITUTE(MID(VO50,10,3)," ","")),"00"))</f>
        <v>0000/00/00</v>
      </c>
      <c r="VR50" s="352"/>
      <c r="VS50" s="353"/>
      <c r="VT50" s="2">
        <v>18</v>
      </c>
      <c r="VU50" s="3" t="s">
        <v>1251</v>
      </c>
      <c r="VV50" s="2">
        <f t="shared" si="805"/>
        <v>45</v>
      </c>
      <c r="VW50" s="2">
        <f t="shared" si="329"/>
        <v>48</v>
      </c>
      <c r="VX50" s="2">
        <v>4</v>
      </c>
      <c r="VY50" s="255" t="str">
        <f t="shared" si="330"/>
        <v/>
      </c>
      <c r="VZ50" s="255"/>
      <c r="WA50" s="324" t="str">
        <f t="shared" ref="WA50" si="897">CONCATENATE(TEXT(HEX2DEC(SUBSTITUTE(MID(VY50,1,6)," ","")),"0000"),"/",TEXT(HEX2DEC(SUBSTITUTE(MID(VY50,7,3)," ","")),"00"),"/",TEXT(HEX2DEC(SUBSTITUTE(MID(VY50,10,3)," ","")),"00"))</f>
        <v>0000/00/00</v>
      </c>
      <c r="WB50" s="352"/>
      <c r="WC50" s="353"/>
      <c r="WD50" s="2">
        <v>18</v>
      </c>
      <c r="WE50" s="3" t="s">
        <v>1251</v>
      </c>
      <c r="WF50" s="2">
        <f t="shared" si="806"/>
        <v>45</v>
      </c>
      <c r="WG50" s="2">
        <f t="shared" si="333"/>
        <v>48</v>
      </c>
      <c r="WH50" s="2">
        <v>4</v>
      </c>
      <c r="WI50" s="255" t="str">
        <f t="shared" si="334"/>
        <v/>
      </c>
      <c r="WJ50" s="255"/>
      <c r="WK50" s="324" t="str">
        <f t="shared" ref="WK50" si="898">CONCATENATE(TEXT(HEX2DEC(SUBSTITUTE(MID(WI50,1,6)," ","")),"0000"),"/",TEXT(HEX2DEC(SUBSTITUTE(MID(WI50,7,3)," ","")),"00"),"/",TEXT(HEX2DEC(SUBSTITUTE(MID(WI50,10,3)," ","")),"00"))</f>
        <v>0000/00/00</v>
      </c>
      <c r="WL50" s="352"/>
      <c r="WM50" s="353"/>
      <c r="WN50" s="2">
        <v>18</v>
      </c>
      <c r="WO50" s="3" t="s">
        <v>1251</v>
      </c>
      <c r="WP50" s="2">
        <f t="shared" si="807"/>
        <v>45</v>
      </c>
      <c r="WQ50" s="2">
        <f t="shared" si="337"/>
        <v>48</v>
      </c>
      <c r="WR50" s="2">
        <v>4</v>
      </c>
      <c r="WS50" s="255" t="str">
        <f t="shared" si="338"/>
        <v/>
      </c>
      <c r="WT50" s="255"/>
      <c r="WU50" s="324" t="str">
        <f t="shared" ref="WU50" si="899">CONCATENATE(TEXT(HEX2DEC(SUBSTITUTE(MID(WS50,1,6)," ","")),"0000"),"/",TEXT(HEX2DEC(SUBSTITUTE(MID(WS50,7,3)," ","")),"00"),"/",TEXT(HEX2DEC(SUBSTITUTE(MID(WS50,10,3)," ","")),"00"))</f>
        <v>0000/00/00</v>
      </c>
      <c r="WV50" s="352"/>
      <c r="WW50" s="353"/>
      <c r="WX50" s="2">
        <v>18</v>
      </c>
      <c r="WY50" s="3" t="s">
        <v>1251</v>
      </c>
      <c r="WZ50" s="2">
        <f t="shared" si="808"/>
        <v>45</v>
      </c>
      <c r="XA50" s="2">
        <f t="shared" si="341"/>
        <v>48</v>
      </c>
      <c r="XB50" s="2">
        <v>4</v>
      </c>
      <c r="XC50" s="255" t="str">
        <f t="shared" si="342"/>
        <v/>
      </c>
      <c r="XD50" s="255"/>
      <c r="XE50" s="324" t="str">
        <f t="shared" ref="XE50" si="900">CONCATENATE(TEXT(HEX2DEC(SUBSTITUTE(MID(XC50,1,6)," ","")),"0000"),"/",TEXT(HEX2DEC(SUBSTITUTE(MID(XC50,7,3)," ","")),"00"),"/",TEXT(HEX2DEC(SUBSTITUTE(MID(XC50,10,3)," ","")),"00"))</f>
        <v>0000/00/00</v>
      </c>
      <c r="XF50" s="352"/>
      <c r="XG50" s="353"/>
      <c r="XH50" s="2">
        <v>18</v>
      </c>
      <c r="XI50" s="3" t="s">
        <v>1251</v>
      </c>
      <c r="XJ50" s="2">
        <f t="shared" si="809"/>
        <v>45</v>
      </c>
      <c r="XK50" s="2">
        <f t="shared" si="345"/>
        <v>48</v>
      </c>
      <c r="XL50" s="2">
        <v>4</v>
      </c>
      <c r="XM50" s="255" t="str">
        <f t="shared" si="346"/>
        <v/>
      </c>
      <c r="XN50" s="255"/>
      <c r="XO50" s="324" t="str">
        <f t="shared" ref="XO50" si="901">CONCATENATE(TEXT(HEX2DEC(SUBSTITUTE(MID(XM50,1,6)," ","")),"0000"),"/",TEXT(HEX2DEC(SUBSTITUTE(MID(XM50,7,3)," ","")),"00"),"/",TEXT(HEX2DEC(SUBSTITUTE(MID(XM50,10,3)," ","")),"00"))</f>
        <v>0000/00/00</v>
      </c>
      <c r="XP50" s="352"/>
      <c r="XQ50" s="353"/>
      <c r="XR50" s="2">
        <v>18</v>
      </c>
      <c r="XS50" s="3" t="s">
        <v>1251</v>
      </c>
      <c r="XT50" s="2">
        <f t="shared" si="810"/>
        <v>45</v>
      </c>
      <c r="XU50" s="2">
        <f t="shared" si="349"/>
        <v>48</v>
      </c>
      <c r="XV50" s="2">
        <v>4</v>
      </c>
      <c r="XW50" s="255" t="str">
        <f t="shared" si="350"/>
        <v/>
      </c>
      <c r="XX50" s="255"/>
      <c r="XY50" s="324" t="str">
        <f t="shared" ref="XY50" si="902">CONCATENATE(TEXT(HEX2DEC(SUBSTITUTE(MID(XW50,1,6)," ","")),"0000"),"/",TEXT(HEX2DEC(SUBSTITUTE(MID(XW50,7,3)," ","")),"00"),"/",TEXT(HEX2DEC(SUBSTITUTE(MID(XW50,10,3)," ","")),"00"))</f>
        <v>0000/00/00</v>
      </c>
      <c r="XZ50" s="352"/>
      <c r="YA50" s="353"/>
      <c r="YB50" s="2">
        <v>18</v>
      </c>
      <c r="YC50" s="3" t="s">
        <v>1251</v>
      </c>
      <c r="YD50" s="2">
        <f t="shared" si="811"/>
        <v>45</v>
      </c>
      <c r="YE50" s="2">
        <f t="shared" si="353"/>
        <v>48</v>
      </c>
      <c r="YF50" s="2">
        <v>4</v>
      </c>
      <c r="YG50" s="255" t="str">
        <f t="shared" si="354"/>
        <v/>
      </c>
      <c r="YH50" s="255"/>
      <c r="YI50" s="324" t="str">
        <f t="shared" ref="YI50" si="903">CONCATENATE(TEXT(HEX2DEC(SUBSTITUTE(MID(YG50,1,6)," ","")),"0000"),"/",TEXT(HEX2DEC(SUBSTITUTE(MID(YG50,7,3)," ","")),"00"),"/",TEXT(HEX2DEC(SUBSTITUTE(MID(YG50,10,3)," ","")),"00"))</f>
        <v>0000/00/00</v>
      </c>
      <c r="YJ50" s="352"/>
      <c r="YK50" s="353"/>
      <c r="YL50" s="2">
        <v>18</v>
      </c>
      <c r="YM50" s="3" t="s">
        <v>1251</v>
      </c>
      <c r="YN50" s="2">
        <f t="shared" si="812"/>
        <v>45</v>
      </c>
      <c r="YO50" s="2">
        <f t="shared" si="357"/>
        <v>48</v>
      </c>
      <c r="YP50" s="2">
        <v>4</v>
      </c>
      <c r="YQ50" s="255" t="str">
        <f t="shared" si="358"/>
        <v/>
      </c>
      <c r="YR50" s="255"/>
      <c r="YS50" s="324" t="str">
        <f t="shared" ref="YS50" si="904">CONCATENATE(TEXT(HEX2DEC(SUBSTITUTE(MID(YQ50,1,6)," ","")),"0000"),"/",TEXT(HEX2DEC(SUBSTITUTE(MID(YQ50,7,3)," ","")),"00"),"/",TEXT(HEX2DEC(SUBSTITUTE(MID(YQ50,10,3)," ","")),"00"))</f>
        <v>0000/00/00</v>
      </c>
      <c r="YT50" s="352"/>
      <c r="YU50" s="353"/>
      <c r="YV50" s="2">
        <v>18</v>
      </c>
      <c r="YW50" s="3" t="s">
        <v>1251</v>
      </c>
      <c r="YX50" s="2">
        <f t="shared" si="813"/>
        <v>45</v>
      </c>
      <c r="YY50" s="2">
        <f t="shared" si="361"/>
        <v>48</v>
      </c>
      <c r="YZ50" s="2">
        <v>4</v>
      </c>
      <c r="ZA50" s="255" t="str">
        <f t="shared" si="362"/>
        <v/>
      </c>
      <c r="ZB50" s="255"/>
      <c r="ZC50" s="324" t="str">
        <f t="shared" ref="ZC50" si="905">CONCATENATE(TEXT(HEX2DEC(SUBSTITUTE(MID(ZA50,1,6)," ","")),"0000"),"/",TEXT(HEX2DEC(SUBSTITUTE(MID(ZA50,7,3)," ","")),"00"),"/",TEXT(HEX2DEC(SUBSTITUTE(MID(ZA50,10,3)," ","")),"00"))</f>
        <v>0000/00/00</v>
      </c>
      <c r="ZD50" s="352"/>
      <c r="ZE50" s="353"/>
      <c r="ZF50" s="2">
        <v>18</v>
      </c>
      <c r="ZG50" s="3" t="s">
        <v>1251</v>
      </c>
      <c r="ZH50" s="2">
        <f t="shared" si="814"/>
        <v>45</v>
      </c>
      <c r="ZI50" s="2">
        <f t="shared" si="365"/>
        <v>48</v>
      </c>
      <c r="ZJ50" s="2">
        <v>4</v>
      </c>
      <c r="ZK50" s="255" t="str">
        <f t="shared" si="366"/>
        <v/>
      </c>
      <c r="ZL50" s="255"/>
      <c r="ZM50" s="324" t="str">
        <f t="shared" ref="ZM50" si="906">CONCATENATE(TEXT(HEX2DEC(SUBSTITUTE(MID(ZK50,1,6)," ","")),"0000"),"/",TEXT(HEX2DEC(SUBSTITUTE(MID(ZK50,7,3)," ","")),"00"),"/",TEXT(HEX2DEC(SUBSTITUTE(MID(ZK50,10,3)," ","")),"00"))</f>
        <v>0000/00/00</v>
      </c>
      <c r="ZN50" s="352"/>
      <c r="ZO50" s="353"/>
      <c r="ZP50" s="2">
        <v>18</v>
      </c>
      <c r="ZQ50" s="3" t="s">
        <v>1251</v>
      </c>
      <c r="ZR50" s="2">
        <f t="shared" si="815"/>
        <v>45</v>
      </c>
      <c r="ZS50" s="2">
        <f t="shared" si="369"/>
        <v>48</v>
      </c>
      <c r="ZT50" s="2">
        <v>4</v>
      </c>
      <c r="ZU50" s="255" t="str">
        <f t="shared" si="370"/>
        <v/>
      </c>
      <c r="ZV50" s="255"/>
      <c r="ZW50" s="324" t="str">
        <f t="shared" ref="ZW50" si="907">CONCATENATE(TEXT(HEX2DEC(SUBSTITUTE(MID(ZU50,1,6)," ","")),"0000"),"/",TEXT(HEX2DEC(SUBSTITUTE(MID(ZU50,7,3)," ","")),"00"),"/",TEXT(HEX2DEC(SUBSTITUTE(MID(ZU50,10,3)," ","")),"00"))</f>
        <v>0000/00/00</v>
      </c>
      <c r="ZX50" s="352"/>
      <c r="ZY50" s="353"/>
      <c r="ZZ50" s="2">
        <v>18</v>
      </c>
      <c r="AAA50" s="3" t="s">
        <v>1251</v>
      </c>
      <c r="AAB50" s="2">
        <f t="shared" si="816"/>
        <v>45</v>
      </c>
      <c r="AAC50" s="2">
        <f t="shared" si="373"/>
        <v>48</v>
      </c>
      <c r="AAD50" s="2">
        <v>4</v>
      </c>
      <c r="AAE50" s="255" t="str">
        <f t="shared" si="374"/>
        <v/>
      </c>
      <c r="AAF50" s="255"/>
      <c r="AAG50" s="324" t="str">
        <f t="shared" ref="AAG50" si="908">CONCATENATE(TEXT(HEX2DEC(SUBSTITUTE(MID(AAE50,1,6)," ","")),"0000"),"/",TEXT(HEX2DEC(SUBSTITUTE(MID(AAE50,7,3)," ","")),"00"),"/",TEXT(HEX2DEC(SUBSTITUTE(MID(AAE50,10,3)," ","")),"00"))</f>
        <v>0000/00/00</v>
      </c>
      <c r="AAH50" s="352"/>
      <c r="AAI50" s="353"/>
      <c r="AAJ50" s="2">
        <v>18</v>
      </c>
      <c r="AAK50" s="3" t="s">
        <v>1251</v>
      </c>
      <c r="AAL50" s="2">
        <f t="shared" si="817"/>
        <v>45</v>
      </c>
      <c r="AAM50" s="2">
        <f t="shared" si="377"/>
        <v>48</v>
      </c>
      <c r="AAN50" s="2">
        <v>4</v>
      </c>
      <c r="AAO50" s="255" t="str">
        <f t="shared" si="378"/>
        <v/>
      </c>
      <c r="AAP50" s="255"/>
      <c r="AAQ50" s="324" t="str">
        <f t="shared" ref="AAQ50" si="909">CONCATENATE(TEXT(HEX2DEC(SUBSTITUTE(MID(AAO50,1,6)," ","")),"0000"),"/",TEXT(HEX2DEC(SUBSTITUTE(MID(AAO50,7,3)," ","")),"00"),"/",TEXT(HEX2DEC(SUBSTITUTE(MID(AAO50,10,3)," ","")),"00"))</f>
        <v>0000/00/00</v>
      </c>
      <c r="AAR50" s="352"/>
      <c r="AAS50" s="353"/>
      <c r="AAT50" s="2">
        <v>18</v>
      </c>
      <c r="AAU50" s="3" t="s">
        <v>1251</v>
      </c>
      <c r="AAV50" s="2">
        <f t="shared" si="818"/>
        <v>45</v>
      </c>
      <c r="AAW50" s="2">
        <f t="shared" si="381"/>
        <v>48</v>
      </c>
      <c r="AAX50" s="2">
        <v>4</v>
      </c>
      <c r="AAY50" s="255" t="str">
        <f t="shared" si="382"/>
        <v/>
      </c>
      <c r="AAZ50" s="255"/>
      <c r="ABA50" s="324" t="str">
        <f t="shared" ref="ABA50" si="910">CONCATENATE(TEXT(HEX2DEC(SUBSTITUTE(MID(AAY50,1,6)," ","")),"0000"),"/",TEXT(HEX2DEC(SUBSTITUTE(MID(AAY50,7,3)," ","")),"00"),"/",TEXT(HEX2DEC(SUBSTITUTE(MID(AAY50,10,3)," ","")),"00"))</f>
        <v>0000/00/00</v>
      </c>
      <c r="ABB50" s="352"/>
      <c r="ABC50" s="353"/>
      <c r="ABD50" s="2">
        <v>18</v>
      </c>
      <c r="ABE50" s="3" t="s">
        <v>1251</v>
      </c>
      <c r="ABF50" s="2">
        <f t="shared" si="819"/>
        <v>45</v>
      </c>
      <c r="ABG50" s="2">
        <f t="shared" si="385"/>
        <v>48</v>
      </c>
      <c r="ABH50" s="2">
        <v>4</v>
      </c>
      <c r="ABI50" s="255" t="str">
        <f t="shared" si="386"/>
        <v/>
      </c>
      <c r="ABJ50" s="255"/>
      <c r="ABK50" s="324" t="str">
        <f t="shared" ref="ABK50" si="911">CONCATENATE(TEXT(HEX2DEC(SUBSTITUTE(MID(ABI50,1,6)," ","")),"0000"),"/",TEXT(HEX2DEC(SUBSTITUTE(MID(ABI50,7,3)," ","")),"00"),"/",TEXT(HEX2DEC(SUBSTITUTE(MID(ABI50,10,3)," ","")),"00"))</f>
        <v>0000/00/00</v>
      </c>
      <c r="ABL50" s="352"/>
      <c r="ABM50" s="353"/>
      <c r="ABN50" s="2">
        <v>18</v>
      </c>
      <c r="ABO50" s="3" t="s">
        <v>1251</v>
      </c>
      <c r="ABP50" s="2">
        <f t="shared" si="820"/>
        <v>45</v>
      </c>
      <c r="ABQ50" s="2">
        <f t="shared" si="389"/>
        <v>48</v>
      </c>
      <c r="ABR50" s="2">
        <v>4</v>
      </c>
      <c r="ABS50" s="255" t="str">
        <f t="shared" si="390"/>
        <v/>
      </c>
      <c r="ABT50" s="255"/>
      <c r="ABU50" s="324" t="str">
        <f t="shared" ref="ABU50" si="912">CONCATENATE(TEXT(HEX2DEC(SUBSTITUTE(MID(ABS50,1,6)," ","")),"0000"),"/",TEXT(HEX2DEC(SUBSTITUTE(MID(ABS50,7,3)," ","")),"00"),"/",TEXT(HEX2DEC(SUBSTITUTE(MID(ABS50,10,3)," ","")),"00"))</f>
        <v>0000/00/00</v>
      </c>
      <c r="ABV50" s="352"/>
      <c r="ABW50" s="353"/>
      <c r="ABX50" s="2">
        <v>18</v>
      </c>
      <c r="ABY50" s="3" t="s">
        <v>1251</v>
      </c>
      <c r="ABZ50" s="2">
        <f t="shared" si="821"/>
        <v>45</v>
      </c>
      <c r="ACA50" s="2">
        <f t="shared" si="393"/>
        <v>48</v>
      </c>
      <c r="ACB50" s="2">
        <v>4</v>
      </c>
      <c r="ACC50" s="255" t="str">
        <f t="shared" si="394"/>
        <v/>
      </c>
      <c r="ACD50" s="255"/>
      <c r="ACE50" s="324" t="str">
        <f t="shared" ref="ACE50" si="913">CONCATENATE(TEXT(HEX2DEC(SUBSTITUTE(MID(ACC50,1,6)," ","")),"0000"),"/",TEXT(HEX2DEC(SUBSTITUTE(MID(ACC50,7,3)," ","")),"00"),"/",TEXT(HEX2DEC(SUBSTITUTE(MID(ACC50,10,3)," ","")),"00"))</f>
        <v>0000/00/00</v>
      </c>
      <c r="ACF50" s="352"/>
      <c r="ACG50" s="353"/>
      <c r="ACH50" s="2">
        <v>18</v>
      </c>
      <c r="ACI50" s="3" t="s">
        <v>1251</v>
      </c>
      <c r="ACJ50" s="2">
        <f t="shared" si="822"/>
        <v>45</v>
      </c>
      <c r="ACK50" s="2">
        <f t="shared" si="397"/>
        <v>48</v>
      </c>
      <c r="ACL50" s="2">
        <v>4</v>
      </c>
      <c r="ACM50" s="255" t="str">
        <f t="shared" si="398"/>
        <v/>
      </c>
      <c r="ACN50" s="255"/>
      <c r="ACO50" s="324" t="str">
        <f t="shared" ref="ACO50" si="914">CONCATENATE(TEXT(HEX2DEC(SUBSTITUTE(MID(ACM50,1,6)," ","")),"0000"),"/",TEXT(HEX2DEC(SUBSTITUTE(MID(ACM50,7,3)," ","")),"00"),"/",TEXT(HEX2DEC(SUBSTITUTE(MID(ACM50,10,3)," ","")),"00"))</f>
        <v>0000/00/00</v>
      </c>
      <c r="ACP50" s="352"/>
      <c r="ACQ50" s="353"/>
      <c r="ACR50" s="2">
        <v>18</v>
      </c>
      <c r="ACS50" s="3" t="s">
        <v>1251</v>
      </c>
      <c r="ACT50" s="2">
        <f t="shared" si="823"/>
        <v>45</v>
      </c>
      <c r="ACU50" s="2">
        <f t="shared" si="401"/>
        <v>48</v>
      </c>
      <c r="ACV50" s="2">
        <v>4</v>
      </c>
      <c r="ACW50" s="255" t="str">
        <f t="shared" si="402"/>
        <v/>
      </c>
      <c r="ACX50" s="255"/>
      <c r="ACY50" s="324" t="str">
        <f t="shared" ref="ACY50" si="915">CONCATENATE(TEXT(HEX2DEC(SUBSTITUTE(MID(ACW50,1,6)," ","")),"0000"),"/",TEXT(HEX2DEC(SUBSTITUTE(MID(ACW50,7,3)," ","")),"00"),"/",TEXT(HEX2DEC(SUBSTITUTE(MID(ACW50,10,3)," ","")),"00"))</f>
        <v>0000/00/00</v>
      </c>
      <c r="ACZ50" s="352"/>
      <c r="ADA50" s="353"/>
      <c r="ADB50" s="2">
        <v>18</v>
      </c>
      <c r="ADC50" s="3" t="s">
        <v>1251</v>
      </c>
      <c r="ADD50" s="2">
        <f t="shared" si="824"/>
        <v>45</v>
      </c>
      <c r="ADE50" s="2">
        <f t="shared" si="405"/>
        <v>48</v>
      </c>
      <c r="ADF50" s="2">
        <v>4</v>
      </c>
      <c r="ADG50" s="255" t="str">
        <f t="shared" si="406"/>
        <v/>
      </c>
      <c r="ADH50" s="255"/>
      <c r="ADI50" s="324" t="str">
        <f t="shared" ref="ADI50" si="916">CONCATENATE(TEXT(HEX2DEC(SUBSTITUTE(MID(ADG50,1,6)," ","")),"0000"),"/",TEXT(HEX2DEC(SUBSTITUTE(MID(ADG50,7,3)," ","")),"00"),"/",TEXT(HEX2DEC(SUBSTITUTE(MID(ADG50,10,3)," ","")),"00"))</f>
        <v>0000/00/00</v>
      </c>
      <c r="ADJ50" s="352"/>
      <c r="ADK50" s="353"/>
      <c r="ADL50" s="2">
        <v>18</v>
      </c>
      <c r="ADM50" s="3" t="s">
        <v>1251</v>
      </c>
      <c r="ADN50" s="2">
        <f t="shared" si="825"/>
        <v>45</v>
      </c>
      <c r="ADO50" s="2">
        <f t="shared" si="409"/>
        <v>48</v>
      </c>
      <c r="ADP50" s="2">
        <v>4</v>
      </c>
      <c r="ADQ50" s="255" t="str">
        <f t="shared" si="410"/>
        <v/>
      </c>
      <c r="ADR50" s="255"/>
      <c r="ADS50" s="324" t="str">
        <f t="shared" ref="ADS50" si="917">CONCATENATE(TEXT(HEX2DEC(SUBSTITUTE(MID(ADQ50,1,6)," ","")),"0000"),"/",TEXT(HEX2DEC(SUBSTITUTE(MID(ADQ50,7,3)," ","")),"00"),"/",TEXT(HEX2DEC(SUBSTITUTE(MID(ADQ50,10,3)," ","")),"00"))</f>
        <v>0000/00/00</v>
      </c>
      <c r="ADT50" s="352"/>
      <c r="ADU50" s="353"/>
      <c r="ADV50" s="2">
        <v>18</v>
      </c>
      <c r="ADW50" s="3" t="s">
        <v>1251</v>
      </c>
      <c r="ADX50" s="2">
        <f t="shared" si="826"/>
        <v>45</v>
      </c>
      <c r="ADY50" s="2">
        <f t="shared" si="413"/>
        <v>48</v>
      </c>
      <c r="ADZ50" s="2">
        <v>4</v>
      </c>
      <c r="AEA50" s="255" t="str">
        <f t="shared" si="414"/>
        <v/>
      </c>
      <c r="AEB50" s="255"/>
      <c r="AEC50" s="324" t="str">
        <f t="shared" ref="AEC50" si="918">CONCATENATE(TEXT(HEX2DEC(SUBSTITUTE(MID(AEA50,1,6)," ","")),"0000"),"/",TEXT(HEX2DEC(SUBSTITUTE(MID(AEA50,7,3)," ","")),"00"),"/",TEXT(HEX2DEC(SUBSTITUTE(MID(AEA50,10,3)," ","")),"00"))</f>
        <v>0000/00/00</v>
      </c>
      <c r="AED50" s="352"/>
      <c r="AEE50" s="353"/>
      <c r="AEF50" s="2">
        <v>18</v>
      </c>
      <c r="AEG50" s="3" t="s">
        <v>1251</v>
      </c>
      <c r="AEH50" s="2">
        <f t="shared" si="827"/>
        <v>45</v>
      </c>
      <c r="AEI50" s="2">
        <f t="shared" si="417"/>
        <v>48</v>
      </c>
      <c r="AEJ50" s="2">
        <v>4</v>
      </c>
      <c r="AEK50" s="255" t="str">
        <f t="shared" si="418"/>
        <v/>
      </c>
      <c r="AEL50" s="255"/>
      <c r="AEM50" s="324" t="str">
        <f t="shared" ref="AEM50" si="919">CONCATENATE(TEXT(HEX2DEC(SUBSTITUTE(MID(AEK50,1,6)," ","")),"0000"),"/",TEXT(HEX2DEC(SUBSTITUTE(MID(AEK50,7,3)," ","")),"00"),"/",TEXT(HEX2DEC(SUBSTITUTE(MID(AEK50,10,3)," ","")),"00"))</f>
        <v>0000/00/00</v>
      </c>
      <c r="AEN50" s="352"/>
      <c r="AEO50" s="353"/>
      <c r="AEP50" s="2">
        <v>18</v>
      </c>
      <c r="AEQ50" s="3" t="s">
        <v>1251</v>
      </c>
      <c r="AER50" s="2">
        <f t="shared" si="828"/>
        <v>45</v>
      </c>
      <c r="AES50" s="2">
        <f t="shared" si="421"/>
        <v>48</v>
      </c>
      <c r="AET50" s="2">
        <v>4</v>
      </c>
      <c r="AEU50" s="255" t="str">
        <f t="shared" si="422"/>
        <v/>
      </c>
      <c r="AEV50" s="255"/>
      <c r="AEW50" s="324" t="str">
        <f t="shared" ref="AEW50" si="920">CONCATENATE(TEXT(HEX2DEC(SUBSTITUTE(MID(AEU50,1,6)," ","")),"0000"),"/",TEXT(HEX2DEC(SUBSTITUTE(MID(AEU50,7,3)," ","")),"00"),"/",TEXT(HEX2DEC(SUBSTITUTE(MID(AEU50,10,3)," ","")),"00"))</f>
        <v>0000/00/00</v>
      </c>
      <c r="AEX50" s="352"/>
      <c r="AEY50" s="353"/>
      <c r="AEZ50" s="2">
        <v>18</v>
      </c>
      <c r="AFA50" s="3" t="s">
        <v>1251</v>
      </c>
      <c r="AFB50" s="2">
        <f t="shared" si="829"/>
        <v>45</v>
      </c>
      <c r="AFC50" s="2">
        <f t="shared" si="425"/>
        <v>48</v>
      </c>
      <c r="AFD50" s="2">
        <v>4</v>
      </c>
      <c r="AFE50" s="255" t="str">
        <f t="shared" si="426"/>
        <v/>
      </c>
      <c r="AFF50" s="255"/>
      <c r="AFG50" s="324" t="str">
        <f t="shared" ref="AFG50" si="921">CONCATENATE(TEXT(HEX2DEC(SUBSTITUTE(MID(AFE50,1,6)," ","")),"0000"),"/",TEXT(HEX2DEC(SUBSTITUTE(MID(AFE50,7,3)," ","")),"00"),"/",TEXT(HEX2DEC(SUBSTITUTE(MID(AFE50,10,3)," ","")),"00"))</f>
        <v>0000/00/00</v>
      </c>
      <c r="AFH50" s="352"/>
      <c r="AFI50" s="353"/>
      <c r="AFJ50" s="2">
        <v>18</v>
      </c>
      <c r="AFK50" s="3" t="s">
        <v>1251</v>
      </c>
      <c r="AFL50" s="2">
        <f t="shared" si="830"/>
        <v>45</v>
      </c>
      <c r="AFM50" s="2">
        <f t="shared" si="429"/>
        <v>48</v>
      </c>
      <c r="AFN50" s="2">
        <v>4</v>
      </c>
      <c r="AFO50" s="255" t="str">
        <f t="shared" si="430"/>
        <v/>
      </c>
      <c r="AFP50" s="255"/>
      <c r="AFQ50" s="324" t="str">
        <f t="shared" ref="AFQ50" si="922">CONCATENATE(TEXT(HEX2DEC(SUBSTITUTE(MID(AFO50,1,6)," ","")),"0000"),"/",TEXT(HEX2DEC(SUBSTITUTE(MID(AFO50,7,3)," ","")),"00"),"/",TEXT(HEX2DEC(SUBSTITUTE(MID(AFO50,10,3)," ","")),"00"))</f>
        <v>0000/00/00</v>
      </c>
      <c r="AFR50" s="352"/>
      <c r="AFS50" s="353"/>
      <c r="AFT50" s="2">
        <v>18</v>
      </c>
      <c r="AFU50" s="3" t="s">
        <v>1251</v>
      </c>
      <c r="AFV50" s="2">
        <f t="shared" si="831"/>
        <v>45</v>
      </c>
      <c r="AFW50" s="2">
        <f t="shared" si="433"/>
        <v>48</v>
      </c>
      <c r="AFX50" s="2">
        <v>4</v>
      </c>
      <c r="AFY50" s="255" t="str">
        <f t="shared" si="434"/>
        <v/>
      </c>
      <c r="AFZ50" s="255"/>
      <c r="AGA50" s="324" t="str">
        <f t="shared" ref="AGA50" si="923">CONCATENATE(TEXT(HEX2DEC(SUBSTITUTE(MID(AFY50,1,6)," ","")),"0000"),"/",TEXT(HEX2DEC(SUBSTITUTE(MID(AFY50,7,3)," ","")),"00"),"/",TEXT(HEX2DEC(SUBSTITUTE(MID(AFY50,10,3)," ","")),"00"))</f>
        <v>0000/00/00</v>
      </c>
      <c r="AGB50" s="352"/>
      <c r="AGC50" s="353"/>
      <c r="AGD50" s="2">
        <v>18</v>
      </c>
      <c r="AGE50" s="3" t="s">
        <v>1251</v>
      </c>
      <c r="AGF50" s="2">
        <f t="shared" si="832"/>
        <v>45</v>
      </c>
      <c r="AGG50" s="2">
        <f t="shared" si="437"/>
        <v>48</v>
      </c>
      <c r="AGH50" s="2">
        <v>4</v>
      </c>
      <c r="AGI50" s="255" t="str">
        <f t="shared" si="438"/>
        <v/>
      </c>
      <c r="AGJ50" s="255"/>
      <c r="AGK50" s="324" t="str">
        <f t="shared" ref="AGK50" si="924">CONCATENATE(TEXT(HEX2DEC(SUBSTITUTE(MID(AGI50,1,6)," ","")),"0000"),"/",TEXT(HEX2DEC(SUBSTITUTE(MID(AGI50,7,3)," ","")),"00"),"/",TEXT(HEX2DEC(SUBSTITUTE(MID(AGI50,10,3)," ","")),"00"))</f>
        <v>0000/00/00</v>
      </c>
      <c r="AGL50" s="352"/>
      <c r="AGM50" s="353"/>
      <c r="AGN50" s="2">
        <v>18</v>
      </c>
      <c r="AGO50" s="3" t="s">
        <v>1251</v>
      </c>
      <c r="AGP50" s="2">
        <f t="shared" si="833"/>
        <v>45</v>
      </c>
      <c r="AGQ50" s="2">
        <f t="shared" si="441"/>
        <v>48</v>
      </c>
      <c r="AGR50" s="2">
        <v>4</v>
      </c>
      <c r="AGS50" s="255" t="str">
        <f t="shared" si="442"/>
        <v/>
      </c>
      <c r="AGT50" s="255"/>
      <c r="AGU50" s="324" t="str">
        <f t="shared" ref="AGU50" si="925">CONCATENATE(TEXT(HEX2DEC(SUBSTITUTE(MID(AGS50,1,6)," ","")),"0000"),"/",TEXT(HEX2DEC(SUBSTITUTE(MID(AGS50,7,3)," ","")),"00"),"/",TEXT(HEX2DEC(SUBSTITUTE(MID(AGS50,10,3)," ","")),"00"))</f>
        <v>0000/00/00</v>
      </c>
      <c r="AGV50" s="352"/>
      <c r="AGW50" s="353"/>
      <c r="AGX50" s="2">
        <v>18</v>
      </c>
      <c r="AGY50" s="3" t="s">
        <v>1251</v>
      </c>
      <c r="AGZ50" s="2">
        <f t="shared" si="834"/>
        <v>45</v>
      </c>
      <c r="AHA50" s="2">
        <f t="shared" si="445"/>
        <v>48</v>
      </c>
      <c r="AHB50" s="2">
        <v>4</v>
      </c>
      <c r="AHC50" s="255" t="str">
        <f t="shared" si="446"/>
        <v/>
      </c>
      <c r="AHD50" s="255"/>
      <c r="AHE50" s="324" t="str">
        <f t="shared" ref="AHE50" si="926">CONCATENATE(TEXT(HEX2DEC(SUBSTITUTE(MID(AHC50,1,6)," ","")),"0000"),"/",TEXT(HEX2DEC(SUBSTITUTE(MID(AHC50,7,3)," ","")),"00"),"/",TEXT(HEX2DEC(SUBSTITUTE(MID(AHC50,10,3)," ","")),"00"))</f>
        <v>0000/00/00</v>
      </c>
      <c r="AHF50" s="352"/>
      <c r="AHG50" s="353"/>
      <c r="AHH50" s="2">
        <v>18</v>
      </c>
      <c r="AHI50" s="3" t="s">
        <v>1251</v>
      </c>
      <c r="AHJ50" s="2">
        <f t="shared" si="835"/>
        <v>45</v>
      </c>
      <c r="AHK50" s="2">
        <f t="shared" si="449"/>
        <v>48</v>
      </c>
      <c r="AHL50" s="2">
        <v>4</v>
      </c>
      <c r="AHM50" s="255" t="str">
        <f t="shared" si="450"/>
        <v/>
      </c>
      <c r="AHN50" s="255"/>
      <c r="AHO50" s="324" t="str">
        <f t="shared" ref="AHO50" si="927">CONCATENATE(TEXT(HEX2DEC(SUBSTITUTE(MID(AHM50,1,6)," ","")),"0000"),"/",TEXT(HEX2DEC(SUBSTITUTE(MID(AHM50,7,3)," ","")),"00"),"/",TEXT(HEX2DEC(SUBSTITUTE(MID(AHM50,10,3)," ","")),"00"))</f>
        <v>0000/00/00</v>
      </c>
      <c r="AHP50" s="352"/>
      <c r="AHQ50" s="353"/>
      <c r="AHR50" s="2">
        <v>18</v>
      </c>
      <c r="AHS50" s="3" t="s">
        <v>1251</v>
      </c>
      <c r="AHT50" s="2">
        <f t="shared" si="836"/>
        <v>45</v>
      </c>
      <c r="AHU50" s="2">
        <f t="shared" si="453"/>
        <v>48</v>
      </c>
      <c r="AHV50" s="2">
        <v>4</v>
      </c>
      <c r="AHW50" s="255" t="str">
        <f t="shared" si="454"/>
        <v/>
      </c>
      <c r="AHX50" s="255"/>
      <c r="AHY50" s="324" t="str">
        <f t="shared" ref="AHY50" si="928">CONCATENATE(TEXT(HEX2DEC(SUBSTITUTE(MID(AHW50,1,6)," ","")),"0000"),"/",TEXT(HEX2DEC(SUBSTITUTE(MID(AHW50,7,3)," ","")),"00"),"/",TEXT(HEX2DEC(SUBSTITUTE(MID(AHW50,10,3)," ","")),"00"))</f>
        <v>0000/00/00</v>
      </c>
      <c r="AHZ50" s="352"/>
      <c r="AIA50" s="353"/>
      <c r="AIB50" s="2">
        <v>18</v>
      </c>
      <c r="AIC50" s="3" t="s">
        <v>1251</v>
      </c>
      <c r="AID50" s="2">
        <f t="shared" si="837"/>
        <v>45</v>
      </c>
      <c r="AIE50" s="2">
        <f t="shared" si="457"/>
        <v>48</v>
      </c>
      <c r="AIF50" s="2">
        <v>4</v>
      </c>
      <c r="AIG50" s="255" t="str">
        <f t="shared" si="458"/>
        <v/>
      </c>
      <c r="AIH50" s="255"/>
      <c r="AII50" s="324" t="str">
        <f t="shared" ref="AII50" si="929">CONCATENATE(TEXT(HEX2DEC(SUBSTITUTE(MID(AIG50,1,6)," ","")),"0000"),"/",TEXT(HEX2DEC(SUBSTITUTE(MID(AIG50,7,3)," ","")),"00"),"/",TEXT(HEX2DEC(SUBSTITUTE(MID(AIG50,10,3)," ","")),"00"))</f>
        <v>0000/00/00</v>
      </c>
      <c r="AIJ50" s="352"/>
      <c r="AIK50" s="353"/>
      <c r="AIL50" s="2">
        <v>18</v>
      </c>
      <c r="AIM50" s="3" t="s">
        <v>1251</v>
      </c>
      <c r="AIN50" s="2">
        <f t="shared" si="838"/>
        <v>45</v>
      </c>
      <c r="AIO50" s="2">
        <f t="shared" si="461"/>
        <v>48</v>
      </c>
      <c r="AIP50" s="2">
        <v>4</v>
      </c>
      <c r="AIQ50" s="255" t="str">
        <f t="shared" si="462"/>
        <v/>
      </c>
      <c r="AIR50" s="255"/>
      <c r="AIS50" s="324" t="str">
        <f t="shared" ref="AIS50" si="930">CONCATENATE(TEXT(HEX2DEC(SUBSTITUTE(MID(AIQ50,1,6)," ","")),"0000"),"/",TEXT(HEX2DEC(SUBSTITUTE(MID(AIQ50,7,3)," ","")),"00"),"/",TEXT(HEX2DEC(SUBSTITUTE(MID(AIQ50,10,3)," ","")),"00"))</f>
        <v>0000/00/00</v>
      </c>
      <c r="AIT50" s="352"/>
      <c r="AIU50" s="353"/>
      <c r="AIV50" s="2">
        <v>18</v>
      </c>
      <c r="AIW50" s="3" t="s">
        <v>1251</v>
      </c>
      <c r="AIX50" s="2">
        <f t="shared" si="839"/>
        <v>45</v>
      </c>
      <c r="AIY50" s="2">
        <f t="shared" si="465"/>
        <v>48</v>
      </c>
      <c r="AIZ50" s="2">
        <v>4</v>
      </c>
      <c r="AJA50" s="255" t="str">
        <f t="shared" si="466"/>
        <v/>
      </c>
      <c r="AJB50" s="255"/>
      <c r="AJC50" s="324" t="str">
        <f t="shared" ref="AJC50" si="931">CONCATENATE(TEXT(HEX2DEC(SUBSTITUTE(MID(AJA50,1,6)," ","")),"0000"),"/",TEXT(HEX2DEC(SUBSTITUTE(MID(AJA50,7,3)," ","")),"00"),"/",TEXT(HEX2DEC(SUBSTITUTE(MID(AJA50,10,3)," ","")),"00"))</f>
        <v>0000/00/00</v>
      </c>
      <c r="AJD50" s="352"/>
    </row>
    <row r="51" spans="1:940">
      <c r="A51" s="366"/>
      <c r="B51" s="2">
        <v>20</v>
      </c>
      <c r="C51" s="3" t="s">
        <v>1252</v>
      </c>
      <c r="D51" s="2">
        <f t="shared" si="561"/>
        <v>49</v>
      </c>
      <c r="E51" s="2">
        <f t="shared" si="563"/>
        <v>51</v>
      </c>
      <c r="F51" s="2">
        <v>3</v>
      </c>
      <c r="G51" s="255" t="str">
        <f t="shared" si="468"/>
        <v/>
      </c>
      <c r="H51" s="255"/>
      <c r="I51" s="231" t="str">
        <f>CONCATENATE(IF(HEX2DEC(SUBSTITUTE(MID(G51,1,3)," ",""))&lt;10,CONCATENATE("0",HEX2DEC(SUBSTITUTE(MID(G51,1,3)," ",""))),HEX2DEC(SUBSTITUTE(MID(G51,1,3)," ",""))),":",IF(HEX2DEC(SUBSTITUTE(MID(G51,4,3)," ",""))&lt;10,CONCATENATE("0",HEX2DEC(SUBSTITUTE(MID(G51,4,3)," ",""))),HEX2DEC(SUBSTITUTE(MID(G51,4,3)," ",""))),":",IF(HEX2DEC(SUBSTITUTE(MID(G51,7,3)," ",""))&lt;10,CONCATENATE("0",HEX2DEC(SUBSTITUTE(MID(G51,7,3)," ",""))),HEX2DEC(SUBSTITUTE(MID(G51,7,3)," ",""))))</f>
        <v>00:00:00</v>
      </c>
      <c r="J51" s="205"/>
      <c r="K51" s="353"/>
      <c r="L51" s="2">
        <v>19</v>
      </c>
      <c r="M51" s="3" t="s">
        <v>1252</v>
      </c>
      <c r="N51" s="2">
        <f t="shared" si="562"/>
        <v>49</v>
      </c>
      <c r="O51" s="2">
        <f t="shared" si="97"/>
        <v>51</v>
      </c>
      <c r="P51" s="2">
        <v>3</v>
      </c>
      <c r="Q51" s="255" t="str">
        <f t="shared" si="98"/>
        <v/>
      </c>
      <c r="R51" s="255"/>
      <c r="S51" s="231" t="str">
        <f>CONCATENATE(IF(HEX2DEC(SUBSTITUTE(MID(Q51,1,3)," ",""))&lt;10,CONCATENATE("0",HEX2DEC(SUBSTITUTE(MID(Q51,1,3)," ",""))),HEX2DEC(SUBSTITUTE(MID(Q51,1,3)," ",""))),":",IF(HEX2DEC(SUBSTITUTE(MID(Q51,4,3)," ",""))&lt;10,CONCATENATE("0",HEX2DEC(SUBSTITUTE(MID(Q51,4,3)," ",""))),HEX2DEC(SUBSTITUTE(MID(Q51,4,3)," ",""))),":",IF(HEX2DEC(SUBSTITUTE(MID(Q51,7,3)," ",""))&lt;10,CONCATENATE("0",HEX2DEC(SUBSTITUTE(MID(Q51,7,3)," ",""))),HEX2DEC(SUBSTITUTE(MID(Q51,7,3)," ",""))))</f>
        <v>00:00:00</v>
      </c>
      <c r="T51" s="344"/>
      <c r="U51" s="353"/>
      <c r="V51" s="2">
        <v>19</v>
      </c>
      <c r="W51" s="3" t="s">
        <v>1252</v>
      </c>
      <c r="X51" s="2">
        <f t="shared" si="748"/>
        <v>49</v>
      </c>
      <c r="Y51" s="2">
        <f t="shared" si="101"/>
        <v>51</v>
      </c>
      <c r="Z51" s="2">
        <v>3</v>
      </c>
      <c r="AA51" s="255" t="str">
        <f t="shared" si="102"/>
        <v/>
      </c>
      <c r="AB51" s="255"/>
      <c r="AC51" s="231" t="str">
        <f t="shared" ref="AC51" si="932">CONCATENATE(IF(HEX2DEC(SUBSTITUTE(MID(AA51,1,3)," ",""))&lt;10,CONCATENATE("0",HEX2DEC(SUBSTITUTE(MID(AA51,1,3)," ",""))),HEX2DEC(SUBSTITUTE(MID(AA51,1,3)," ",""))),":",IF(HEX2DEC(SUBSTITUTE(MID(AA51,4,3)," ",""))&lt;10,CONCATENATE("0",HEX2DEC(SUBSTITUTE(MID(AA51,4,3)," ",""))),HEX2DEC(SUBSTITUTE(MID(AA51,4,3)," ",""))),":",IF(HEX2DEC(SUBSTITUTE(MID(AA51,7,3)," ",""))&lt;10,CONCATENATE("0",HEX2DEC(SUBSTITUTE(MID(AA51,7,3)," ",""))),HEX2DEC(SUBSTITUTE(MID(AA51,7,3)," ",""))))</f>
        <v>00:00:00</v>
      </c>
      <c r="AD51" s="344"/>
      <c r="AE51" s="353"/>
      <c r="AF51" s="2">
        <v>19</v>
      </c>
      <c r="AG51" s="3" t="s">
        <v>1252</v>
      </c>
      <c r="AH51" s="2">
        <f t="shared" si="749"/>
        <v>49</v>
      </c>
      <c r="AI51" s="2">
        <f t="shared" si="105"/>
        <v>51</v>
      </c>
      <c r="AJ51" s="2">
        <v>3</v>
      </c>
      <c r="AK51" s="255" t="str">
        <f t="shared" si="106"/>
        <v/>
      </c>
      <c r="AL51" s="255"/>
      <c r="AM51" s="231" t="str">
        <f t="shared" ref="AM51" si="933">CONCATENATE(IF(HEX2DEC(SUBSTITUTE(MID(AK51,1,3)," ",""))&lt;10,CONCATENATE("0",HEX2DEC(SUBSTITUTE(MID(AK51,1,3)," ",""))),HEX2DEC(SUBSTITUTE(MID(AK51,1,3)," ",""))),":",IF(HEX2DEC(SUBSTITUTE(MID(AK51,4,3)," ",""))&lt;10,CONCATENATE("0",HEX2DEC(SUBSTITUTE(MID(AK51,4,3)," ",""))),HEX2DEC(SUBSTITUTE(MID(AK51,4,3)," ",""))),":",IF(HEX2DEC(SUBSTITUTE(MID(AK51,7,3)," ",""))&lt;10,CONCATENATE("0",HEX2DEC(SUBSTITUTE(MID(AK51,7,3)," ",""))),HEX2DEC(SUBSTITUTE(MID(AK51,7,3)," ",""))))</f>
        <v>00:00:00</v>
      </c>
      <c r="AN51" s="344"/>
      <c r="AO51" s="353"/>
      <c r="AP51" s="2">
        <v>19</v>
      </c>
      <c r="AQ51" s="3" t="s">
        <v>1252</v>
      </c>
      <c r="AR51" s="2">
        <f t="shared" si="750"/>
        <v>49</v>
      </c>
      <c r="AS51" s="2">
        <f t="shared" si="109"/>
        <v>51</v>
      </c>
      <c r="AT51" s="2">
        <v>3</v>
      </c>
      <c r="AU51" s="255" t="str">
        <f t="shared" si="110"/>
        <v/>
      </c>
      <c r="AV51" s="255"/>
      <c r="AW51" s="231" t="str">
        <f t="shared" ref="AW51" si="934">CONCATENATE(IF(HEX2DEC(SUBSTITUTE(MID(AU51,1,3)," ",""))&lt;10,CONCATENATE("0",HEX2DEC(SUBSTITUTE(MID(AU51,1,3)," ",""))),HEX2DEC(SUBSTITUTE(MID(AU51,1,3)," ",""))),":",IF(HEX2DEC(SUBSTITUTE(MID(AU51,4,3)," ",""))&lt;10,CONCATENATE("0",HEX2DEC(SUBSTITUTE(MID(AU51,4,3)," ",""))),HEX2DEC(SUBSTITUTE(MID(AU51,4,3)," ",""))),":",IF(HEX2DEC(SUBSTITUTE(MID(AU51,7,3)," ",""))&lt;10,CONCATENATE("0",HEX2DEC(SUBSTITUTE(MID(AU51,7,3)," ",""))),HEX2DEC(SUBSTITUTE(MID(AU51,7,3)," ",""))))</f>
        <v>00:00:00</v>
      </c>
      <c r="AX51" s="344"/>
      <c r="AY51" s="353"/>
      <c r="AZ51" s="2">
        <v>19</v>
      </c>
      <c r="BA51" s="3" t="s">
        <v>1252</v>
      </c>
      <c r="BB51" s="2">
        <f t="shared" si="751"/>
        <v>49</v>
      </c>
      <c r="BC51" s="2">
        <f t="shared" si="113"/>
        <v>51</v>
      </c>
      <c r="BD51" s="2">
        <v>3</v>
      </c>
      <c r="BE51" s="255" t="str">
        <f t="shared" si="114"/>
        <v/>
      </c>
      <c r="BF51" s="255"/>
      <c r="BG51" s="231" t="str">
        <f t="shared" ref="BG51" si="935">CONCATENATE(IF(HEX2DEC(SUBSTITUTE(MID(BE51,1,3)," ",""))&lt;10,CONCATENATE("0",HEX2DEC(SUBSTITUTE(MID(BE51,1,3)," ",""))),HEX2DEC(SUBSTITUTE(MID(BE51,1,3)," ",""))),":",IF(HEX2DEC(SUBSTITUTE(MID(BE51,4,3)," ",""))&lt;10,CONCATENATE("0",HEX2DEC(SUBSTITUTE(MID(BE51,4,3)," ",""))),HEX2DEC(SUBSTITUTE(MID(BE51,4,3)," ",""))),":",IF(HEX2DEC(SUBSTITUTE(MID(BE51,7,3)," ",""))&lt;10,CONCATENATE("0",HEX2DEC(SUBSTITUTE(MID(BE51,7,3)," ",""))),HEX2DEC(SUBSTITUTE(MID(BE51,7,3)," ",""))))</f>
        <v>00:00:00</v>
      </c>
      <c r="BH51" s="344"/>
      <c r="BI51" s="353"/>
      <c r="BJ51" s="2">
        <v>19</v>
      </c>
      <c r="BK51" s="3" t="s">
        <v>1252</v>
      </c>
      <c r="BL51" s="2">
        <f t="shared" si="752"/>
        <v>49</v>
      </c>
      <c r="BM51" s="2">
        <f t="shared" si="117"/>
        <v>51</v>
      </c>
      <c r="BN51" s="2">
        <v>3</v>
      </c>
      <c r="BO51" s="255" t="str">
        <f t="shared" si="118"/>
        <v/>
      </c>
      <c r="BP51" s="255"/>
      <c r="BQ51" s="231" t="str">
        <f t="shared" ref="BQ51" si="936">CONCATENATE(IF(HEX2DEC(SUBSTITUTE(MID(BO51,1,3)," ",""))&lt;10,CONCATENATE("0",HEX2DEC(SUBSTITUTE(MID(BO51,1,3)," ",""))),HEX2DEC(SUBSTITUTE(MID(BO51,1,3)," ",""))),":",IF(HEX2DEC(SUBSTITUTE(MID(BO51,4,3)," ",""))&lt;10,CONCATENATE("0",HEX2DEC(SUBSTITUTE(MID(BO51,4,3)," ",""))),HEX2DEC(SUBSTITUTE(MID(BO51,4,3)," ",""))),":",IF(HEX2DEC(SUBSTITUTE(MID(BO51,7,3)," ",""))&lt;10,CONCATENATE("0",HEX2DEC(SUBSTITUTE(MID(BO51,7,3)," ",""))),HEX2DEC(SUBSTITUTE(MID(BO51,7,3)," ",""))))</f>
        <v>00:00:00</v>
      </c>
      <c r="BR51" s="344"/>
      <c r="BS51" s="353"/>
      <c r="BT51" s="2">
        <v>19</v>
      </c>
      <c r="BU51" s="3" t="s">
        <v>1252</v>
      </c>
      <c r="BV51" s="2">
        <f t="shared" si="753"/>
        <v>49</v>
      </c>
      <c r="BW51" s="2">
        <f t="shared" si="121"/>
        <v>51</v>
      </c>
      <c r="BX51" s="2">
        <v>3</v>
      </c>
      <c r="BY51" s="255" t="str">
        <f t="shared" si="122"/>
        <v/>
      </c>
      <c r="BZ51" s="255"/>
      <c r="CA51" s="231" t="str">
        <f t="shared" ref="CA51" si="937">CONCATENATE(IF(HEX2DEC(SUBSTITUTE(MID(BY51,1,3)," ",""))&lt;10,CONCATENATE("0",HEX2DEC(SUBSTITUTE(MID(BY51,1,3)," ",""))),HEX2DEC(SUBSTITUTE(MID(BY51,1,3)," ",""))),":",IF(HEX2DEC(SUBSTITUTE(MID(BY51,4,3)," ",""))&lt;10,CONCATENATE("0",HEX2DEC(SUBSTITUTE(MID(BY51,4,3)," ",""))),HEX2DEC(SUBSTITUTE(MID(BY51,4,3)," ",""))),":",IF(HEX2DEC(SUBSTITUTE(MID(BY51,7,3)," ",""))&lt;10,CONCATENATE("0",HEX2DEC(SUBSTITUTE(MID(BY51,7,3)," ",""))),HEX2DEC(SUBSTITUTE(MID(BY51,7,3)," ",""))))</f>
        <v>00:00:00</v>
      </c>
      <c r="CB51" s="344"/>
      <c r="CC51" s="353"/>
      <c r="CD51" s="2">
        <v>19</v>
      </c>
      <c r="CE51" s="3" t="s">
        <v>1252</v>
      </c>
      <c r="CF51" s="2">
        <f t="shared" si="754"/>
        <v>49</v>
      </c>
      <c r="CG51" s="2">
        <f t="shared" si="125"/>
        <v>51</v>
      </c>
      <c r="CH51" s="2">
        <v>3</v>
      </c>
      <c r="CI51" s="255" t="str">
        <f t="shared" si="126"/>
        <v/>
      </c>
      <c r="CJ51" s="255"/>
      <c r="CK51" s="231" t="str">
        <f t="shared" ref="CK51" si="938">CONCATENATE(IF(HEX2DEC(SUBSTITUTE(MID(CI51,1,3)," ",""))&lt;10,CONCATENATE("0",HEX2DEC(SUBSTITUTE(MID(CI51,1,3)," ",""))),HEX2DEC(SUBSTITUTE(MID(CI51,1,3)," ",""))),":",IF(HEX2DEC(SUBSTITUTE(MID(CI51,4,3)," ",""))&lt;10,CONCATENATE("0",HEX2DEC(SUBSTITUTE(MID(CI51,4,3)," ",""))),HEX2DEC(SUBSTITUTE(MID(CI51,4,3)," ",""))),":",IF(HEX2DEC(SUBSTITUTE(MID(CI51,7,3)," ",""))&lt;10,CONCATENATE("0",HEX2DEC(SUBSTITUTE(MID(CI51,7,3)," ",""))),HEX2DEC(SUBSTITUTE(MID(CI51,7,3)," ",""))))</f>
        <v>00:00:00</v>
      </c>
      <c r="CL51" s="344"/>
      <c r="CM51" s="353"/>
      <c r="CN51" s="2">
        <v>19</v>
      </c>
      <c r="CO51" s="3" t="s">
        <v>1252</v>
      </c>
      <c r="CP51" s="2">
        <f t="shared" si="755"/>
        <v>49</v>
      </c>
      <c r="CQ51" s="2">
        <f t="shared" si="129"/>
        <v>51</v>
      </c>
      <c r="CR51" s="2">
        <v>3</v>
      </c>
      <c r="CS51" s="255" t="str">
        <f t="shared" si="130"/>
        <v/>
      </c>
      <c r="CT51" s="255"/>
      <c r="CU51" s="231" t="str">
        <f t="shared" ref="CU51" si="939">CONCATENATE(IF(HEX2DEC(SUBSTITUTE(MID(CS51,1,3)," ",""))&lt;10,CONCATENATE("0",HEX2DEC(SUBSTITUTE(MID(CS51,1,3)," ",""))),HEX2DEC(SUBSTITUTE(MID(CS51,1,3)," ",""))),":",IF(HEX2DEC(SUBSTITUTE(MID(CS51,4,3)," ",""))&lt;10,CONCATENATE("0",HEX2DEC(SUBSTITUTE(MID(CS51,4,3)," ",""))),HEX2DEC(SUBSTITUTE(MID(CS51,4,3)," ",""))),":",IF(HEX2DEC(SUBSTITUTE(MID(CS51,7,3)," ",""))&lt;10,CONCATENATE("0",HEX2DEC(SUBSTITUTE(MID(CS51,7,3)," ",""))),HEX2DEC(SUBSTITUTE(MID(CS51,7,3)," ",""))))</f>
        <v>00:00:00</v>
      </c>
      <c r="CV51" s="344"/>
      <c r="CW51" s="353"/>
      <c r="CX51" s="2">
        <v>19</v>
      </c>
      <c r="CY51" s="3" t="s">
        <v>1252</v>
      </c>
      <c r="CZ51" s="2">
        <f t="shared" si="756"/>
        <v>49</v>
      </c>
      <c r="DA51" s="2">
        <f t="shared" si="133"/>
        <v>51</v>
      </c>
      <c r="DB51" s="2">
        <v>3</v>
      </c>
      <c r="DC51" s="255" t="str">
        <f t="shared" si="134"/>
        <v/>
      </c>
      <c r="DD51" s="255"/>
      <c r="DE51" s="231" t="str">
        <f t="shared" ref="DE51" si="940">CONCATENATE(IF(HEX2DEC(SUBSTITUTE(MID(DC51,1,3)," ",""))&lt;10,CONCATENATE("0",HEX2DEC(SUBSTITUTE(MID(DC51,1,3)," ",""))),HEX2DEC(SUBSTITUTE(MID(DC51,1,3)," ",""))),":",IF(HEX2DEC(SUBSTITUTE(MID(DC51,4,3)," ",""))&lt;10,CONCATENATE("0",HEX2DEC(SUBSTITUTE(MID(DC51,4,3)," ",""))),HEX2DEC(SUBSTITUTE(MID(DC51,4,3)," ",""))),":",IF(HEX2DEC(SUBSTITUTE(MID(DC51,7,3)," ",""))&lt;10,CONCATENATE("0",HEX2DEC(SUBSTITUTE(MID(DC51,7,3)," ",""))),HEX2DEC(SUBSTITUTE(MID(DC51,7,3)," ",""))))</f>
        <v>00:00:00</v>
      </c>
      <c r="DF51" s="344"/>
      <c r="DG51" s="353"/>
      <c r="DH51" s="2">
        <v>19</v>
      </c>
      <c r="DI51" s="3" t="s">
        <v>1252</v>
      </c>
      <c r="DJ51" s="2">
        <f t="shared" si="757"/>
        <v>49</v>
      </c>
      <c r="DK51" s="2">
        <f t="shared" si="137"/>
        <v>51</v>
      </c>
      <c r="DL51" s="2">
        <v>3</v>
      </c>
      <c r="DM51" s="255" t="str">
        <f t="shared" si="138"/>
        <v/>
      </c>
      <c r="DN51" s="255"/>
      <c r="DO51" s="231" t="str">
        <f t="shared" ref="DO51" si="941">CONCATENATE(IF(HEX2DEC(SUBSTITUTE(MID(DM51,1,3)," ",""))&lt;10,CONCATENATE("0",HEX2DEC(SUBSTITUTE(MID(DM51,1,3)," ",""))),HEX2DEC(SUBSTITUTE(MID(DM51,1,3)," ",""))),":",IF(HEX2DEC(SUBSTITUTE(MID(DM51,4,3)," ",""))&lt;10,CONCATENATE("0",HEX2DEC(SUBSTITUTE(MID(DM51,4,3)," ",""))),HEX2DEC(SUBSTITUTE(MID(DM51,4,3)," ",""))),":",IF(HEX2DEC(SUBSTITUTE(MID(DM51,7,3)," ",""))&lt;10,CONCATENATE("0",HEX2DEC(SUBSTITUTE(MID(DM51,7,3)," ",""))),HEX2DEC(SUBSTITUTE(MID(DM51,7,3)," ",""))))</f>
        <v>00:00:00</v>
      </c>
      <c r="DP51" s="344"/>
      <c r="DQ51" s="353"/>
      <c r="DR51" s="2">
        <v>19</v>
      </c>
      <c r="DS51" s="3" t="s">
        <v>1252</v>
      </c>
      <c r="DT51" s="2">
        <f t="shared" si="758"/>
        <v>49</v>
      </c>
      <c r="DU51" s="2">
        <f t="shared" si="141"/>
        <v>51</v>
      </c>
      <c r="DV51" s="2">
        <v>3</v>
      </c>
      <c r="DW51" s="255" t="str">
        <f t="shared" si="142"/>
        <v/>
      </c>
      <c r="DX51" s="255"/>
      <c r="DY51" s="231" t="str">
        <f t="shared" ref="DY51" si="942">CONCATENATE(IF(HEX2DEC(SUBSTITUTE(MID(DW51,1,3)," ",""))&lt;10,CONCATENATE("0",HEX2DEC(SUBSTITUTE(MID(DW51,1,3)," ",""))),HEX2DEC(SUBSTITUTE(MID(DW51,1,3)," ",""))),":",IF(HEX2DEC(SUBSTITUTE(MID(DW51,4,3)," ",""))&lt;10,CONCATENATE("0",HEX2DEC(SUBSTITUTE(MID(DW51,4,3)," ",""))),HEX2DEC(SUBSTITUTE(MID(DW51,4,3)," ",""))),":",IF(HEX2DEC(SUBSTITUTE(MID(DW51,7,3)," ",""))&lt;10,CONCATENATE("0",HEX2DEC(SUBSTITUTE(MID(DW51,7,3)," ",""))),HEX2DEC(SUBSTITUTE(MID(DW51,7,3)," ",""))))</f>
        <v>00:00:00</v>
      </c>
      <c r="DZ51" s="344"/>
      <c r="EA51" s="353"/>
      <c r="EB51" s="2">
        <v>19</v>
      </c>
      <c r="EC51" s="3" t="s">
        <v>1252</v>
      </c>
      <c r="ED51" s="2">
        <f t="shared" si="759"/>
        <v>49</v>
      </c>
      <c r="EE51" s="2">
        <f t="shared" si="145"/>
        <v>51</v>
      </c>
      <c r="EF51" s="2">
        <v>3</v>
      </c>
      <c r="EG51" s="255" t="str">
        <f t="shared" si="146"/>
        <v/>
      </c>
      <c r="EH51" s="255"/>
      <c r="EI51" s="231" t="str">
        <f t="shared" ref="EI51" si="943">CONCATENATE(IF(HEX2DEC(SUBSTITUTE(MID(EG51,1,3)," ",""))&lt;10,CONCATENATE("0",HEX2DEC(SUBSTITUTE(MID(EG51,1,3)," ",""))),HEX2DEC(SUBSTITUTE(MID(EG51,1,3)," ",""))),":",IF(HEX2DEC(SUBSTITUTE(MID(EG51,4,3)," ",""))&lt;10,CONCATENATE("0",HEX2DEC(SUBSTITUTE(MID(EG51,4,3)," ",""))),HEX2DEC(SUBSTITUTE(MID(EG51,4,3)," ",""))),":",IF(HEX2DEC(SUBSTITUTE(MID(EG51,7,3)," ",""))&lt;10,CONCATENATE("0",HEX2DEC(SUBSTITUTE(MID(EG51,7,3)," ",""))),HEX2DEC(SUBSTITUTE(MID(EG51,7,3)," ",""))))</f>
        <v>00:00:00</v>
      </c>
      <c r="EJ51" s="344"/>
      <c r="EK51" s="353"/>
      <c r="EL51" s="2">
        <v>19</v>
      </c>
      <c r="EM51" s="3" t="s">
        <v>1252</v>
      </c>
      <c r="EN51" s="2">
        <f t="shared" si="760"/>
        <v>49</v>
      </c>
      <c r="EO51" s="2">
        <f t="shared" si="149"/>
        <v>51</v>
      </c>
      <c r="EP51" s="2">
        <v>3</v>
      </c>
      <c r="EQ51" s="255" t="str">
        <f t="shared" si="150"/>
        <v/>
      </c>
      <c r="ER51" s="255"/>
      <c r="ES51" s="231" t="str">
        <f t="shared" ref="ES51" si="944">CONCATENATE(IF(HEX2DEC(SUBSTITUTE(MID(EQ51,1,3)," ",""))&lt;10,CONCATENATE("0",HEX2DEC(SUBSTITUTE(MID(EQ51,1,3)," ",""))),HEX2DEC(SUBSTITUTE(MID(EQ51,1,3)," ",""))),":",IF(HEX2DEC(SUBSTITUTE(MID(EQ51,4,3)," ",""))&lt;10,CONCATENATE("0",HEX2DEC(SUBSTITUTE(MID(EQ51,4,3)," ",""))),HEX2DEC(SUBSTITUTE(MID(EQ51,4,3)," ",""))),":",IF(HEX2DEC(SUBSTITUTE(MID(EQ51,7,3)," ",""))&lt;10,CONCATENATE("0",HEX2DEC(SUBSTITUTE(MID(EQ51,7,3)," ",""))),HEX2DEC(SUBSTITUTE(MID(EQ51,7,3)," ",""))))</f>
        <v>00:00:00</v>
      </c>
      <c r="ET51" s="344"/>
      <c r="EU51" s="353"/>
      <c r="EV51" s="2">
        <v>19</v>
      </c>
      <c r="EW51" s="3" t="s">
        <v>1252</v>
      </c>
      <c r="EX51" s="2">
        <f t="shared" si="761"/>
        <v>49</v>
      </c>
      <c r="EY51" s="2">
        <f t="shared" si="153"/>
        <v>51</v>
      </c>
      <c r="EZ51" s="2">
        <v>3</v>
      </c>
      <c r="FA51" s="255" t="str">
        <f t="shared" si="154"/>
        <v/>
      </c>
      <c r="FB51" s="255"/>
      <c r="FC51" s="231" t="str">
        <f t="shared" ref="FC51" si="945">CONCATENATE(IF(HEX2DEC(SUBSTITUTE(MID(FA51,1,3)," ",""))&lt;10,CONCATENATE("0",HEX2DEC(SUBSTITUTE(MID(FA51,1,3)," ",""))),HEX2DEC(SUBSTITUTE(MID(FA51,1,3)," ",""))),":",IF(HEX2DEC(SUBSTITUTE(MID(FA51,4,3)," ",""))&lt;10,CONCATENATE("0",HEX2DEC(SUBSTITUTE(MID(FA51,4,3)," ",""))),HEX2DEC(SUBSTITUTE(MID(FA51,4,3)," ",""))),":",IF(HEX2DEC(SUBSTITUTE(MID(FA51,7,3)," ",""))&lt;10,CONCATENATE("0",HEX2DEC(SUBSTITUTE(MID(FA51,7,3)," ",""))),HEX2DEC(SUBSTITUTE(MID(FA51,7,3)," ",""))))</f>
        <v>00:00:00</v>
      </c>
      <c r="FD51" s="344"/>
      <c r="FE51" s="353"/>
      <c r="FF51" s="2">
        <v>19</v>
      </c>
      <c r="FG51" s="3" t="s">
        <v>1252</v>
      </c>
      <c r="FH51" s="2">
        <f t="shared" si="762"/>
        <v>49</v>
      </c>
      <c r="FI51" s="2">
        <f t="shared" si="157"/>
        <v>51</v>
      </c>
      <c r="FJ51" s="2">
        <v>3</v>
      </c>
      <c r="FK51" s="255" t="str">
        <f t="shared" si="158"/>
        <v/>
      </c>
      <c r="FL51" s="255"/>
      <c r="FM51" s="231" t="str">
        <f t="shared" ref="FM51" si="946">CONCATENATE(IF(HEX2DEC(SUBSTITUTE(MID(FK51,1,3)," ",""))&lt;10,CONCATENATE("0",HEX2DEC(SUBSTITUTE(MID(FK51,1,3)," ",""))),HEX2DEC(SUBSTITUTE(MID(FK51,1,3)," ",""))),":",IF(HEX2DEC(SUBSTITUTE(MID(FK51,4,3)," ",""))&lt;10,CONCATENATE("0",HEX2DEC(SUBSTITUTE(MID(FK51,4,3)," ",""))),HEX2DEC(SUBSTITUTE(MID(FK51,4,3)," ",""))),":",IF(HEX2DEC(SUBSTITUTE(MID(FK51,7,3)," ",""))&lt;10,CONCATENATE("0",HEX2DEC(SUBSTITUTE(MID(FK51,7,3)," ",""))),HEX2DEC(SUBSTITUTE(MID(FK51,7,3)," ",""))))</f>
        <v>00:00:00</v>
      </c>
      <c r="FN51" s="344"/>
      <c r="FO51" s="353"/>
      <c r="FP51" s="2">
        <v>19</v>
      </c>
      <c r="FQ51" s="3" t="s">
        <v>1252</v>
      </c>
      <c r="FR51" s="2">
        <f t="shared" si="763"/>
        <v>49</v>
      </c>
      <c r="FS51" s="2">
        <f t="shared" si="161"/>
        <v>51</v>
      </c>
      <c r="FT51" s="2">
        <v>3</v>
      </c>
      <c r="FU51" s="255" t="str">
        <f t="shared" si="162"/>
        <v/>
      </c>
      <c r="FV51" s="255"/>
      <c r="FW51" s="231" t="str">
        <f t="shared" ref="FW51" si="947">CONCATENATE(IF(HEX2DEC(SUBSTITUTE(MID(FU51,1,3)," ",""))&lt;10,CONCATENATE("0",HEX2DEC(SUBSTITUTE(MID(FU51,1,3)," ",""))),HEX2DEC(SUBSTITUTE(MID(FU51,1,3)," ",""))),":",IF(HEX2DEC(SUBSTITUTE(MID(FU51,4,3)," ",""))&lt;10,CONCATENATE("0",HEX2DEC(SUBSTITUTE(MID(FU51,4,3)," ",""))),HEX2DEC(SUBSTITUTE(MID(FU51,4,3)," ",""))),":",IF(HEX2DEC(SUBSTITUTE(MID(FU51,7,3)," ",""))&lt;10,CONCATENATE("0",HEX2DEC(SUBSTITUTE(MID(FU51,7,3)," ",""))),HEX2DEC(SUBSTITUTE(MID(FU51,7,3)," ",""))))</f>
        <v>00:00:00</v>
      </c>
      <c r="FX51" s="344"/>
      <c r="FY51" s="353"/>
      <c r="FZ51" s="2">
        <v>19</v>
      </c>
      <c r="GA51" s="3" t="s">
        <v>1252</v>
      </c>
      <c r="GB51" s="2">
        <f t="shared" si="764"/>
        <v>49</v>
      </c>
      <c r="GC51" s="2">
        <f t="shared" si="165"/>
        <v>51</v>
      </c>
      <c r="GD51" s="2">
        <v>3</v>
      </c>
      <c r="GE51" s="255" t="str">
        <f t="shared" si="166"/>
        <v/>
      </c>
      <c r="GF51" s="255"/>
      <c r="GG51" s="231" t="str">
        <f t="shared" ref="GG51" si="948">CONCATENATE(IF(HEX2DEC(SUBSTITUTE(MID(GE51,1,3)," ",""))&lt;10,CONCATENATE("0",HEX2DEC(SUBSTITUTE(MID(GE51,1,3)," ",""))),HEX2DEC(SUBSTITUTE(MID(GE51,1,3)," ",""))),":",IF(HEX2DEC(SUBSTITUTE(MID(GE51,4,3)," ",""))&lt;10,CONCATENATE("0",HEX2DEC(SUBSTITUTE(MID(GE51,4,3)," ",""))),HEX2DEC(SUBSTITUTE(MID(GE51,4,3)," ",""))),":",IF(HEX2DEC(SUBSTITUTE(MID(GE51,7,3)," ",""))&lt;10,CONCATENATE("0",HEX2DEC(SUBSTITUTE(MID(GE51,7,3)," ",""))),HEX2DEC(SUBSTITUTE(MID(GE51,7,3)," ",""))))</f>
        <v>00:00:00</v>
      </c>
      <c r="GH51" s="344"/>
      <c r="GI51" s="353"/>
      <c r="GJ51" s="2">
        <v>19</v>
      </c>
      <c r="GK51" s="3" t="s">
        <v>1252</v>
      </c>
      <c r="GL51" s="2">
        <f t="shared" si="765"/>
        <v>49</v>
      </c>
      <c r="GM51" s="2">
        <f t="shared" si="169"/>
        <v>51</v>
      </c>
      <c r="GN51" s="2">
        <v>3</v>
      </c>
      <c r="GO51" s="255" t="str">
        <f t="shared" si="170"/>
        <v/>
      </c>
      <c r="GP51" s="255"/>
      <c r="GQ51" s="231" t="str">
        <f t="shared" ref="GQ51" si="949">CONCATENATE(IF(HEX2DEC(SUBSTITUTE(MID(GO51,1,3)," ",""))&lt;10,CONCATENATE("0",HEX2DEC(SUBSTITUTE(MID(GO51,1,3)," ",""))),HEX2DEC(SUBSTITUTE(MID(GO51,1,3)," ",""))),":",IF(HEX2DEC(SUBSTITUTE(MID(GO51,4,3)," ",""))&lt;10,CONCATENATE("0",HEX2DEC(SUBSTITUTE(MID(GO51,4,3)," ",""))),HEX2DEC(SUBSTITUTE(MID(GO51,4,3)," ",""))),":",IF(HEX2DEC(SUBSTITUTE(MID(GO51,7,3)," ",""))&lt;10,CONCATENATE("0",HEX2DEC(SUBSTITUTE(MID(GO51,7,3)," ",""))),HEX2DEC(SUBSTITUTE(MID(GO51,7,3)," ",""))))</f>
        <v>00:00:00</v>
      </c>
      <c r="GR51" s="344"/>
      <c r="GS51" s="353"/>
      <c r="GT51" s="2">
        <v>19</v>
      </c>
      <c r="GU51" s="3" t="s">
        <v>1252</v>
      </c>
      <c r="GV51" s="2">
        <f t="shared" si="766"/>
        <v>49</v>
      </c>
      <c r="GW51" s="2">
        <f t="shared" si="173"/>
        <v>51</v>
      </c>
      <c r="GX51" s="2">
        <v>3</v>
      </c>
      <c r="GY51" s="255" t="str">
        <f t="shared" si="174"/>
        <v/>
      </c>
      <c r="GZ51" s="255"/>
      <c r="HA51" s="231" t="str">
        <f t="shared" ref="HA51" si="950">CONCATENATE(IF(HEX2DEC(SUBSTITUTE(MID(GY51,1,3)," ",""))&lt;10,CONCATENATE("0",HEX2DEC(SUBSTITUTE(MID(GY51,1,3)," ",""))),HEX2DEC(SUBSTITUTE(MID(GY51,1,3)," ",""))),":",IF(HEX2DEC(SUBSTITUTE(MID(GY51,4,3)," ",""))&lt;10,CONCATENATE("0",HEX2DEC(SUBSTITUTE(MID(GY51,4,3)," ",""))),HEX2DEC(SUBSTITUTE(MID(GY51,4,3)," ",""))),":",IF(HEX2DEC(SUBSTITUTE(MID(GY51,7,3)," ",""))&lt;10,CONCATENATE("0",HEX2DEC(SUBSTITUTE(MID(GY51,7,3)," ",""))),HEX2DEC(SUBSTITUTE(MID(GY51,7,3)," ",""))))</f>
        <v>00:00:00</v>
      </c>
      <c r="HB51" s="344"/>
      <c r="HC51" s="353"/>
      <c r="HD51" s="2">
        <v>19</v>
      </c>
      <c r="HE51" s="3" t="s">
        <v>1252</v>
      </c>
      <c r="HF51" s="2">
        <f t="shared" si="767"/>
        <v>49</v>
      </c>
      <c r="HG51" s="2">
        <f t="shared" si="177"/>
        <v>51</v>
      </c>
      <c r="HH51" s="2">
        <v>3</v>
      </c>
      <c r="HI51" s="255" t="str">
        <f t="shared" si="178"/>
        <v/>
      </c>
      <c r="HJ51" s="255"/>
      <c r="HK51" s="231" t="str">
        <f t="shared" ref="HK51" si="951">CONCATENATE(IF(HEX2DEC(SUBSTITUTE(MID(HI51,1,3)," ",""))&lt;10,CONCATENATE("0",HEX2DEC(SUBSTITUTE(MID(HI51,1,3)," ",""))),HEX2DEC(SUBSTITUTE(MID(HI51,1,3)," ",""))),":",IF(HEX2DEC(SUBSTITUTE(MID(HI51,4,3)," ",""))&lt;10,CONCATENATE("0",HEX2DEC(SUBSTITUTE(MID(HI51,4,3)," ",""))),HEX2DEC(SUBSTITUTE(MID(HI51,4,3)," ",""))),":",IF(HEX2DEC(SUBSTITUTE(MID(HI51,7,3)," ",""))&lt;10,CONCATENATE("0",HEX2DEC(SUBSTITUTE(MID(HI51,7,3)," ",""))),HEX2DEC(SUBSTITUTE(MID(HI51,7,3)," ",""))))</f>
        <v>00:00:00</v>
      </c>
      <c r="HL51" s="344"/>
      <c r="HM51" s="353"/>
      <c r="HN51" s="2">
        <v>19</v>
      </c>
      <c r="HO51" s="3" t="s">
        <v>1252</v>
      </c>
      <c r="HP51" s="2">
        <f t="shared" si="768"/>
        <v>49</v>
      </c>
      <c r="HQ51" s="2">
        <f t="shared" si="181"/>
        <v>51</v>
      </c>
      <c r="HR51" s="2">
        <v>3</v>
      </c>
      <c r="HS51" s="255" t="str">
        <f t="shared" si="182"/>
        <v/>
      </c>
      <c r="HT51" s="255"/>
      <c r="HU51" s="231" t="str">
        <f t="shared" ref="HU51" si="952">CONCATENATE(IF(HEX2DEC(SUBSTITUTE(MID(HS51,1,3)," ",""))&lt;10,CONCATENATE("0",HEX2DEC(SUBSTITUTE(MID(HS51,1,3)," ",""))),HEX2DEC(SUBSTITUTE(MID(HS51,1,3)," ",""))),":",IF(HEX2DEC(SUBSTITUTE(MID(HS51,4,3)," ",""))&lt;10,CONCATENATE("0",HEX2DEC(SUBSTITUTE(MID(HS51,4,3)," ",""))),HEX2DEC(SUBSTITUTE(MID(HS51,4,3)," ",""))),":",IF(HEX2DEC(SUBSTITUTE(MID(HS51,7,3)," ",""))&lt;10,CONCATENATE("0",HEX2DEC(SUBSTITUTE(MID(HS51,7,3)," ",""))),HEX2DEC(SUBSTITUTE(MID(HS51,7,3)," ",""))))</f>
        <v>00:00:00</v>
      </c>
      <c r="HV51" s="344"/>
      <c r="HW51" s="353"/>
      <c r="HX51" s="2">
        <v>19</v>
      </c>
      <c r="HY51" s="3" t="s">
        <v>1252</v>
      </c>
      <c r="HZ51" s="2">
        <f t="shared" si="769"/>
        <v>49</v>
      </c>
      <c r="IA51" s="2">
        <f t="shared" si="185"/>
        <v>51</v>
      </c>
      <c r="IB51" s="2">
        <v>3</v>
      </c>
      <c r="IC51" s="255" t="str">
        <f t="shared" si="186"/>
        <v/>
      </c>
      <c r="ID51" s="255"/>
      <c r="IE51" s="231" t="str">
        <f t="shared" ref="IE51" si="953">CONCATENATE(IF(HEX2DEC(SUBSTITUTE(MID(IC51,1,3)," ",""))&lt;10,CONCATENATE("0",HEX2DEC(SUBSTITUTE(MID(IC51,1,3)," ",""))),HEX2DEC(SUBSTITUTE(MID(IC51,1,3)," ",""))),":",IF(HEX2DEC(SUBSTITUTE(MID(IC51,4,3)," ",""))&lt;10,CONCATENATE("0",HEX2DEC(SUBSTITUTE(MID(IC51,4,3)," ",""))),HEX2DEC(SUBSTITUTE(MID(IC51,4,3)," ",""))),":",IF(HEX2DEC(SUBSTITUTE(MID(IC51,7,3)," ",""))&lt;10,CONCATENATE("0",HEX2DEC(SUBSTITUTE(MID(IC51,7,3)," ",""))),HEX2DEC(SUBSTITUTE(MID(IC51,7,3)," ",""))))</f>
        <v>00:00:00</v>
      </c>
      <c r="IF51" s="344"/>
      <c r="IG51" s="353"/>
      <c r="IH51" s="2">
        <v>19</v>
      </c>
      <c r="II51" s="3" t="s">
        <v>1252</v>
      </c>
      <c r="IJ51" s="2">
        <f t="shared" si="770"/>
        <v>49</v>
      </c>
      <c r="IK51" s="2">
        <f t="shared" si="189"/>
        <v>51</v>
      </c>
      <c r="IL51" s="2">
        <v>3</v>
      </c>
      <c r="IM51" s="255" t="str">
        <f t="shared" si="190"/>
        <v/>
      </c>
      <c r="IN51" s="255"/>
      <c r="IO51" s="231" t="str">
        <f t="shared" ref="IO51" si="954">CONCATENATE(IF(HEX2DEC(SUBSTITUTE(MID(IM51,1,3)," ",""))&lt;10,CONCATENATE("0",HEX2DEC(SUBSTITUTE(MID(IM51,1,3)," ",""))),HEX2DEC(SUBSTITUTE(MID(IM51,1,3)," ",""))),":",IF(HEX2DEC(SUBSTITUTE(MID(IM51,4,3)," ",""))&lt;10,CONCATENATE("0",HEX2DEC(SUBSTITUTE(MID(IM51,4,3)," ",""))),HEX2DEC(SUBSTITUTE(MID(IM51,4,3)," ",""))),":",IF(HEX2DEC(SUBSTITUTE(MID(IM51,7,3)," ",""))&lt;10,CONCATENATE("0",HEX2DEC(SUBSTITUTE(MID(IM51,7,3)," ",""))),HEX2DEC(SUBSTITUTE(MID(IM51,7,3)," ",""))))</f>
        <v>00:00:00</v>
      </c>
      <c r="IP51" s="344"/>
      <c r="IQ51" s="353"/>
      <c r="IR51" s="2">
        <v>19</v>
      </c>
      <c r="IS51" s="3" t="s">
        <v>1252</v>
      </c>
      <c r="IT51" s="2">
        <f t="shared" si="771"/>
        <v>49</v>
      </c>
      <c r="IU51" s="2">
        <f t="shared" si="193"/>
        <v>51</v>
      </c>
      <c r="IV51" s="2">
        <v>3</v>
      </c>
      <c r="IW51" s="255" t="str">
        <f t="shared" si="194"/>
        <v/>
      </c>
      <c r="IX51" s="255"/>
      <c r="IY51" s="231" t="str">
        <f t="shared" ref="IY51" si="955">CONCATENATE(IF(HEX2DEC(SUBSTITUTE(MID(IW51,1,3)," ",""))&lt;10,CONCATENATE("0",HEX2DEC(SUBSTITUTE(MID(IW51,1,3)," ",""))),HEX2DEC(SUBSTITUTE(MID(IW51,1,3)," ",""))),":",IF(HEX2DEC(SUBSTITUTE(MID(IW51,4,3)," ",""))&lt;10,CONCATENATE("0",HEX2DEC(SUBSTITUTE(MID(IW51,4,3)," ",""))),HEX2DEC(SUBSTITUTE(MID(IW51,4,3)," ",""))),":",IF(HEX2DEC(SUBSTITUTE(MID(IW51,7,3)," ",""))&lt;10,CONCATENATE("0",HEX2DEC(SUBSTITUTE(MID(IW51,7,3)," ",""))),HEX2DEC(SUBSTITUTE(MID(IW51,7,3)," ",""))))</f>
        <v>00:00:00</v>
      </c>
      <c r="IZ51" s="344"/>
      <c r="JA51" s="353"/>
      <c r="JB51" s="2">
        <v>19</v>
      </c>
      <c r="JC51" s="3" t="s">
        <v>1252</v>
      </c>
      <c r="JD51" s="2">
        <f t="shared" si="772"/>
        <v>49</v>
      </c>
      <c r="JE51" s="2">
        <f t="shared" si="197"/>
        <v>51</v>
      </c>
      <c r="JF51" s="2">
        <v>3</v>
      </c>
      <c r="JG51" s="255" t="str">
        <f t="shared" si="198"/>
        <v/>
      </c>
      <c r="JH51" s="255"/>
      <c r="JI51" s="231" t="str">
        <f t="shared" ref="JI51" si="956">CONCATENATE(IF(HEX2DEC(SUBSTITUTE(MID(JG51,1,3)," ",""))&lt;10,CONCATENATE("0",HEX2DEC(SUBSTITUTE(MID(JG51,1,3)," ",""))),HEX2DEC(SUBSTITUTE(MID(JG51,1,3)," ",""))),":",IF(HEX2DEC(SUBSTITUTE(MID(JG51,4,3)," ",""))&lt;10,CONCATENATE("0",HEX2DEC(SUBSTITUTE(MID(JG51,4,3)," ",""))),HEX2DEC(SUBSTITUTE(MID(JG51,4,3)," ",""))),":",IF(HEX2DEC(SUBSTITUTE(MID(JG51,7,3)," ",""))&lt;10,CONCATENATE("0",HEX2DEC(SUBSTITUTE(MID(JG51,7,3)," ",""))),HEX2DEC(SUBSTITUTE(MID(JG51,7,3)," ",""))))</f>
        <v>00:00:00</v>
      </c>
      <c r="JJ51" s="344"/>
      <c r="JK51" s="353"/>
      <c r="JL51" s="2">
        <v>19</v>
      </c>
      <c r="JM51" s="3" t="s">
        <v>1252</v>
      </c>
      <c r="JN51" s="2">
        <f t="shared" si="773"/>
        <v>49</v>
      </c>
      <c r="JO51" s="2">
        <f t="shared" si="201"/>
        <v>51</v>
      </c>
      <c r="JP51" s="2">
        <v>3</v>
      </c>
      <c r="JQ51" s="255" t="str">
        <f t="shared" si="202"/>
        <v/>
      </c>
      <c r="JR51" s="255"/>
      <c r="JS51" s="231" t="str">
        <f t="shared" ref="JS51" si="957">CONCATENATE(IF(HEX2DEC(SUBSTITUTE(MID(JQ51,1,3)," ",""))&lt;10,CONCATENATE("0",HEX2DEC(SUBSTITUTE(MID(JQ51,1,3)," ",""))),HEX2DEC(SUBSTITUTE(MID(JQ51,1,3)," ",""))),":",IF(HEX2DEC(SUBSTITUTE(MID(JQ51,4,3)," ",""))&lt;10,CONCATENATE("0",HEX2DEC(SUBSTITUTE(MID(JQ51,4,3)," ",""))),HEX2DEC(SUBSTITUTE(MID(JQ51,4,3)," ",""))),":",IF(HEX2DEC(SUBSTITUTE(MID(JQ51,7,3)," ",""))&lt;10,CONCATENATE("0",HEX2DEC(SUBSTITUTE(MID(JQ51,7,3)," ",""))),HEX2DEC(SUBSTITUTE(MID(JQ51,7,3)," ",""))))</f>
        <v>00:00:00</v>
      </c>
      <c r="JT51" s="344"/>
      <c r="JU51" s="353"/>
      <c r="JV51" s="2">
        <v>19</v>
      </c>
      <c r="JW51" s="3" t="s">
        <v>1252</v>
      </c>
      <c r="JX51" s="2">
        <f t="shared" si="774"/>
        <v>49</v>
      </c>
      <c r="JY51" s="2">
        <f t="shared" si="205"/>
        <v>51</v>
      </c>
      <c r="JZ51" s="2">
        <v>3</v>
      </c>
      <c r="KA51" s="255" t="str">
        <f t="shared" si="206"/>
        <v/>
      </c>
      <c r="KB51" s="255"/>
      <c r="KC51" s="231" t="str">
        <f t="shared" ref="KC51" si="958">CONCATENATE(IF(HEX2DEC(SUBSTITUTE(MID(KA51,1,3)," ",""))&lt;10,CONCATENATE("0",HEX2DEC(SUBSTITUTE(MID(KA51,1,3)," ",""))),HEX2DEC(SUBSTITUTE(MID(KA51,1,3)," ",""))),":",IF(HEX2DEC(SUBSTITUTE(MID(KA51,4,3)," ",""))&lt;10,CONCATENATE("0",HEX2DEC(SUBSTITUTE(MID(KA51,4,3)," ",""))),HEX2DEC(SUBSTITUTE(MID(KA51,4,3)," ",""))),":",IF(HEX2DEC(SUBSTITUTE(MID(KA51,7,3)," ",""))&lt;10,CONCATENATE("0",HEX2DEC(SUBSTITUTE(MID(KA51,7,3)," ",""))),HEX2DEC(SUBSTITUTE(MID(KA51,7,3)," ",""))))</f>
        <v>00:00:00</v>
      </c>
      <c r="KD51" s="344"/>
      <c r="KE51" s="353"/>
      <c r="KF51" s="2">
        <v>19</v>
      </c>
      <c r="KG51" s="3" t="s">
        <v>1252</v>
      </c>
      <c r="KH51" s="2">
        <f t="shared" si="775"/>
        <v>49</v>
      </c>
      <c r="KI51" s="2">
        <f t="shared" si="209"/>
        <v>51</v>
      </c>
      <c r="KJ51" s="2">
        <v>3</v>
      </c>
      <c r="KK51" s="255" t="str">
        <f t="shared" si="210"/>
        <v/>
      </c>
      <c r="KL51" s="255"/>
      <c r="KM51" s="231" t="str">
        <f t="shared" ref="KM51" si="959">CONCATENATE(IF(HEX2DEC(SUBSTITUTE(MID(KK51,1,3)," ",""))&lt;10,CONCATENATE("0",HEX2DEC(SUBSTITUTE(MID(KK51,1,3)," ",""))),HEX2DEC(SUBSTITUTE(MID(KK51,1,3)," ",""))),":",IF(HEX2DEC(SUBSTITUTE(MID(KK51,4,3)," ",""))&lt;10,CONCATENATE("0",HEX2DEC(SUBSTITUTE(MID(KK51,4,3)," ",""))),HEX2DEC(SUBSTITUTE(MID(KK51,4,3)," ",""))),":",IF(HEX2DEC(SUBSTITUTE(MID(KK51,7,3)," ",""))&lt;10,CONCATENATE("0",HEX2DEC(SUBSTITUTE(MID(KK51,7,3)," ",""))),HEX2DEC(SUBSTITUTE(MID(KK51,7,3)," ",""))))</f>
        <v>00:00:00</v>
      </c>
      <c r="KN51" s="344"/>
      <c r="KO51" s="353"/>
      <c r="KP51" s="2">
        <v>19</v>
      </c>
      <c r="KQ51" s="3" t="s">
        <v>1252</v>
      </c>
      <c r="KR51" s="2">
        <f t="shared" si="776"/>
        <v>49</v>
      </c>
      <c r="KS51" s="2">
        <f t="shared" si="213"/>
        <v>51</v>
      </c>
      <c r="KT51" s="2">
        <v>3</v>
      </c>
      <c r="KU51" s="255" t="str">
        <f t="shared" si="214"/>
        <v/>
      </c>
      <c r="KV51" s="255"/>
      <c r="KW51" s="231" t="str">
        <f t="shared" ref="KW51" si="960">CONCATENATE(IF(HEX2DEC(SUBSTITUTE(MID(KU51,1,3)," ",""))&lt;10,CONCATENATE("0",HEX2DEC(SUBSTITUTE(MID(KU51,1,3)," ",""))),HEX2DEC(SUBSTITUTE(MID(KU51,1,3)," ",""))),":",IF(HEX2DEC(SUBSTITUTE(MID(KU51,4,3)," ",""))&lt;10,CONCATENATE("0",HEX2DEC(SUBSTITUTE(MID(KU51,4,3)," ",""))),HEX2DEC(SUBSTITUTE(MID(KU51,4,3)," ",""))),":",IF(HEX2DEC(SUBSTITUTE(MID(KU51,7,3)," ",""))&lt;10,CONCATENATE("0",HEX2DEC(SUBSTITUTE(MID(KU51,7,3)," ",""))),HEX2DEC(SUBSTITUTE(MID(KU51,7,3)," ",""))))</f>
        <v>00:00:00</v>
      </c>
      <c r="KX51" s="344"/>
      <c r="KY51" s="353"/>
      <c r="KZ51" s="2">
        <v>19</v>
      </c>
      <c r="LA51" s="3" t="s">
        <v>1252</v>
      </c>
      <c r="LB51" s="2">
        <f t="shared" si="777"/>
        <v>49</v>
      </c>
      <c r="LC51" s="2">
        <f t="shared" si="217"/>
        <v>51</v>
      </c>
      <c r="LD51" s="2">
        <v>3</v>
      </c>
      <c r="LE51" s="255" t="str">
        <f t="shared" si="218"/>
        <v/>
      </c>
      <c r="LF51" s="255"/>
      <c r="LG51" s="231" t="str">
        <f t="shared" ref="LG51" si="961">CONCATENATE(IF(HEX2DEC(SUBSTITUTE(MID(LE51,1,3)," ",""))&lt;10,CONCATENATE("0",HEX2DEC(SUBSTITUTE(MID(LE51,1,3)," ",""))),HEX2DEC(SUBSTITUTE(MID(LE51,1,3)," ",""))),":",IF(HEX2DEC(SUBSTITUTE(MID(LE51,4,3)," ",""))&lt;10,CONCATENATE("0",HEX2DEC(SUBSTITUTE(MID(LE51,4,3)," ",""))),HEX2DEC(SUBSTITUTE(MID(LE51,4,3)," ",""))),":",IF(HEX2DEC(SUBSTITUTE(MID(LE51,7,3)," ",""))&lt;10,CONCATENATE("0",HEX2DEC(SUBSTITUTE(MID(LE51,7,3)," ",""))),HEX2DEC(SUBSTITUTE(MID(LE51,7,3)," ",""))))</f>
        <v>00:00:00</v>
      </c>
      <c r="LH51" s="344"/>
      <c r="LI51" s="353"/>
      <c r="LJ51" s="2">
        <v>19</v>
      </c>
      <c r="LK51" s="3" t="s">
        <v>1252</v>
      </c>
      <c r="LL51" s="2">
        <f t="shared" si="778"/>
        <v>49</v>
      </c>
      <c r="LM51" s="2">
        <f t="shared" si="221"/>
        <v>51</v>
      </c>
      <c r="LN51" s="2">
        <v>3</v>
      </c>
      <c r="LO51" s="255" t="str">
        <f t="shared" si="222"/>
        <v/>
      </c>
      <c r="LP51" s="255"/>
      <c r="LQ51" s="231" t="str">
        <f t="shared" ref="LQ51" si="962">CONCATENATE(IF(HEX2DEC(SUBSTITUTE(MID(LO51,1,3)," ",""))&lt;10,CONCATENATE("0",HEX2DEC(SUBSTITUTE(MID(LO51,1,3)," ",""))),HEX2DEC(SUBSTITUTE(MID(LO51,1,3)," ",""))),":",IF(HEX2DEC(SUBSTITUTE(MID(LO51,4,3)," ",""))&lt;10,CONCATENATE("0",HEX2DEC(SUBSTITUTE(MID(LO51,4,3)," ",""))),HEX2DEC(SUBSTITUTE(MID(LO51,4,3)," ",""))),":",IF(HEX2DEC(SUBSTITUTE(MID(LO51,7,3)," ",""))&lt;10,CONCATENATE("0",HEX2DEC(SUBSTITUTE(MID(LO51,7,3)," ",""))),HEX2DEC(SUBSTITUTE(MID(LO51,7,3)," ",""))))</f>
        <v>00:00:00</v>
      </c>
      <c r="LR51" s="344"/>
      <c r="LS51" s="353"/>
      <c r="LT51" s="2">
        <v>19</v>
      </c>
      <c r="LU51" s="3" t="s">
        <v>1252</v>
      </c>
      <c r="LV51" s="2">
        <f t="shared" si="779"/>
        <v>49</v>
      </c>
      <c r="LW51" s="2">
        <f t="shared" si="225"/>
        <v>51</v>
      </c>
      <c r="LX51" s="2">
        <v>3</v>
      </c>
      <c r="LY51" s="255" t="str">
        <f t="shared" si="226"/>
        <v/>
      </c>
      <c r="LZ51" s="255"/>
      <c r="MA51" s="231" t="str">
        <f t="shared" ref="MA51" si="963">CONCATENATE(IF(HEX2DEC(SUBSTITUTE(MID(LY51,1,3)," ",""))&lt;10,CONCATENATE("0",HEX2DEC(SUBSTITUTE(MID(LY51,1,3)," ",""))),HEX2DEC(SUBSTITUTE(MID(LY51,1,3)," ",""))),":",IF(HEX2DEC(SUBSTITUTE(MID(LY51,4,3)," ",""))&lt;10,CONCATENATE("0",HEX2DEC(SUBSTITUTE(MID(LY51,4,3)," ",""))),HEX2DEC(SUBSTITUTE(MID(LY51,4,3)," ",""))),":",IF(HEX2DEC(SUBSTITUTE(MID(LY51,7,3)," ",""))&lt;10,CONCATENATE("0",HEX2DEC(SUBSTITUTE(MID(LY51,7,3)," ",""))),HEX2DEC(SUBSTITUTE(MID(LY51,7,3)," ",""))))</f>
        <v>00:00:00</v>
      </c>
      <c r="MB51" s="344"/>
      <c r="MC51" s="353"/>
      <c r="MD51" s="2">
        <v>19</v>
      </c>
      <c r="ME51" s="3" t="s">
        <v>1252</v>
      </c>
      <c r="MF51" s="2">
        <f t="shared" si="780"/>
        <v>49</v>
      </c>
      <c r="MG51" s="2">
        <f t="shared" si="229"/>
        <v>51</v>
      </c>
      <c r="MH51" s="2">
        <v>3</v>
      </c>
      <c r="MI51" s="255" t="str">
        <f t="shared" si="230"/>
        <v/>
      </c>
      <c r="MJ51" s="255"/>
      <c r="MK51" s="231" t="str">
        <f t="shared" ref="MK51" si="964">CONCATENATE(IF(HEX2DEC(SUBSTITUTE(MID(MI51,1,3)," ",""))&lt;10,CONCATENATE("0",HEX2DEC(SUBSTITUTE(MID(MI51,1,3)," ",""))),HEX2DEC(SUBSTITUTE(MID(MI51,1,3)," ",""))),":",IF(HEX2DEC(SUBSTITUTE(MID(MI51,4,3)," ",""))&lt;10,CONCATENATE("0",HEX2DEC(SUBSTITUTE(MID(MI51,4,3)," ",""))),HEX2DEC(SUBSTITUTE(MID(MI51,4,3)," ",""))),":",IF(HEX2DEC(SUBSTITUTE(MID(MI51,7,3)," ",""))&lt;10,CONCATENATE("0",HEX2DEC(SUBSTITUTE(MID(MI51,7,3)," ",""))),HEX2DEC(SUBSTITUTE(MID(MI51,7,3)," ",""))))</f>
        <v>00:00:00</v>
      </c>
      <c r="ML51" s="344"/>
      <c r="MM51" s="353"/>
      <c r="MN51" s="2">
        <v>19</v>
      </c>
      <c r="MO51" s="3" t="s">
        <v>1252</v>
      </c>
      <c r="MP51" s="2">
        <f t="shared" si="781"/>
        <v>49</v>
      </c>
      <c r="MQ51" s="2">
        <f t="shared" si="233"/>
        <v>51</v>
      </c>
      <c r="MR51" s="2">
        <v>3</v>
      </c>
      <c r="MS51" s="255" t="str">
        <f t="shared" si="234"/>
        <v/>
      </c>
      <c r="MT51" s="255"/>
      <c r="MU51" s="231" t="str">
        <f t="shared" ref="MU51" si="965">CONCATENATE(IF(HEX2DEC(SUBSTITUTE(MID(MS51,1,3)," ",""))&lt;10,CONCATENATE("0",HEX2DEC(SUBSTITUTE(MID(MS51,1,3)," ",""))),HEX2DEC(SUBSTITUTE(MID(MS51,1,3)," ",""))),":",IF(HEX2DEC(SUBSTITUTE(MID(MS51,4,3)," ",""))&lt;10,CONCATENATE("0",HEX2DEC(SUBSTITUTE(MID(MS51,4,3)," ",""))),HEX2DEC(SUBSTITUTE(MID(MS51,4,3)," ",""))),":",IF(HEX2DEC(SUBSTITUTE(MID(MS51,7,3)," ",""))&lt;10,CONCATENATE("0",HEX2DEC(SUBSTITUTE(MID(MS51,7,3)," ",""))),HEX2DEC(SUBSTITUTE(MID(MS51,7,3)," ",""))))</f>
        <v>00:00:00</v>
      </c>
      <c r="MV51" s="344"/>
      <c r="MW51" s="353"/>
      <c r="MX51" s="2">
        <v>19</v>
      </c>
      <c r="MY51" s="3" t="s">
        <v>1252</v>
      </c>
      <c r="MZ51" s="2">
        <f t="shared" si="782"/>
        <v>49</v>
      </c>
      <c r="NA51" s="2">
        <f t="shared" si="237"/>
        <v>51</v>
      </c>
      <c r="NB51" s="2">
        <v>3</v>
      </c>
      <c r="NC51" s="255" t="str">
        <f t="shared" si="238"/>
        <v/>
      </c>
      <c r="ND51" s="255"/>
      <c r="NE51" s="231" t="str">
        <f t="shared" ref="NE51" si="966">CONCATENATE(IF(HEX2DEC(SUBSTITUTE(MID(NC51,1,3)," ",""))&lt;10,CONCATENATE("0",HEX2DEC(SUBSTITUTE(MID(NC51,1,3)," ",""))),HEX2DEC(SUBSTITUTE(MID(NC51,1,3)," ",""))),":",IF(HEX2DEC(SUBSTITUTE(MID(NC51,4,3)," ",""))&lt;10,CONCATENATE("0",HEX2DEC(SUBSTITUTE(MID(NC51,4,3)," ",""))),HEX2DEC(SUBSTITUTE(MID(NC51,4,3)," ",""))),":",IF(HEX2DEC(SUBSTITUTE(MID(NC51,7,3)," ",""))&lt;10,CONCATENATE("0",HEX2DEC(SUBSTITUTE(MID(NC51,7,3)," ",""))),HEX2DEC(SUBSTITUTE(MID(NC51,7,3)," ",""))))</f>
        <v>00:00:00</v>
      </c>
      <c r="NF51" s="344"/>
      <c r="NG51" s="353"/>
      <c r="NH51" s="2">
        <v>19</v>
      </c>
      <c r="NI51" s="3" t="s">
        <v>1252</v>
      </c>
      <c r="NJ51" s="2">
        <f t="shared" si="783"/>
        <v>49</v>
      </c>
      <c r="NK51" s="2">
        <f t="shared" si="241"/>
        <v>51</v>
      </c>
      <c r="NL51" s="2">
        <v>3</v>
      </c>
      <c r="NM51" s="255" t="str">
        <f t="shared" si="242"/>
        <v/>
      </c>
      <c r="NN51" s="255"/>
      <c r="NO51" s="231" t="str">
        <f t="shared" ref="NO51" si="967">CONCATENATE(IF(HEX2DEC(SUBSTITUTE(MID(NM51,1,3)," ",""))&lt;10,CONCATENATE("0",HEX2DEC(SUBSTITUTE(MID(NM51,1,3)," ",""))),HEX2DEC(SUBSTITUTE(MID(NM51,1,3)," ",""))),":",IF(HEX2DEC(SUBSTITUTE(MID(NM51,4,3)," ",""))&lt;10,CONCATENATE("0",HEX2DEC(SUBSTITUTE(MID(NM51,4,3)," ",""))),HEX2DEC(SUBSTITUTE(MID(NM51,4,3)," ",""))),":",IF(HEX2DEC(SUBSTITUTE(MID(NM51,7,3)," ",""))&lt;10,CONCATENATE("0",HEX2DEC(SUBSTITUTE(MID(NM51,7,3)," ",""))),HEX2DEC(SUBSTITUTE(MID(NM51,7,3)," ",""))))</f>
        <v>00:00:00</v>
      </c>
      <c r="NP51" s="344"/>
      <c r="NQ51" s="353"/>
      <c r="NR51" s="2">
        <v>19</v>
      </c>
      <c r="NS51" s="3" t="s">
        <v>1252</v>
      </c>
      <c r="NT51" s="2">
        <f t="shared" si="784"/>
        <v>49</v>
      </c>
      <c r="NU51" s="2">
        <f t="shared" si="245"/>
        <v>51</v>
      </c>
      <c r="NV51" s="2">
        <v>3</v>
      </c>
      <c r="NW51" s="255" t="str">
        <f t="shared" si="246"/>
        <v/>
      </c>
      <c r="NX51" s="255"/>
      <c r="NY51" s="231" t="str">
        <f t="shared" ref="NY51" si="968">CONCATENATE(IF(HEX2DEC(SUBSTITUTE(MID(NW51,1,3)," ",""))&lt;10,CONCATENATE("0",HEX2DEC(SUBSTITUTE(MID(NW51,1,3)," ",""))),HEX2DEC(SUBSTITUTE(MID(NW51,1,3)," ",""))),":",IF(HEX2DEC(SUBSTITUTE(MID(NW51,4,3)," ",""))&lt;10,CONCATENATE("0",HEX2DEC(SUBSTITUTE(MID(NW51,4,3)," ",""))),HEX2DEC(SUBSTITUTE(MID(NW51,4,3)," ",""))),":",IF(HEX2DEC(SUBSTITUTE(MID(NW51,7,3)," ",""))&lt;10,CONCATENATE("0",HEX2DEC(SUBSTITUTE(MID(NW51,7,3)," ",""))),HEX2DEC(SUBSTITUTE(MID(NW51,7,3)," ",""))))</f>
        <v>00:00:00</v>
      </c>
      <c r="NZ51" s="344"/>
      <c r="OA51" s="353"/>
      <c r="OB51" s="2">
        <v>19</v>
      </c>
      <c r="OC51" s="3" t="s">
        <v>1252</v>
      </c>
      <c r="OD51" s="2">
        <f t="shared" si="785"/>
        <v>49</v>
      </c>
      <c r="OE51" s="2">
        <f t="shared" si="249"/>
        <v>51</v>
      </c>
      <c r="OF51" s="2">
        <v>3</v>
      </c>
      <c r="OG51" s="255" t="str">
        <f t="shared" si="250"/>
        <v/>
      </c>
      <c r="OH51" s="255"/>
      <c r="OI51" s="231" t="str">
        <f t="shared" ref="OI51" si="969">CONCATENATE(IF(HEX2DEC(SUBSTITUTE(MID(OG51,1,3)," ",""))&lt;10,CONCATENATE("0",HEX2DEC(SUBSTITUTE(MID(OG51,1,3)," ",""))),HEX2DEC(SUBSTITUTE(MID(OG51,1,3)," ",""))),":",IF(HEX2DEC(SUBSTITUTE(MID(OG51,4,3)," ",""))&lt;10,CONCATENATE("0",HEX2DEC(SUBSTITUTE(MID(OG51,4,3)," ",""))),HEX2DEC(SUBSTITUTE(MID(OG51,4,3)," ",""))),":",IF(HEX2DEC(SUBSTITUTE(MID(OG51,7,3)," ",""))&lt;10,CONCATENATE("0",HEX2DEC(SUBSTITUTE(MID(OG51,7,3)," ",""))),HEX2DEC(SUBSTITUTE(MID(OG51,7,3)," ",""))))</f>
        <v>00:00:00</v>
      </c>
      <c r="OJ51" s="344"/>
      <c r="OK51" s="353"/>
      <c r="OL51" s="2">
        <v>19</v>
      </c>
      <c r="OM51" s="3" t="s">
        <v>1252</v>
      </c>
      <c r="ON51" s="2">
        <f t="shared" si="786"/>
        <v>49</v>
      </c>
      <c r="OO51" s="2">
        <f t="shared" si="253"/>
        <v>51</v>
      </c>
      <c r="OP51" s="2">
        <v>3</v>
      </c>
      <c r="OQ51" s="255" t="str">
        <f t="shared" si="254"/>
        <v/>
      </c>
      <c r="OR51" s="255"/>
      <c r="OS51" s="231" t="str">
        <f t="shared" ref="OS51" si="970">CONCATENATE(IF(HEX2DEC(SUBSTITUTE(MID(OQ51,1,3)," ",""))&lt;10,CONCATENATE("0",HEX2DEC(SUBSTITUTE(MID(OQ51,1,3)," ",""))),HEX2DEC(SUBSTITUTE(MID(OQ51,1,3)," ",""))),":",IF(HEX2DEC(SUBSTITUTE(MID(OQ51,4,3)," ",""))&lt;10,CONCATENATE("0",HEX2DEC(SUBSTITUTE(MID(OQ51,4,3)," ",""))),HEX2DEC(SUBSTITUTE(MID(OQ51,4,3)," ",""))),":",IF(HEX2DEC(SUBSTITUTE(MID(OQ51,7,3)," ",""))&lt;10,CONCATENATE("0",HEX2DEC(SUBSTITUTE(MID(OQ51,7,3)," ",""))),HEX2DEC(SUBSTITUTE(MID(OQ51,7,3)," ",""))))</f>
        <v>00:00:00</v>
      </c>
      <c r="OT51" s="344"/>
      <c r="OU51" s="353"/>
      <c r="OV51" s="2">
        <v>19</v>
      </c>
      <c r="OW51" s="3" t="s">
        <v>1252</v>
      </c>
      <c r="OX51" s="2">
        <f t="shared" si="787"/>
        <v>49</v>
      </c>
      <c r="OY51" s="2">
        <f t="shared" si="257"/>
        <v>51</v>
      </c>
      <c r="OZ51" s="2">
        <v>3</v>
      </c>
      <c r="PA51" s="255" t="str">
        <f t="shared" si="258"/>
        <v/>
      </c>
      <c r="PB51" s="255"/>
      <c r="PC51" s="231" t="str">
        <f t="shared" ref="PC51" si="971">CONCATENATE(IF(HEX2DEC(SUBSTITUTE(MID(PA51,1,3)," ",""))&lt;10,CONCATENATE("0",HEX2DEC(SUBSTITUTE(MID(PA51,1,3)," ",""))),HEX2DEC(SUBSTITUTE(MID(PA51,1,3)," ",""))),":",IF(HEX2DEC(SUBSTITUTE(MID(PA51,4,3)," ",""))&lt;10,CONCATENATE("0",HEX2DEC(SUBSTITUTE(MID(PA51,4,3)," ",""))),HEX2DEC(SUBSTITUTE(MID(PA51,4,3)," ",""))),":",IF(HEX2DEC(SUBSTITUTE(MID(PA51,7,3)," ",""))&lt;10,CONCATENATE("0",HEX2DEC(SUBSTITUTE(MID(PA51,7,3)," ",""))),HEX2DEC(SUBSTITUTE(MID(PA51,7,3)," ",""))))</f>
        <v>00:00:00</v>
      </c>
      <c r="PD51" s="344"/>
      <c r="PE51" s="353"/>
      <c r="PF51" s="2">
        <v>19</v>
      </c>
      <c r="PG51" s="3" t="s">
        <v>1252</v>
      </c>
      <c r="PH51" s="2">
        <f t="shared" si="788"/>
        <v>49</v>
      </c>
      <c r="PI51" s="2">
        <f t="shared" si="261"/>
        <v>51</v>
      </c>
      <c r="PJ51" s="2">
        <v>3</v>
      </c>
      <c r="PK51" s="255" t="str">
        <f t="shared" si="262"/>
        <v/>
      </c>
      <c r="PL51" s="255"/>
      <c r="PM51" s="231" t="str">
        <f t="shared" ref="PM51" si="972">CONCATENATE(IF(HEX2DEC(SUBSTITUTE(MID(PK51,1,3)," ",""))&lt;10,CONCATENATE("0",HEX2DEC(SUBSTITUTE(MID(PK51,1,3)," ",""))),HEX2DEC(SUBSTITUTE(MID(PK51,1,3)," ",""))),":",IF(HEX2DEC(SUBSTITUTE(MID(PK51,4,3)," ",""))&lt;10,CONCATENATE("0",HEX2DEC(SUBSTITUTE(MID(PK51,4,3)," ",""))),HEX2DEC(SUBSTITUTE(MID(PK51,4,3)," ",""))),":",IF(HEX2DEC(SUBSTITUTE(MID(PK51,7,3)," ",""))&lt;10,CONCATENATE("0",HEX2DEC(SUBSTITUTE(MID(PK51,7,3)," ",""))),HEX2DEC(SUBSTITUTE(MID(PK51,7,3)," ",""))))</f>
        <v>00:00:00</v>
      </c>
      <c r="PN51" s="344"/>
      <c r="PO51" s="353"/>
      <c r="PP51" s="2">
        <v>19</v>
      </c>
      <c r="PQ51" s="3" t="s">
        <v>1252</v>
      </c>
      <c r="PR51" s="2">
        <f t="shared" si="789"/>
        <v>49</v>
      </c>
      <c r="PS51" s="2">
        <f t="shared" si="265"/>
        <v>51</v>
      </c>
      <c r="PT51" s="2">
        <v>3</v>
      </c>
      <c r="PU51" s="255" t="str">
        <f t="shared" si="266"/>
        <v/>
      </c>
      <c r="PV51" s="255"/>
      <c r="PW51" s="231" t="str">
        <f t="shared" ref="PW51" si="973">CONCATENATE(IF(HEX2DEC(SUBSTITUTE(MID(PU51,1,3)," ",""))&lt;10,CONCATENATE("0",HEX2DEC(SUBSTITUTE(MID(PU51,1,3)," ",""))),HEX2DEC(SUBSTITUTE(MID(PU51,1,3)," ",""))),":",IF(HEX2DEC(SUBSTITUTE(MID(PU51,4,3)," ",""))&lt;10,CONCATENATE("0",HEX2DEC(SUBSTITUTE(MID(PU51,4,3)," ",""))),HEX2DEC(SUBSTITUTE(MID(PU51,4,3)," ",""))),":",IF(HEX2DEC(SUBSTITUTE(MID(PU51,7,3)," ",""))&lt;10,CONCATENATE("0",HEX2DEC(SUBSTITUTE(MID(PU51,7,3)," ",""))),HEX2DEC(SUBSTITUTE(MID(PU51,7,3)," ",""))))</f>
        <v>00:00:00</v>
      </c>
      <c r="PX51" s="344"/>
      <c r="PY51" s="353"/>
      <c r="PZ51" s="2">
        <v>19</v>
      </c>
      <c r="QA51" s="3" t="s">
        <v>1252</v>
      </c>
      <c r="QB51" s="2">
        <f t="shared" si="790"/>
        <v>49</v>
      </c>
      <c r="QC51" s="2">
        <f t="shared" si="269"/>
        <v>51</v>
      </c>
      <c r="QD51" s="2">
        <v>3</v>
      </c>
      <c r="QE51" s="255" t="str">
        <f t="shared" si="270"/>
        <v/>
      </c>
      <c r="QF51" s="255"/>
      <c r="QG51" s="231" t="str">
        <f t="shared" ref="QG51" si="974">CONCATENATE(IF(HEX2DEC(SUBSTITUTE(MID(QE51,1,3)," ",""))&lt;10,CONCATENATE("0",HEX2DEC(SUBSTITUTE(MID(QE51,1,3)," ",""))),HEX2DEC(SUBSTITUTE(MID(QE51,1,3)," ",""))),":",IF(HEX2DEC(SUBSTITUTE(MID(QE51,4,3)," ",""))&lt;10,CONCATENATE("0",HEX2DEC(SUBSTITUTE(MID(QE51,4,3)," ",""))),HEX2DEC(SUBSTITUTE(MID(QE51,4,3)," ",""))),":",IF(HEX2DEC(SUBSTITUTE(MID(QE51,7,3)," ",""))&lt;10,CONCATENATE("0",HEX2DEC(SUBSTITUTE(MID(QE51,7,3)," ",""))),HEX2DEC(SUBSTITUTE(MID(QE51,7,3)," ",""))))</f>
        <v>00:00:00</v>
      </c>
      <c r="QH51" s="344"/>
      <c r="QI51" s="353"/>
      <c r="QJ51" s="2">
        <v>19</v>
      </c>
      <c r="QK51" s="3" t="s">
        <v>1252</v>
      </c>
      <c r="QL51" s="2">
        <f t="shared" si="791"/>
        <v>49</v>
      </c>
      <c r="QM51" s="2">
        <f t="shared" si="273"/>
        <v>51</v>
      </c>
      <c r="QN51" s="2">
        <v>3</v>
      </c>
      <c r="QO51" s="255" t="str">
        <f t="shared" si="274"/>
        <v/>
      </c>
      <c r="QP51" s="255"/>
      <c r="QQ51" s="231" t="str">
        <f t="shared" ref="QQ51" si="975">CONCATENATE(IF(HEX2DEC(SUBSTITUTE(MID(QO51,1,3)," ",""))&lt;10,CONCATENATE("0",HEX2DEC(SUBSTITUTE(MID(QO51,1,3)," ",""))),HEX2DEC(SUBSTITUTE(MID(QO51,1,3)," ",""))),":",IF(HEX2DEC(SUBSTITUTE(MID(QO51,4,3)," ",""))&lt;10,CONCATENATE("0",HEX2DEC(SUBSTITUTE(MID(QO51,4,3)," ",""))),HEX2DEC(SUBSTITUTE(MID(QO51,4,3)," ",""))),":",IF(HEX2DEC(SUBSTITUTE(MID(QO51,7,3)," ",""))&lt;10,CONCATENATE("0",HEX2DEC(SUBSTITUTE(MID(QO51,7,3)," ",""))),HEX2DEC(SUBSTITUTE(MID(QO51,7,3)," ",""))))</f>
        <v>00:00:00</v>
      </c>
      <c r="QR51" s="344"/>
      <c r="QS51" s="353"/>
      <c r="QT51" s="2">
        <v>19</v>
      </c>
      <c r="QU51" s="3" t="s">
        <v>1252</v>
      </c>
      <c r="QV51" s="2">
        <f t="shared" si="792"/>
        <v>49</v>
      </c>
      <c r="QW51" s="2">
        <f t="shared" si="277"/>
        <v>51</v>
      </c>
      <c r="QX51" s="2">
        <v>3</v>
      </c>
      <c r="QY51" s="255" t="str">
        <f t="shared" si="278"/>
        <v/>
      </c>
      <c r="QZ51" s="255"/>
      <c r="RA51" s="231" t="str">
        <f t="shared" ref="RA51" si="976">CONCATENATE(IF(HEX2DEC(SUBSTITUTE(MID(QY51,1,3)," ",""))&lt;10,CONCATENATE("0",HEX2DEC(SUBSTITUTE(MID(QY51,1,3)," ",""))),HEX2DEC(SUBSTITUTE(MID(QY51,1,3)," ",""))),":",IF(HEX2DEC(SUBSTITUTE(MID(QY51,4,3)," ",""))&lt;10,CONCATENATE("0",HEX2DEC(SUBSTITUTE(MID(QY51,4,3)," ",""))),HEX2DEC(SUBSTITUTE(MID(QY51,4,3)," ",""))),":",IF(HEX2DEC(SUBSTITUTE(MID(QY51,7,3)," ",""))&lt;10,CONCATENATE("0",HEX2DEC(SUBSTITUTE(MID(QY51,7,3)," ",""))),HEX2DEC(SUBSTITUTE(MID(QY51,7,3)," ",""))))</f>
        <v>00:00:00</v>
      </c>
      <c r="RB51" s="344"/>
      <c r="RC51" s="353"/>
      <c r="RD51" s="2">
        <v>19</v>
      </c>
      <c r="RE51" s="3" t="s">
        <v>1252</v>
      </c>
      <c r="RF51" s="2">
        <f t="shared" si="793"/>
        <v>49</v>
      </c>
      <c r="RG51" s="2">
        <f t="shared" si="281"/>
        <v>51</v>
      </c>
      <c r="RH51" s="2">
        <v>3</v>
      </c>
      <c r="RI51" s="255" t="str">
        <f t="shared" si="282"/>
        <v/>
      </c>
      <c r="RJ51" s="255"/>
      <c r="RK51" s="231" t="str">
        <f t="shared" ref="RK51" si="977">CONCATENATE(IF(HEX2DEC(SUBSTITUTE(MID(RI51,1,3)," ",""))&lt;10,CONCATENATE("0",HEX2DEC(SUBSTITUTE(MID(RI51,1,3)," ",""))),HEX2DEC(SUBSTITUTE(MID(RI51,1,3)," ",""))),":",IF(HEX2DEC(SUBSTITUTE(MID(RI51,4,3)," ",""))&lt;10,CONCATENATE("0",HEX2DEC(SUBSTITUTE(MID(RI51,4,3)," ",""))),HEX2DEC(SUBSTITUTE(MID(RI51,4,3)," ",""))),":",IF(HEX2DEC(SUBSTITUTE(MID(RI51,7,3)," ",""))&lt;10,CONCATENATE("0",HEX2DEC(SUBSTITUTE(MID(RI51,7,3)," ",""))),HEX2DEC(SUBSTITUTE(MID(RI51,7,3)," ",""))))</f>
        <v>00:00:00</v>
      </c>
      <c r="RL51" s="344"/>
      <c r="RM51" s="353"/>
      <c r="RN51" s="2">
        <v>19</v>
      </c>
      <c r="RO51" s="3" t="s">
        <v>1252</v>
      </c>
      <c r="RP51" s="2">
        <f t="shared" si="794"/>
        <v>49</v>
      </c>
      <c r="RQ51" s="2">
        <f t="shared" si="285"/>
        <v>51</v>
      </c>
      <c r="RR51" s="2">
        <v>3</v>
      </c>
      <c r="RS51" s="255" t="str">
        <f t="shared" si="286"/>
        <v/>
      </c>
      <c r="RT51" s="255"/>
      <c r="RU51" s="231" t="str">
        <f t="shared" ref="RU51" si="978">CONCATENATE(IF(HEX2DEC(SUBSTITUTE(MID(RS51,1,3)," ",""))&lt;10,CONCATENATE("0",HEX2DEC(SUBSTITUTE(MID(RS51,1,3)," ",""))),HEX2DEC(SUBSTITUTE(MID(RS51,1,3)," ",""))),":",IF(HEX2DEC(SUBSTITUTE(MID(RS51,4,3)," ",""))&lt;10,CONCATENATE("0",HEX2DEC(SUBSTITUTE(MID(RS51,4,3)," ",""))),HEX2DEC(SUBSTITUTE(MID(RS51,4,3)," ",""))),":",IF(HEX2DEC(SUBSTITUTE(MID(RS51,7,3)," ",""))&lt;10,CONCATENATE("0",HEX2DEC(SUBSTITUTE(MID(RS51,7,3)," ",""))),HEX2DEC(SUBSTITUTE(MID(RS51,7,3)," ",""))))</f>
        <v>00:00:00</v>
      </c>
      <c r="RV51" s="344"/>
      <c r="RW51" s="353"/>
      <c r="RX51" s="2">
        <v>19</v>
      </c>
      <c r="RY51" s="3" t="s">
        <v>1252</v>
      </c>
      <c r="RZ51" s="2">
        <f t="shared" si="795"/>
        <v>49</v>
      </c>
      <c r="SA51" s="2">
        <f t="shared" si="289"/>
        <v>51</v>
      </c>
      <c r="SB51" s="2">
        <v>3</v>
      </c>
      <c r="SC51" s="255" t="str">
        <f t="shared" si="290"/>
        <v/>
      </c>
      <c r="SD51" s="255"/>
      <c r="SE51" s="231" t="str">
        <f t="shared" ref="SE51" si="979">CONCATENATE(IF(HEX2DEC(SUBSTITUTE(MID(SC51,1,3)," ",""))&lt;10,CONCATENATE("0",HEX2DEC(SUBSTITUTE(MID(SC51,1,3)," ",""))),HEX2DEC(SUBSTITUTE(MID(SC51,1,3)," ",""))),":",IF(HEX2DEC(SUBSTITUTE(MID(SC51,4,3)," ",""))&lt;10,CONCATENATE("0",HEX2DEC(SUBSTITUTE(MID(SC51,4,3)," ",""))),HEX2DEC(SUBSTITUTE(MID(SC51,4,3)," ",""))),":",IF(HEX2DEC(SUBSTITUTE(MID(SC51,7,3)," ",""))&lt;10,CONCATENATE("0",HEX2DEC(SUBSTITUTE(MID(SC51,7,3)," ",""))),HEX2DEC(SUBSTITUTE(MID(SC51,7,3)," ",""))))</f>
        <v>00:00:00</v>
      </c>
      <c r="SF51" s="344"/>
      <c r="SG51" s="353"/>
      <c r="SH51" s="2">
        <v>19</v>
      </c>
      <c r="SI51" s="3" t="s">
        <v>1252</v>
      </c>
      <c r="SJ51" s="2">
        <f t="shared" si="796"/>
        <v>49</v>
      </c>
      <c r="SK51" s="2">
        <f t="shared" si="293"/>
        <v>51</v>
      </c>
      <c r="SL51" s="2">
        <v>3</v>
      </c>
      <c r="SM51" s="255" t="str">
        <f t="shared" si="294"/>
        <v/>
      </c>
      <c r="SN51" s="255"/>
      <c r="SO51" s="231" t="str">
        <f t="shared" ref="SO51" si="980">CONCATENATE(IF(HEX2DEC(SUBSTITUTE(MID(SM51,1,3)," ",""))&lt;10,CONCATENATE("0",HEX2DEC(SUBSTITUTE(MID(SM51,1,3)," ",""))),HEX2DEC(SUBSTITUTE(MID(SM51,1,3)," ",""))),":",IF(HEX2DEC(SUBSTITUTE(MID(SM51,4,3)," ",""))&lt;10,CONCATENATE("0",HEX2DEC(SUBSTITUTE(MID(SM51,4,3)," ",""))),HEX2DEC(SUBSTITUTE(MID(SM51,4,3)," ",""))),":",IF(HEX2DEC(SUBSTITUTE(MID(SM51,7,3)," ",""))&lt;10,CONCATENATE("0",HEX2DEC(SUBSTITUTE(MID(SM51,7,3)," ",""))),HEX2DEC(SUBSTITUTE(MID(SM51,7,3)," ",""))))</f>
        <v>00:00:00</v>
      </c>
      <c r="SP51" s="344"/>
      <c r="SQ51" s="353"/>
      <c r="SR51" s="2">
        <v>19</v>
      </c>
      <c r="SS51" s="3" t="s">
        <v>1252</v>
      </c>
      <c r="ST51" s="2">
        <f t="shared" si="797"/>
        <v>49</v>
      </c>
      <c r="SU51" s="2">
        <f t="shared" si="297"/>
        <v>51</v>
      </c>
      <c r="SV51" s="2">
        <v>3</v>
      </c>
      <c r="SW51" s="255" t="str">
        <f t="shared" si="298"/>
        <v/>
      </c>
      <c r="SX51" s="255"/>
      <c r="SY51" s="231" t="str">
        <f t="shared" ref="SY51" si="981">CONCATENATE(IF(HEX2DEC(SUBSTITUTE(MID(SW51,1,3)," ",""))&lt;10,CONCATENATE("0",HEX2DEC(SUBSTITUTE(MID(SW51,1,3)," ",""))),HEX2DEC(SUBSTITUTE(MID(SW51,1,3)," ",""))),":",IF(HEX2DEC(SUBSTITUTE(MID(SW51,4,3)," ",""))&lt;10,CONCATENATE("0",HEX2DEC(SUBSTITUTE(MID(SW51,4,3)," ",""))),HEX2DEC(SUBSTITUTE(MID(SW51,4,3)," ",""))),":",IF(HEX2DEC(SUBSTITUTE(MID(SW51,7,3)," ",""))&lt;10,CONCATENATE("0",HEX2DEC(SUBSTITUTE(MID(SW51,7,3)," ",""))),HEX2DEC(SUBSTITUTE(MID(SW51,7,3)," ",""))))</f>
        <v>00:00:00</v>
      </c>
      <c r="SZ51" s="344"/>
      <c r="TA51" s="353"/>
      <c r="TB51" s="2">
        <v>19</v>
      </c>
      <c r="TC51" s="3" t="s">
        <v>1252</v>
      </c>
      <c r="TD51" s="2">
        <f t="shared" si="798"/>
        <v>49</v>
      </c>
      <c r="TE51" s="2">
        <f t="shared" si="301"/>
        <v>51</v>
      </c>
      <c r="TF51" s="2">
        <v>3</v>
      </c>
      <c r="TG51" s="255" t="str">
        <f t="shared" si="302"/>
        <v/>
      </c>
      <c r="TH51" s="255"/>
      <c r="TI51" s="231" t="str">
        <f t="shared" ref="TI51" si="982">CONCATENATE(IF(HEX2DEC(SUBSTITUTE(MID(TG51,1,3)," ",""))&lt;10,CONCATENATE("0",HEX2DEC(SUBSTITUTE(MID(TG51,1,3)," ",""))),HEX2DEC(SUBSTITUTE(MID(TG51,1,3)," ",""))),":",IF(HEX2DEC(SUBSTITUTE(MID(TG51,4,3)," ",""))&lt;10,CONCATENATE("0",HEX2DEC(SUBSTITUTE(MID(TG51,4,3)," ",""))),HEX2DEC(SUBSTITUTE(MID(TG51,4,3)," ",""))),":",IF(HEX2DEC(SUBSTITUTE(MID(TG51,7,3)," ",""))&lt;10,CONCATENATE("0",HEX2DEC(SUBSTITUTE(MID(TG51,7,3)," ",""))),HEX2DEC(SUBSTITUTE(MID(TG51,7,3)," ",""))))</f>
        <v>00:00:00</v>
      </c>
      <c r="TJ51" s="344"/>
      <c r="TK51" s="353"/>
      <c r="TL51" s="2">
        <v>19</v>
      </c>
      <c r="TM51" s="3" t="s">
        <v>1252</v>
      </c>
      <c r="TN51" s="2">
        <f t="shared" si="799"/>
        <v>49</v>
      </c>
      <c r="TO51" s="2">
        <f t="shared" si="305"/>
        <v>51</v>
      </c>
      <c r="TP51" s="2">
        <v>3</v>
      </c>
      <c r="TQ51" s="255" t="str">
        <f t="shared" si="306"/>
        <v/>
      </c>
      <c r="TR51" s="255"/>
      <c r="TS51" s="231" t="str">
        <f t="shared" ref="TS51" si="983">CONCATENATE(IF(HEX2DEC(SUBSTITUTE(MID(TQ51,1,3)," ",""))&lt;10,CONCATENATE("0",HEX2DEC(SUBSTITUTE(MID(TQ51,1,3)," ",""))),HEX2DEC(SUBSTITUTE(MID(TQ51,1,3)," ",""))),":",IF(HEX2DEC(SUBSTITUTE(MID(TQ51,4,3)," ",""))&lt;10,CONCATENATE("0",HEX2DEC(SUBSTITUTE(MID(TQ51,4,3)," ",""))),HEX2DEC(SUBSTITUTE(MID(TQ51,4,3)," ",""))),":",IF(HEX2DEC(SUBSTITUTE(MID(TQ51,7,3)," ",""))&lt;10,CONCATENATE("0",HEX2DEC(SUBSTITUTE(MID(TQ51,7,3)," ",""))),HEX2DEC(SUBSTITUTE(MID(TQ51,7,3)," ",""))))</f>
        <v>00:00:00</v>
      </c>
      <c r="TT51" s="344"/>
      <c r="TU51" s="353"/>
      <c r="TV51" s="2">
        <v>19</v>
      </c>
      <c r="TW51" s="3" t="s">
        <v>1252</v>
      </c>
      <c r="TX51" s="2">
        <f t="shared" si="800"/>
        <v>49</v>
      </c>
      <c r="TY51" s="2">
        <f t="shared" si="309"/>
        <v>51</v>
      </c>
      <c r="TZ51" s="2">
        <v>3</v>
      </c>
      <c r="UA51" s="255" t="str">
        <f t="shared" si="310"/>
        <v/>
      </c>
      <c r="UB51" s="255"/>
      <c r="UC51" s="231" t="str">
        <f t="shared" ref="UC51" si="984">CONCATENATE(IF(HEX2DEC(SUBSTITUTE(MID(UA51,1,3)," ",""))&lt;10,CONCATENATE("0",HEX2DEC(SUBSTITUTE(MID(UA51,1,3)," ",""))),HEX2DEC(SUBSTITUTE(MID(UA51,1,3)," ",""))),":",IF(HEX2DEC(SUBSTITUTE(MID(UA51,4,3)," ",""))&lt;10,CONCATENATE("0",HEX2DEC(SUBSTITUTE(MID(UA51,4,3)," ",""))),HEX2DEC(SUBSTITUTE(MID(UA51,4,3)," ",""))),":",IF(HEX2DEC(SUBSTITUTE(MID(UA51,7,3)," ",""))&lt;10,CONCATENATE("0",HEX2DEC(SUBSTITUTE(MID(UA51,7,3)," ",""))),HEX2DEC(SUBSTITUTE(MID(UA51,7,3)," ",""))))</f>
        <v>00:00:00</v>
      </c>
      <c r="UD51" s="344"/>
      <c r="UE51" s="353"/>
      <c r="UF51" s="2">
        <v>19</v>
      </c>
      <c r="UG51" s="3" t="s">
        <v>1252</v>
      </c>
      <c r="UH51" s="2">
        <f t="shared" si="801"/>
        <v>49</v>
      </c>
      <c r="UI51" s="2">
        <f t="shared" si="313"/>
        <v>51</v>
      </c>
      <c r="UJ51" s="2">
        <v>3</v>
      </c>
      <c r="UK51" s="255" t="str">
        <f t="shared" si="314"/>
        <v/>
      </c>
      <c r="UL51" s="255"/>
      <c r="UM51" s="231" t="str">
        <f t="shared" ref="UM51" si="985">CONCATENATE(IF(HEX2DEC(SUBSTITUTE(MID(UK51,1,3)," ",""))&lt;10,CONCATENATE("0",HEX2DEC(SUBSTITUTE(MID(UK51,1,3)," ",""))),HEX2DEC(SUBSTITUTE(MID(UK51,1,3)," ",""))),":",IF(HEX2DEC(SUBSTITUTE(MID(UK51,4,3)," ",""))&lt;10,CONCATENATE("0",HEX2DEC(SUBSTITUTE(MID(UK51,4,3)," ",""))),HEX2DEC(SUBSTITUTE(MID(UK51,4,3)," ",""))),":",IF(HEX2DEC(SUBSTITUTE(MID(UK51,7,3)," ",""))&lt;10,CONCATENATE("0",HEX2DEC(SUBSTITUTE(MID(UK51,7,3)," ",""))),HEX2DEC(SUBSTITUTE(MID(UK51,7,3)," ",""))))</f>
        <v>00:00:00</v>
      </c>
      <c r="UN51" s="344"/>
      <c r="UO51" s="353"/>
      <c r="UP51" s="2">
        <v>19</v>
      </c>
      <c r="UQ51" s="3" t="s">
        <v>1252</v>
      </c>
      <c r="UR51" s="2">
        <f t="shared" si="802"/>
        <v>49</v>
      </c>
      <c r="US51" s="2">
        <f t="shared" si="317"/>
        <v>51</v>
      </c>
      <c r="UT51" s="2">
        <v>3</v>
      </c>
      <c r="UU51" s="255" t="str">
        <f t="shared" si="318"/>
        <v/>
      </c>
      <c r="UV51" s="255"/>
      <c r="UW51" s="231" t="str">
        <f t="shared" ref="UW51" si="986">CONCATENATE(IF(HEX2DEC(SUBSTITUTE(MID(UU51,1,3)," ",""))&lt;10,CONCATENATE("0",HEX2DEC(SUBSTITUTE(MID(UU51,1,3)," ",""))),HEX2DEC(SUBSTITUTE(MID(UU51,1,3)," ",""))),":",IF(HEX2DEC(SUBSTITUTE(MID(UU51,4,3)," ",""))&lt;10,CONCATENATE("0",HEX2DEC(SUBSTITUTE(MID(UU51,4,3)," ",""))),HEX2DEC(SUBSTITUTE(MID(UU51,4,3)," ",""))),":",IF(HEX2DEC(SUBSTITUTE(MID(UU51,7,3)," ",""))&lt;10,CONCATENATE("0",HEX2DEC(SUBSTITUTE(MID(UU51,7,3)," ",""))),HEX2DEC(SUBSTITUTE(MID(UU51,7,3)," ",""))))</f>
        <v>00:00:00</v>
      </c>
      <c r="UX51" s="344"/>
      <c r="UY51" s="353"/>
      <c r="UZ51" s="2">
        <v>19</v>
      </c>
      <c r="VA51" s="3" t="s">
        <v>1252</v>
      </c>
      <c r="VB51" s="2">
        <f t="shared" si="803"/>
        <v>49</v>
      </c>
      <c r="VC51" s="2">
        <f t="shared" si="321"/>
        <v>51</v>
      </c>
      <c r="VD51" s="2">
        <v>3</v>
      </c>
      <c r="VE51" s="255" t="str">
        <f t="shared" si="322"/>
        <v/>
      </c>
      <c r="VF51" s="255"/>
      <c r="VG51" s="231" t="str">
        <f t="shared" ref="VG51" si="987">CONCATENATE(IF(HEX2DEC(SUBSTITUTE(MID(VE51,1,3)," ",""))&lt;10,CONCATENATE("0",HEX2DEC(SUBSTITUTE(MID(VE51,1,3)," ",""))),HEX2DEC(SUBSTITUTE(MID(VE51,1,3)," ",""))),":",IF(HEX2DEC(SUBSTITUTE(MID(VE51,4,3)," ",""))&lt;10,CONCATENATE("0",HEX2DEC(SUBSTITUTE(MID(VE51,4,3)," ",""))),HEX2DEC(SUBSTITUTE(MID(VE51,4,3)," ",""))),":",IF(HEX2DEC(SUBSTITUTE(MID(VE51,7,3)," ",""))&lt;10,CONCATENATE("0",HEX2DEC(SUBSTITUTE(MID(VE51,7,3)," ",""))),HEX2DEC(SUBSTITUTE(MID(VE51,7,3)," ",""))))</f>
        <v>00:00:00</v>
      </c>
      <c r="VH51" s="344"/>
      <c r="VI51" s="353"/>
      <c r="VJ51" s="2">
        <v>19</v>
      </c>
      <c r="VK51" s="3" t="s">
        <v>1252</v>
      </c>
      <c r="VL51" s="2">
        <f t="shared" si="804"/>
        <v>49</v>
      </c>
      <c r="VM51" s="2">
        <f t="shared" si="325"/>
        <v>51</v>
      </c>
      <c r="VN51" s="2">
        <v>3</v>
      </c>
      <c r="VO51" s="255" t="str">
        <f t="shared" si="326"/>
        <v/>
      </c>
      <c r="VP51" s="255"/>
      <c r="VQ51" s="231" t="str">
        <f t="shared" ref="VQ51" si="988">CONCATENATE(IF(HEX2DEC(SUBSTITUTE(MID(VO51,1,3)," ",""))&lt;10,CONCATENATE("0",HEX2DEC(SUBSTITUTE(MID(VO51,1,3)," ",""))),HEX2DEC(SUBSTITUTE(MID(VO51,1,3)," ",""))),":",IF(HEX2DEC(SUBSTITUTE(MID(VO51,4,3)," ",""))&lt;10,CONCATENATE("0",HEX2DEC(SUBSTITUTE(MID(VO51,4,3)," ",""))),HEX2DEC(SUBSTITUTE(MID(VO51,4,3)," ",""))),":",IF(HEX2DEC(SUBSTITUTE(MID(VO51,7,3)," ",""))&lt;10,CONCATENATE("0",HEX2DEC(SUBSTITUTE(MID(VO51,7,3)," ",""))),HEX2DEC(SUBSTITUTE(MID(VO51,7,3)," ",""))))</f>
        <v>00:00:00</v>
      </c>
      <c r="VR51" s="344"/>
      <c r="VS51" s="353"/>
      <c r="VT51" s="2">
        <v>19</v>
      </c>
      <c r="VU51" s="3" t="s">
        <v>1252</v>
      </c>
      <c r="VV51" s="2">
        <f t="shared" si="805"/>
        <v>49</v>
      </c>
      <c r="VW51" s="2">
        <f t="shared" si="329"/>
        <v>51</v>
      </c>
      <c r="VX51" s="2">
        <v>3</v>
      </c>
      <c r="VY51" s="255" t="str">
        <f t="shared" si="330"/>
        <v/>
      </c>
      <c r="VZ51" s="255"/>
      <c r="WA51" s="231" t="str">
        <f t="shared" ref="WA51" si="989">CONCATENATE(IF(HEX2DEC(SUBSTITUTE(MID(VY51,1,3)," ",""))&lt;10,CONCATENATE("0",HEX2DEC(SUBSTITUTE(MID(VY51,1,3)," ",""))),HEX2DEC(SUBSTITUTE(MID(VY51,1,3)," ",""))),":",IF(HEX2DEC(SUBSTITUTE(MID(VY51,4,3)," ",""))&lt;10,CONCATENATE("0",HEX2DEC(SUBSTITUTE(MID(VY51,4,3)," ",""))),HEX2DEC(SUBSTITUTE(MID(VY51,4,3)," ",""))),":",IF(HEX2DEC(SUBSTITUTE(MID(VY51,7,3)," ",""))&lt;10,CONCATENATE("0",HEX2DEC(SUBSTITUTE(MID(VY51,7,3)," ",""))),HEX2DEC(SUBSTITUTE(MID(VY51,7,3)," ",""))))</f>
        <v>00:00:00</v>
      </c>
      <c r="WB51" s="344"/>
      <c r="WC51" s="353"/>
      <c r="WD51" s="2">
        <v>19</v>
      </c>
      <c r="WE51" s="3" t="s">
        <v>1252</v>
      </c>
      <c r="WF51" s="2">
        <f t="shared" si="806"/>
        <v>49</v>
      </c>
      <c r="WG51" s="2">
        <f t="shared" si="333"/>
        <v>51</v>
      </c>
      <c r="WH51" s="2">
        <v>3</v>
      </c>
      <c r="WI51" s="255" t="str">
        <f t="shared" si="334"/>
        <v/>
      </c>
      <c r="WJ51" s="255"/>
      <c r="WK51" s="231" t="str">
        <f t="shared" ref="WK51" si="990">CONCATENATE(IF(HEX2DEC(SUBSTITUTE(MID(WI51,1,3)," ",""))&lt;10,CONCATENATE("0",HEX2DEC(SUBSTITUTE(MID(WI51,1,3)," ",""))),HEX2DEC(SUBSTITUTE(MID(WI51,1,3)," ",""))),":",IF(HEX2DEC(SUBSTITUTE(MID(WI51,4,3)," ",""))&lt;10,CONCATENATE("0",HEX2DEC(SUBSTITUTE(MID(WI51,4,3)," ",""))),HEX2DEC(SUBSTITUTE(MID(WI51,4,3)," ",""))),":",IF(HEX2DEC(SUBSTITUTE(MID(WI51,7,3)," ",""))&lt;10,CONCATENATE("0",HEX2DEC(SUBSTITUTE(MID(WI51,7,3)," ",""))),HEX2DEC(SUBSTITUTE(MID(WI51,7,3)," ",""))))</f>
        <v>00:00:00</v>
      </c>
      <c r="WL51" s="344"/>
      <c r="WM51" s="353"/>
      <c r="WN51" s="2">
        <v>19</v>
      </c>
      <c r="WO51" s="3" t="s">
        <v>1252</v>
      </c>
      <c r="WP51" s="2">
        <f t="shared" si="807"/>
        <v>49</v>
      </c>
      <c r="WQ51" s="2">
        <f t="shared" si="337"/>
        <v>51</v>
      </c>
      <c r="WR51" s="2">
        <v>3</v>
      </c>
      <c r="WS51" s="255" t="str">
        <f t="shared" si="338"/>
        <v/>
      </c>
      <c r="WT51" s="255"/>
      <c r="WU51" s="231" t="str">
        <f t="shared" ref="WU51" si="991">CONCATENATE(IF(HEX2DEC(SUBSTITUTE(MID(WS51,1,3)," ",""))&lt;10,CONCATENATE("0",HEX2DEC(SUBSTITUTE(MID(WS51,1,3)," ",""))),HEX2DEC(SUBSTITUTE(MID(WS51,1,3)," ",""))),":",IF(HEX2DEC(SUBSTITUTE(MID(WS51,4,3)," ",""))&lt;10,CONCATENATE("0",HEX2DEC(SUBSTITUTE(MID(WS51,4,3)," ",""))),HEX2DEC(SUBSTITUTE(MID(WS51,4,3)," ",""))),":",IF(HEX2DEC(SUBSTITUTE(MID(WS51,7,3)," ",""))&lt;10,CONCATENATE("0",HEX2DEC(SUBSTITUTE(MID(WS51,7,3)," ",""))),HEX2DEC(SUBSTITUTE(MID(WS51,7,3)," ",""))))</f>
        <v>00:00:00</v>
      </c>
      <c r="WV51" s="344"/>
      <c r="WW51" s="353"/>
      <c r="WX51" s="2">
        <v>19</v>
      </c>
      <c r="WY51" s="3" t="s">
        <v>1252</v>
      </c>
      <c r="WZ51" s="2">
        <f t="shared" si="808"/>
        <v>49</v>
      </c>
      <c r="XA51" s="2">
        <f t="shared" si="341"/>
        <v>51</v>
      </c>
      <c r="XB51" s="2">
        <v>3</v>
      </c>
      <c r="XC51" s="255" t="str">
        <f t="shared" si="342"/>
        <v/>
      </c>
      <c r="XD51" s="255"/>
      <c r="XE51" s="231" t="str">
        <f t="shared" ref="XE51" si="992">CONCATENATE(IF(HEX2DEC(SUBSTITUTE(MID(XC51,1,3)," ",""))&lt;10,CONCATENATE("0",HEX2DEC(SUBSTITUTE(MID(XC51,1,3)," ",""))),HEX2DEC(SUBSTITUTE(MID(XC51,1,3)," ",""))),":",IF(HEX2DEC(SUBSTITUTE(MID(XC51,4,3)," ",""))&lt;10,CONCATENATE("0",HEX2DEC(SUBSTITUTE(MID(XC51,4,3)," ",""))),HEX2DEC(SUBSTITUTE(MID(XC51,4,3)," ",""))),":",IF(HEX2DEC(SUBSTITUTE(MID(XC51,7,3)," ",""))&lt;10,CONCATENATE("0",HEX2DEC(SUBSTITUTE(MID(XC51,7,3)," ",""))),HEX2DEC(SUBSTITUTE(MID(XC51,7,3)," ",""))))</f>
        <v>00:00:00</v>
      </c>
      <c r="XF51" s="344"/>
      <c r="XG51" s="353"/>
      <c r="XH51" s="2">
        <v>19</v>
      </c>
      <c r="XI51" s="3" t="s">
        <v>1252</v>
      </c>
      <c r="XJ51" s="2">
        <f t="shared" si="809"/>
        <v>49</v>
      </c>
      <c r="XK51" s="2">
        <f t="shared" si="345"/>
        <v>51</v>
      </c>
      <c r="XL51" s="2">
        <v>3</v>
      </c>
      <c r="XM51" s="255" t="str">
        <f t="shared" si="346"/>
        <v/>
      </c>
      <c r="XN51" s="255"/>
      <c r="XO51" s="231" t="str">
        <f t="shared" ref="XO51" si="993">CONCATENATE(IF(HEX2DEC(SUBSTITUTE(MID(XM51,1,3)," ",""))&lt;10,CONCATENATE("0",HEX2DEC(SUBSTITUTE(MID(XM51,1,3)," ",""))),HEX2DEC(SUBSTITUTE(MID(XM51,1,3)," ",""))),":",IF(HEX2DEC(SUBSTITUTE(MID(XM51,4,3)," ",""))&lt;10,CONCATENATE("0",HEX2DEC(SUBSTITUTE(MID(XM51,4,3)," ",""))),HEX2DEC(SUBSTITUTE(MID(XM51,4,3)," ",""))),":",IF(HEX2DEC(SUBSTITUTE(MID(XM51,7,3)," ",""))&lt;10,CONCATENATE("0",HEX2DEC(SUBSTITUTE(MID(XM51,7,3)," ",""))),HEX2DEC(SUBSTITUTE(MID(XM51,7,3)," ",""))))</f>
        <v>00:00:00</v>
      </c>
      <c r="XP51" s="344"/>
      <c r="XQ51" s="353"/>
      <c r="XR51" s="2">
        <v>19</v>
      </c>
      <c r="XS51" s="3" t="s">
        <v>1252</v>
      </c>
      <c r="XT51" s="2">
        <f t="shared" si="810"/>
        <v>49</v>
      </c>
      <c r="XU51" s="2">
        <f t="shared" si="349"/>
        <v>51</v>
      </c>
      <c r="XV51" s="2">
        <v>3</v>
      </c>
      <c r="XW51" s="255" t="str">
        <f t="shared" si="350"/>
        <v/>
      </c>
      <c r="XX51" s="255"/>
      <c r="XY51" s="231" t="str">
        <f t="shared" ref="XY51" si="994">CONCATENATE(IF(HEX2DEC(SUBSTITUTE(MID(XW51,1,3)," ",""))&lt;10,CONCATENATE("0",HEX2DEC(SUBSTITUTE(MID(XW51,1,3)," ",""))),HEX2DEC(SUBSTITUTE(MID(XW51,1,3)," ",""))),":",IF(HEX2DEC(SUBSTITUTE(MID(XW51,4,3)," ",""))&lt;10,CONCATENATE("0",HEX2DEC(SUBSTITUTE(MID(XW51,4,3)," ",""))),HEX2DEC(SUBSTITUTE(MID(XW51,4,3)," ",""))),":",IF(HEX2DEC(SUBSTITUTE(MID(XW51,7,3)," ",""))&lt;10,CONCATENATE("0",HEX2DEC(SUBSTITUTE(MID(XW51,7,3)," ",""))),HEX2DEC(SUBSTITUTE(MID(XW51,7,3)," ",""))))</f>
        <v>00:00:00</v>
      </c>
      <c r="XZ51" s="344"/>
      <c r="YA51" s="353"/>
      <c r="YB51" s="2">
        <v>19</v>
      </c>
      <c r="YC51" s="3" t="s">
        <v>1252</v>
      </c>
      <c r="YD51" s="2">
        <f t="shared" si="811"/>
        <v>49</v>
      </c>
      <c r="YE51" s="2">
        <f t="shared" si="353"/>
        <v>51</v>
      </c>
      <c r="YF51" s="2">
        <v>3</v>
      </c>
      <c r="YG51" s="255" t="str">
        <f t="shared" si="354"/>
        <v/>
      </c>
      <c r="YH51" s="255"/>
      <c r="YI51" s="231" t="str">
        <f t="shared" ref="YI51" si="995">CONCATENATE(IF(HEX2DEC(SUBSTITUTE(MID(YG51,1,3)," ",""))&lt;10,CONCATENATE("0",HEX2DEC(SUBSTITUTE(MID(YG51,1,3)," ",""))),HEX2DEC(SUBSTITUTE(MID(YG51,1,3)," ",""))),":",IF(HEX2DEC(SUBSTITUTE(MID(YG51,4,3)," ",""))&lt;10,CONCATENATE("0",HEX2DEC(SUBSTITUTE(MID(YG51,4,3)," ",""))),HEX2DEC(SUBSTITUTE(MID(YG51,4,3)," ",""))),":",IF(HEX2DEC(SUBSTITUTE(MID(YG51,7,3)," ",""))&lt;10,CONCATENATE("0",HEX2DEC(SUBSTITUTE(MID(YG51,7,3)," ",""))),HEX2DEC(SUBSTITUTE(MID(YG51,7,3)," ",""))))</f>
        <v>00:00:00</v>
      </c>
      <c r="YJ51" s="344"/>
      <c r="YK51" s="353"/>
      <c r="YL51" s="2">
        <v>19</v>
      </c>
      <c r="YM51" s="3" t="s">
        <v>1252</v>
      </c>
      <c r="YN51" s="2">
        <f t="shared" si="812"/>
        <v>49</v>
      </c>
      <c r="YO51" s="2">
        <f t="shared" si="357"/>
        <v>51</v>
      </c>
      <c r="YP51" s="2">
        <v>3</v>
      </c>
      <c r="YQ51" s="255" t="str">
        <f t="shared" si="358"/>
        <v/>
      </c>
      <c r="YR51" s="255"/>
      <c r="YS51" s="231" t="str">
        <f t="shared" ref="YS51" si="996">CONCATENATE(IF(HEX2DEC(SUBSTITUTE(MID(YQ51,1,3)," ",""))&lt;10,CONCATENATE("0",HEX2DEC(SUBSTITUTE(MID(YQ51,1,3)," ",""))),HEX2DEC(SUBSTITUTE(MID(YQ51,1,3)," ",""))),":",IF(HEX2DEC(SUBSTITUTE(MID(YQ51,4,3)," ",""))&lt;10,CONCATENATE("0",HEX2DEC(SUBSTITUTE(MID(YQ51,4,3)," ",""))),HEX2DEC(SUBSTITUTE(MID(YQ51,4,3)," ",""))),":",IF(HEX2DEC(SUBSTITUTE(MID(YQ51,7,3)," ",""))&lt;10,CONCATENATE("0",HEX2DEC(SUBSTITUTE(MID(YQ51,7,3)," ",""))),HEX2DEC(SUBSTITUTE(MID(YQ51,7,3)," ",""))))</f>
        <v>00:00:00</v>
      </c>
      <c r="YT51" s="344"/>
      <c r="YU51" s="353"/>
      <c r="YV51" s="2">
        <v>19</v>
      </c>
      <c r="YW51" s="3" t="s">
        <v>1252</v>
      </c>
      <c r="YX51" s="2">
        <f t="shared" si="813"/>
        <v>49</v>
      </c>
      <c r="YY51" s="2">
        <f t="shared" si="361"/>
        <v>51</v>
      </c>
      <c r="YZ51" s="2">
        <v>3</v>
      </c>
      <c r="ZA51" s="255" t="str">
        <f t="shared" si="362"/>
        <v/>
      </c>
      <c r="ZB51" s="255"/>
      <c r="ZC51" s="231" t="str">
        <f t="shared" ref="ZC51" si="997">CONCATENATE(IF(HEX2DEC(SUBSTITUTE(MID(ZA51,1,3)," ",""))&lt;10,CONCATENATE("0",HEX2DEC(SUBSTITUTE(MID(ZA51,1,3)," ",""))),HEX2DEC(SUBSTITUTE(MID(ZA51,1,3)," ",""))),":",IF(HEX2DEC(SUBSTITUTE(MID(ZA51,4,3)," ",""))&lt;10,CONCATENATE("0",HEX2DEC(SUBSTITUTE(MID(ZA51,4,3)," ",""))),HEX2DEC(SUBSTITUTE(MID(ZA51,4,3)," ",""))),":",IF(HEX2DEC(SUBSTITUTE(MID(ZA51,7,3)," ",""))&lt;10,CONCATENATE("0",HEX2DEC(SUBSTITUTE(MID(ZA51,7,3)," ",""))),HEX2DEC(SUBSTITUTE(MID(ZA51,7,3)," ",""))))</f>
        <v>00:00:00</v>
      </c>
      <c r="ZD51" s="344"/>
      <c r="ZE51" s="353"/>
      <c r="ZF51" s="2">
        <v>19</v>
      </c>
      <c r="ZG51" s="3" t="s">
        <v>1252</v>
      </c>
      <c r="ZH51" s="2">
        <f t="shared" si="814"/>
        <v>49</v>
      </c>
      <c r="ZI51" s="2">
        <f t="shared" si="365"/>
        <v>51</v>
      </c>
      <c r="ZJ51" s="2">
        <v>3</v>
      </c>
      <c r="ZK51" s="255" t="str">
        <f t="shared" si="366"/>
        <v/>
      </c>
      <c r="ZL51" s="255"/>
      <c r="ZM51" s="231" t="str">
        <f t="shared" ref="ZM51" si="998">CONCATENATE(IF(HEX2DEC(SUBSTITUTE(MID(ZK51,1,3)," ",""))&lt;10,CONCATENATE("0",HEX2DEC(SUBSTITUTE(MID(ZK51,1,3)," ",""))),HEX2DEC(SUBSTITUTE(MID(ZK51,1,3)," ",""))),":",IF(HEX2DEC(SUBSTITUTE(MID(ZK51,4,3)," ",""))&lt;10,CONCATENATE("0",HEX2DEC(SUBSTITUTE(MID(ZK51,4,3)," ",""))),HEX2DEC(SUBSTITUTE(MID(ZK51,4,3)," ",""))),":",IF(HEX2DEC(SUBSTITUTE(MID(ZK51,7,3)," ",""))&lt;10,CONCATENATE("0",HEX2DEC(SUBSTITUTE(MID(ZK51,7,3)," ",""))),HEX2DEC(SUBSTITUTE(MID(ZK51,7,3)," ",""))))</f>
        <v>00:00:00</v>
      </c>
      <c r="ZN51" s="344"/>
      <c r="ZO51" s="353"/>
      <c r="ZP51" s="2">
        <v>19</v>
      </c>
      <c r="ZQ51" s="3" t="s">
        <v>1252</v>
      </c>
      <c r="ZR51" s="2">
        <f t="shared" si="815"/>
        <v>49</v>
      </c>
      <c r="ZS51" s="2">
        <f t="shared" si="369"/>
        <v>51</v>
      </c>
      <c r="ZT51" s="2">
        <v>3</v>
      </c>
      <c r="ZU51" s="255" t="str">
        <f t="shared" si="370"/>
        <v/>
      </c>
      <c r="ZV51" s="255"/>
      <c r="ZW51" s="231" t="str">
        <f t="shared" ref="ZW51" si="999">CONCATENATE(IF(HEX2DEC(SUBSTITUTE(MID(ZU51,1,3)," ",""))&lt;10,CONCATENATE("0",HEX2DEC(SUBSTITUTE(MID(ZU51,1,3)," ",""))),HEX2DEC(SUBSTITUTE(MID(ZU51,1,3)," ",""))),":",IF(HEX2DEC(SUBSTITUTE(MID(ZU51,4,3)," ",""))&lt;10,CONCATENATE("0",HEX2DEC(SUBSTITUTE(MID(ZU51,4,3)," ",""))),HEX2DEC(SUBSTITUTE(MID(ZU51,4,3)," ",""))),":",IF(HEX2DEC(SUBSTITUTE(MID(ZU51,7,3)," ",""))&lt;10,CONCATENATE("0",HEX2DEC(SUBSTITUTE(MID(ZU51,7,3)," ",""))),HEX2DEC(SUBSTITUTE(MID(ZU51,7,3)," ",""))))</f>
        <v>00:00:00</v>
      </c>
      <c r="ZX51" s="344"/>
      <c r="ZY51" s="353"/>
      <c r="ZZ51" s="2">
        <v>19</v>
      </c>
      <c r="AAA51" s="3" t="s">
        <v>1252</v>
      </c>
      <c r="AAB51" s="2">
        <f t="shared" si="816"/>
        <v>49</v>
      </c>
      <c r="AAC51" s="2">
        <f t="shared" si="373"/>
        <v>51</v>
      </c>
      <c r="AAD51" s="2">
        <v>3</v>
      </c>
      <c r="AAE51" s="255" t="str">
        <f t="shared" si="374"/>
        <v/>
      </c>
      <c r="AAF51" s="255"/>
      <c r="AAG51" s="231" t="str">
        <f t="shared" ref="AAG51" si="1000">CONCATENATE(IF(HEX2DEC(SUBSTITUTE(MID(AAE51,1,3)," ",""))&lt;10,CONCATENATE("0",HEX2DEC(SUBSTITUTE(MID(AAE51,1,3)," ",""))),HEX2DEC(SUBSTITUTE(MID(AAE51,1,3)," ",""))),":",IF(HEX2DEC(SUBSTITUTE(MID(AAE51,4,3)," ",""))&lt;10,CONCATENATE("0",HEX2DEC(SUBSTITUTE(MID(AAE51,4,3)," ",""))),HEX2DEC(SUBSTITUTE(MID(AAE51,4,3)," ",""))),":",IF(HEX2DEC(SUBSTITUTE(MID(AAE51,7,3)," ",""))&lt;10,CONCATENATE("0",HEX2DEC(SUBSTITUTE(MID(AAE51,7,3)," ",""))),HEX2DEC(SUBSTITUTE(MID(AAE51,7,3)," ",""))))</f>
        <v>00:00:00</v>
      </c>
      <c r="AAH51" s="344"/>
      <c r="AAI51" s="353"/>
      <c r="AAJ51" s="2">
        <v>19</v>
      </c>
      <c r="AAK51" s="3" t="s">
        <v>1252</v>
      </c>
      <c r="AAL51" s="2">
        <f t="shared" si="817"/>
        <v>49</v>
      </c>
      <c r="AAM51" s="2">
        <f t="shared" si="377"/>
        <v>51</v>
      </c>
      <c r="AAN51" s="2">
        <v>3</v>
      </c>
      <c r="AAO51" s="255" t="str">
        <f t="shared" si="378"/>
        <v/>
      </c>
      <c r="AAP51" s="255"/>
      <c r="AAQ51" s="231" t="str">
        <f t="shared" ref="AAQ51" si="1001">CONCATENATE(IF(HEX2DEC(SUBSTITUTE(MID(AAO51,1,3)," ",""))&lt;10,CONCATENATE("0",HEX2DEC(SUBSTITUTE(MID(AAO51,1,3)," ",""))),HEX2DEC(SUBSTITUTE(MID(AAO51,1,3)," ",""))),":",IF(HEX2DEC(SUBSTITUTE(MID(AAO51,4,3)," ",""))&lt;10,CONCATENATE("0",HEX2DEC(SUBSTITUTE(MID(AAO51,4,3)," ",""))),HEX2DEC(SUBSTITUTE(MID(AAO51,4,3)," ",""))),":",IF(HEX2DEC(SUBSTITUTE(MID(AAO51,7,3)," ",""))&lt;10,CONCATENATE("0",HEX2DEC(SUBSTITUTE(MID(AAO51,7,3)," ",""))),HEX2DEC(SUBSTITUTE(MID(AAO51,7,3)," ",""))))</f>
        <v>00:00:00</v>
      </c>
      <c r="AAR51" s="344"/>
      <c r="AAS51" s="353"/>
      <c r="AAT51" s="2">
        <v>19</v>
      </c>
      <c r="AAU51" s="3" t="s">
        <v>1252</v>
      </c>
      <c r="AAV51" s="2">
        <f t="shared" si="818"/>
        <v>49</v>
      </c>
      <c r="AAW51" s="2">
        <f t="shared" si="381"/>
        <v>51</v>
      </c>
      <c r="AAX51" s="2">
        <v>3</v>
      </c>
      <c r="AAY51" s="255" t="str">
        <f t="shared" si="382"/>
        <v/>
      </c>
      <c r="AAZ51" s="255"/>
      <c r="ABA51" s="231" t="str">
        <f t="shared" ref="ABA51" si="1002">CONCATENATE(IF(HEX2DEC(SUBSTITUTE(MID(AAY51,1,3)," ",""))&lt;10,CONCATENATE("0",HEX2DEC(SUBSTITUTE(MID(AAY51,1,3)," ",""))),HEX2DEC(SUBSTITUTE(MID(AAY51,1,3)," ",""))),":",IF(HEX2DEC(SUBSTITUTE(MID(AAY51,4,3)," ",""))&lt;10,CONCATENATE("0",HEX2DEC(SUBSTITUTE(MID(AAY51,4,3)," ",""))),HEX2DEC(SUBSTITUTE(MID(AAY51,4,3)," ",""))),":",IF(HEX2DEC(SUBSTITUTE(MID(AAY51,7,3)," ",""))&lt;10,CONCATENATE("0",HEX2DEC(SUBSTITUTE(MID(AAY51,7,3)," ",""))),HEX2DEC(SUBSTITUTE(MID(AAY51,7,3)," ",""))))</f>
        <v>00:00:00</v>
      </c>
      <c r="ABB51" s="344"/>
      <c r="ABC51" s="353"/>
      <c r="ABD51" s="2">
        <v>19</v>
      </c>
      <c r="ABE51" s="3" t="s">
        <v>1252</v>
      </c>
      <c r="ABF51" s="2">
        <f t="shared" si="819"/>
        <v>49</v>
      </c>
      <c r="ABG51" s="2">
        <f t="shared" si="385"/>
        <v>51</v>
      </c>
      <c r="ABH51" s="2">
        <v>3</v>
      </c>
      <c r="ABI51" s="255" t="str">
        <f t="shared" si="386"/>
        <v/>
      </c>
      <c r="ABJ51" s="255"/>
      <c r="ABK51" s="231" t="str">
        <f t="shared" ref="ABK51" si="1003">CONCATENATE(IF(HEX2DEC(SUBSTITUTE(MID(ABI51,1,3)," ",""))&lt;10,CONCATENATE("0",HEX2DEC(SUBSTITUTE(MID(ABI51,1,3)," ",""))),HEX2DEC(SUBSTITUTE(MID(ABI51,1,3)," ",""))),":",IF(HEX2DEC(SUBSTITUTE(MID(ABI51,4,3)," ",""))&lt;10,CONCATENATE("0",HEX2DEC(SUBSTITUTE(MID(ABI51,4,3)," ",""))),HEX2DEC(SUBSTITUTE(MID(ABI51,4,3)," ",""))),":",IF(HEX2DEC(SUBSTITUTE(MID(ABI51,7,3)," ",""))&lt;10,CONCATENATE("0",HEX2DEC(SUBSTITUTE(MID(ABI51,7,3)," ",""))),HEX2DEC(SUBSTITUTE(MID(ABI51,7,3)," ",""))))</f>
        <v>00:00:00</v>
      </c>
      <c r="ABL51" s="344"/>
      <c r="ABM51" s="353"/>
      <c r="ABN51" s="2">
        <v>19</v>
      </c>
      <c r="ABO51" s="3" t="s">
        <v>1252</v>
      </c>
      <c r="ABP51" s="2">
        <f t="shared" si="820"/>
        <v>49</v>
      </c>
      <c r="ABQ51" s="2">
        <f t="shared" si="389"/>
        <v>51</v>
      </c>
      <c r="ABR51" s="2">
        <v>3</v>
      </c>
      <c r="ABS51" s="255" t="str">
        <f t="shared" si="390"/>
        <v/>
      </c>
      <c r="ABT51" s="255"/>
      <c r="ABU51" s="231" t="str">
        <f t="shared" ref="ABU51" si="1004">CONCATENATE(IF(HEX2DEC(SUBSTITUTE(MID(ABS51,1,3)," ",""))&lt;10,CONCATENATE("0",HEX2DEC(SUBSTITUTE(MID(ABS51,1,3)," ",""))),HEX2DEC(SUBSTITUTE(MID(ABS51,1,3)," ",""))),":",IF(HEX2DEC(SUBSTITUTE(MID(ABS51,4,3)," ",""))&lt;10,CONCATENATE("0",HEX2DEC(SUBSTITUTE(MID(ABS51,4,3)," ",""))),HEX2DEC(SUBSTITUTE(MID(ABS51,4,3)," ",""))),":",IF(HEX2DEC(SUBSTITUTE(MID(ABS51,7,3)," ",""))&lt;10,CONCATENATE("0",HEX2DEC(SUBSTITUTE(MID(ABS51,7,3)," ",""))),HEX2DEC(SUBSTITUTE(MID(ABS51,7,3)," ",""))))</f>
        <v>00:00:00</v>
      </c>
      <c r="ABV51" s="344"/>
      <c r="ABW51" s="353"/>
      <c r="ABX51" s="2">
        <v>19</v>
      </c>
      <c r="ABY51" s="3" t="s">
        <v>1252</v>
      </c>
      <c r="ABZ51" s="2">
        <f t="shared" si="821"/>
        <v>49</v>
      </c>
      <c r="ACA51" s="2">
        <f t="shared" si="393"/>
        <v>51</v>
      </c>
      <c r="ACB51" s="2">
        <v>3</v>
      </c>
      <c r="ACC51" s="255" t="str">
        <f t="shared" si="394"/>
        <v/>
      </c>
      <c r="ACD51" s="255"/>
      <c r="ACE51" s="231" t="str">
        <f t="shared" ref="ACE51" si="1005">CONCATENATE(IF(HEX2DEC(SUBSTITUTE(MID(ACC51,1,3)," ",""))&lt;10,CONCATENATE("0",HEX2DEC(SUBSTITUTE(MID(ACC51,1,3)," ",""))),HEX2DEC(SUBSTITUTE(MID(ACC51,1,3)," ",""))),":",IF(HEX2DEC(SUBSTITUTE(MID(ACC51,4,3)," ",""))&lt;10,CONCATENATE("0",HEX2DEC(SUBSTITUTE(MID(ACC51,4,3)," ",""))),HEX2DEC(SUBSTITUTE(MID(ACC51,4,3)," ",""))),":",IF(HEX2DEC(SUBSTITUTE(MID(ACC51,7,3)," ",""))&lt;10,CONCATENATE("0",HEX2DEC(SUBSTITUTE(MID(ACC51,7,3)," ",""))),HEX2DEC(SUBSTITUTE(MID(ACC51,7,3)," ",""))))</f>
        <v>00:00:00</v>
      </c>
      <c r="ACF51" s="344"/>
      <c r="ACG51" s="353"/>
      <c r="ACH51" s="2">
        <v>19</v>
      </c>
      <c r="ACI51" s="3" t="s">
        <v>1252</v>
      </c>
      <c r="ACJ51" s="2">
        <f t="shared" si="822"/>
        <v>49</v>
      </c>
      <c r="ACK51" s="2">
        <f t="shared" si="397"/>
        <v>51</v>
      </c>
      <c r="ACL51" s="2">
        <v>3</v>
      </c>
      <c r="ACM51" s="255" t="str">
        <f t="shared" si="398"/>
        <v/>
      </c>
      <c r="ACN51" s="255"/>
      <c r="ACO51" s="231" t="str">
        <f t="shared" ref="ACO51" si="1006">CONCATENATE(IF(HEX2DEC(SUBSTITUTE(MID(ACM51,1,3)," ",""))&lt;10,CONCATENATE("0",HEX2DEC(SUBSTITUTE(MID(ACM51,1,3)," ",""))),HEX2DEC(SUBSTITUTE(MID(ACM51,1,3)," ",""))),":",IF(HEX2DEC(SUBSTITUTE(MID(ACM51,4,3)," ",""))&lt;10,CONCATENATE("0",HEX2DEC(SUBSTITUTE(MID(ACM51,4,3)," ",""))),HEX2DEC(SUBSTITUTE(MID(ACM51,4,3)," ",""))),":",IF(HEX2DEC(SUBSTITUTE(MID(ACM51,7,3)," ",""))&lt;10,CONCATENATE("0",HEX2DEC(SUBSTITUTE(MID(ACM51,7,3)," ",""))),HEX2DEC(SUBSTITUTE(MID(ACM51,7,3)," ",""))))</f>
        <v>00:00:00</v>
      </c>
      <c r="ACP51" s="344"/>
      <c r="ACQ51" s="353"/>
      <c r="ACR51" s="2">
        <v>19</v>
      </c>
      <c r="ACS51" s="3" t="s">
        <v>1252</v>
      </c>
      <c r="ACT51" s="2">
        <f t="shared" si="823"/>
        <v>49</v>
      </c>
      <c r="ACU51" s="2">
        <f t="shared" si="401"/>
        <v>51</v>
      </c>
      <c r="ACV51" s="2">
        <v>3</v>
      </c>
      <c r="ACW51" s="255" t="str">
        <f t="shared" si="402"/>
        <v/>
      </c>
      <c r="ACX51" s="255"/>
      <c r="ACY51" s="231" t="str">
        <f t="shared" ref="ACY51" si="1007">CONCATENATE(IF(HEX2DEC(SUBSTITUTE(MID(ACW51,1,3)," ",""))&lt;10,CONCATENATE("0",HEX2DEC(SUBSTITUTE(MID(ACW51,1,3)," ",""))),HEX2DEC(SUBSTITUTE(MID(ACW51,1,3)," ",""))),":",IF(HEX2DEC(SUBSTITUTE(MID(ACW51,4,3)," ",""))&lt;10,CONCATENATE("0",HEX2DEC(SUBSTITUTE(MID(ACW51,4,3)," ",""))),HEX2DEC(SUBSTITUTE(MID(ACW51,4,3)," ",""))),":",IF(HEX2DEC(SUBSTITUTE(MID(ACW51,7,3)," ",""))&lt;10,CONCATENATE("0",HEX2DEC(SUBSTITUTE(MID(ACW51,7,3)," ",""))),HEX2DEC(SUBSTITUTE(MID(ACW51,7,3)," ",""))))</f>
        <v>00:00:00</v>
      </c>
      <c r="ACZ51" s="344"/>
      <c r="ADA51" s="353"/>
      <c r="ADB51" s="2">
        <v>19</v>
      </c>
      <c r="ADC51" s="3" t="s">
        <v>1252</v>
      </c>
      <c r="ADD51" s="2">
        <f t="shared" si="824"/>
        <v>49</v>
      </c>
      <c r="ADE51" s="2">
        <f t="shared" si="405"/>
        <v>51</v>
      </c>
      <c r="ADF51" s="2">
        <v>3</v>
      </c>
      <c r="ADG51" s="255" t="str">
        <f t="shared" si="406"/>
        <v/>
      </c>
      <c r="ADH51" s="255"/>
      <c r="ADI51" s="231" t="str">
        <f t="shared" ref="ADI51" si="1008">CONCATENATE(IF(HEX2DEC(SUBSTITUTE(MID(ADG51,1,3)," ",""))&lt;10,CONCATENATE("0",HEX2DEC(SUBSTITUTE(MID(ADG51,1,3)," ",""))),HEX2DEC(SUBSTITUTE(MID(ADG51,1,3)," ",""))),":",IF(HEX2DEC(SUBSTITUTE(MID(ADG51,4,3)," ",""))&lt;10,CONCATENATE("0",HEX2DEC(SUBSTITUTE(MID(ADG51,4,3)," ",""))),HEX2DEC(SUBSTITUTE(MID(ADG51,4,3)," ",""))),":",IF(HEX2DEC(SUBSTITUTE(MID(ADG51,7,3)," ",""))&lt;10,CONCATENATE("0",HEX2DEC(SUBSTITUTE(MID(ADG51,7,3)," ",""))),HEX2DEC(SUBSTITUTE(MID(ADG51,7,3)," ",""))))</f>
        <v>00:00:00</v>
      </c>
      <c r="ADJ51" s="344"/>
      <c r="ADK51" s="353"/>
      <c r="ADL51" s="2">
        <v>19</v>
      </c>
      <c r="ADM51" s="3" t="s">
        <v>1252</v>
      </c>
      <c r="ADN51" s="2">
        <f t="shared" si="825"/>
        <v>49</v>
      </c>
      <c r="ADO51" s="2">
        <f t="shared" si="409"/>
        <v>51</v>
      </c>
      <c r="ADP51" s="2">
        <v>3</v>
      </c>
      <c r="ADQ51" s="255" t="str">
        <f t="shared" si="410"/>
        <v/>
      </c>
      <c r="ADR51" s="255"/>
      <c r="ADS51" s="231" t="str">
        <f t="shared" ref="ADS51" si="1009">CONCATENATE(IF(HEX2DEC(SUBSTITUTE(MID(ADQ51,1,3)," ",""))&lt;10,CONCATENATE("0",HEX2DEC(SUBSTITUTE(MID(ADQ51,1,3)," ",""))),HEX2DEC(SUBSTITUTE(MID(ADQ51,1,3)," ",""))),":",IF(HEX2DEC(SUBSTITUTE(MID(ADQ51,4,3)," ",""))&lt;10,CONCATENATE("0",HEX2DEC(SUBSTITUTE(MID(ADQ51,4,3)," ",""))),HEX2DEC(SUBSTITUTE(MID(ADQ51,4,3)," ",""))),":",IF(HEX2DEC(SUBSTITUTE(MID(ADQ51,7,3)," ",""))&lt;10,CONCATENATE("0",HEX2DEC(SUBSTITUTE(MID(ADQ51,7,3)," ",""))),HEX2DEC(SUBSTITUTE(MID(ADQ51,7,3)," ",""))))</f>
        <v>00:00:00</v>
      </c>
      <c r="ADT51" s="344"/>
      <c r="ADU51" s="353"/>
      <c r="ADV51" s="2">
        <v>19</v>
      </c>
      <c r="ADW51" s="3" t="s">
        <v>1252</v>
      </c>
      <c r="ADX51" s="2">
        <f t="shared" si="826"/>
        <v>49</v>
      </c>
      <c r="ADY51" s="2">
        <f t="shared" si="413"/>
        <v>51</v>
      </c>
      <c r="ADZ51" s="2">
        <v>3</v>
      </c>
      <c r="AEA51" s="255" t="str">
        <f t="shared" si="414"/>
        <v/>
      </c>
      <c r="AEB51" s="255"/>
      <c r="AEC51" s="231" t="str">
        <f t="shared" ref="AEC51" si="1010">CONCATENATE(IF(HEX2DEC(SUBSTITUTE(MID(AEA51,1,3)," ",""))&lt;10,CONCATENATE("0",HEX2DEC(SUBSTITUTE(MID(AEA51,1,3)," ",""))),HEX2DEC(SUBSTITUTE(MID(AEA51,1,3)," ",""))),":",IF(HEX2DEC(SUBSTITUTE(MID(AEA51,4,3)," ",""))&lt;10,CONCATENATE("0",HEX2DEC(SUBSTITUTE(MID(AEA51,4,3)," ",""))),HEX2DEC(SUBSTITUTE(MID(AEA51,4,3)," ",""))),":",IF(HEX2DEC(SUBSTITUTE(MID(AEA51,7,3)," ",""))&lt;10,CONCATENATE("0",HEX2DEC(SUBSTITUTE(MID(AEA51,7,3)," ",""))),HEX2DEC(SUBSTITUTE(MID(AEA51,7,3)," ",""))))</f>
        <v>00:00:00</v>
      </c>
      <c r="AED51" s="344"/>
      <c r="AEE51" s="353"/>
      <c r="AEF51" s="2">
        <v>19</v>
      </c>
      <c r="AEG51" s="3" t="s">
        <v>1252</v>
      </c>
      <c r="AEH51" s="2">
        <f t="shared" si="827"/>
        <v>49</v>
      </c>
      <c r="AEI51" s="2">
        <f t="shared" si="417"/>
        <v>51</v>
      </c>
      <c r="AEJ51" s="2">
        <v>3</v>
      </c>
      <c r="AEK51" s="255" t="str">
        <f t="shared" si="418"/>
        <v/>
      </c>
      <c r="AEL51" s="255"/>
      <c r="AEM51" s="231" t="str">
        <f t="shared" ref="AEM51" si="1011">CONCATENATE(IF(HEX2DEC(SUBSTITUTE(MID(AEK51,1,3)," ",""))&lt;10,CONCATENATE("0",HEX2DEC(SUBSTITUTE(MID(AEK51,1,3)," ",""))),HEX2DEC(SUBSTITUTE(MID(AEK51,1,3)," ",""))),":",IF(HEX2DEC(SUBSTITUTE(MID(AEK51,4,3)," ",""))&lt;10,CONCATENATE("0",HEX2DEC(SUBSTITUTE(MID(AEK51,4,3)," ",""))),HEX2DEC(SUBSTITUTE(MID(AEK51,4,3)," ",""))),":",IF(HEX2DEC(SUBSTITUTE(MID(AEK51,7,3)," ",""))&lt;10,CONCATENATE("0",HEX2DEC(SUBSTITUTE(MID(AEK51,7,3)," ",""))),HEX2DEC(SUBSTITUTE(MID(AEK51,7,3)," ",""))))</f>
        <v>00:00:00</v>
      </c>
      <c r="AEN51" s="344"/>
      <c r="AEO51" s="353"/>
      <c r="AEP51" s="2">
        <v>19</v>
      </c>
      <c r="AEQ51" s="3" t="s">
        <v>1252</v>
      </c>
      <c r="AER51" s="2">
        <f t="shared" si="828"/>
        <v>49</v>
      </c>
      <c r="AES51" s="2">
        <f t="shared" si="421"/>
        <v>51</v>
      </c>
      <c r="AET51" s="2">
        <v>3</v>
      </c>
      <c r="AEU51" s="255" t="str">
        <f t="shared" si="422"/>
        <v/>
      </c>
      <c r="AEV51" s="255"/>
      <c r="AEW51" s="231" t="str">
        <f t="shared" ref="AEW51" si="1012">CONCATENATE(IF(HEX2DEC(SUBSTITUTE(MID(AEU51,1,3)," ",""))&lt;10,CONCATENATE("0",HEX2DEC(SUBSTITUTE(MID(AEU51,1,3)," ",""))),HEX2DEC(SUBSTITUTE(MID(AEU51,1,3)," ",""))),":",IF(HEX2DEC(SUBSTITUTE(MID(AEU51,4,3)," ",""))&lt;10,CONCATENATE("0",HEX2DEC(SUBSTITUTE(MID(AEU51,4,3)," ",""))),HEX2DEC(SUBSTITUTE(MID(AEU51,4,3)," ",""))),":",IF(HEX2DEC(SUBSTITUTE(MID(AEU51,7,3)," ",""))&lt;10,CONCATENATE("0",HEX2DEC(SUBSTITUTE(MID(AEU51,7,3)," ",""))),HEX2DEC(SUBSTITUTE(MID(AEU51,7,3)," ",""))))</f>
        <v>00:00:00</v>
      </c>
      <c r="AEX51" s="344"/>
      <c r="AEY51" s="353"/>
      <c r="AEZ51" s="2">
        <v>19</v>
      </c>
      <c r="AFA51" s="3" t="s">
        <v>1252</v>
      </c>
      <c r="AFB51" s="2">
        <f t="shared" si="829"/>
        <v>49</v>
      </c>
      <c r="AFC51" s="2">
        <f t="shared" si="425"/>
        <v>51</v>
      </c>
      <c r="AFD51" s="2">
        <v>3</v>
      </c>
      <c r="AFE51" s="255" t="str">
        <f t="shared" si="426"/>
        <v/>
      </c>
      <c r="AFF51" s="255"/>
      <c r="AFG51" s="231" t="str">
        <f t="shared" ref="AFG51" si="1013">CONCATENATE(IF(HEX2DEC(SUBSTITUTE(MID(AFE51,1,3)," ",""))&lt;10,CONCATENATE("0",HEX2DEC(SUBSTITUTE(MID(AFE51,1,3)," ",""))),HEX2DEC(SUBSTITUTE(MID(AFE51,1,3)," ",""))),":",IF(HEX2DEC(SUBSTITUTE(MID(AFE51,4,3)," ",""))&lt;10,CONCATENATE("0",HEX2DEC(SUBSTITUTE(MID(AFE51,4,3)," ",""))),HEX2DEC(SUBSTITUTE(MID(AFE51,4,3)," ",""))),":",IF(HEX2DEC(SUBSTITUTE(MID(AFE51,7,3)," ",""))&lt;10,CONCATENATE("0",HEX2DEC(SUBSTITUTE(MID(AFE51,7,3)," ",""))),HEX2DEC(SUBSTITUTE(MID(AFE51,7,3)," ",""))))</f>
        <v>00:00:00</v>
      </c>
      <c r="AFH51" s="344"/>
      <c r="AFI51" s="353"/>
      <c r="AFJ51" s="2">
        <v>19</v>
      </c>
      <c r="AFK51" s="3" t="s">
        <v>1252</v>
      </c>
      <c r="AFL51" s="2">
        <f t="shared" si="830"/>
        <v>49</v>
      </c>
      <c r="AFM51" s="2">
        <f t="shared" si="429"/>
        <v>51</v>
      </c>
      <c r="AFN51" s="2">
        <v>3</v>
      </c>
      <c r="AFO51" s="255" t="str">
        <f t="shared" si="430"/>
        <v/>
      </c>
      <c r="AFP51" s="255"/>
      <c r="AFQ51" s="231" t="str">
        <f t="shared" ref="AFQ51" si="1014">CONCATENATE(IF(HEX2DEC(SUBSTITUTE(MID(AFO51,1,3)," ",""))&lt;10,CONCATENATE("0",HEX2DEC(SUBSTITUTE(MID(AFO51,1,3)," ",""))),HEX2DEC(SUBSTITUTE(MID(AFO51,1,3)," ",""))),":",IF(HEX2DEC(SUBSTITUTE(MID(AFO51,4,3)," ",""))&lt;10,CONCATENATE("0",HEX2DEC(SUBSTITUTE(MID(AFO51,4,3)," ",""))),HEX2DEC(SUBSTITUTE(MID(AFO51,4,3)," ",""))),":",IF(HEX2DEC(SUBSTITUTE(MID(AFO51,7,3)," ",""))&lt;10,CONCATENATE("0",HEX2DEC(SUBSTITUTE(MID(AFO51,7,3)," ",""))),HEX2DEC(SUBSTITUTE(MID(AFO51,7,3)," ",""))))</f>
        <v>00:00:00</v>
      </c>
      <c r="AFR51" s="344"/>
      <c r="AFS51" s="353"/>
      <c r="AFT51" s="2">
        <v>19</v>
      </c>
      <c r="AFU51" s="3" t="s">
        <v>1252</v>
      </c>
      <c r="AFV51" s="2">
        <f t="shared" si="831"/>
        <v>49</v>
      </c>
      <c r="AFW51" s="2">
        <f t="shared" si="433"/>
        <v>51</v>
      </c>
      <c r="AFX51" s="2">
        <v>3</v>
      </c>
      <c r="AFY51" s="255" t="str">
        <f t="shared" si="434"/>
        <v/>
      </c>
      <c r="AFZ51" s="255"/>
      <c r="AGA51" s="231" t="str">
        <f t="shared" ref="AGA51" si="1015">CONCATENATE(IF(HEX2DEC(SUBSTITUTE(MID(AFY51,1,3)," ",""))&lt;10,CONCATENATE("0",HEX2DEC(SUBSTITUTE(MID(AFY51,1,3)," ",""))),HEX2DEC(SUBSTITUTE(MID(AFY51,1,3)," ",""))),":",IF(HEX2DEC(SUBSTITUTE(MID(AFY51,4,3)," ",""))&lt;10,CONCATENATE("0",HEX2DEC(SUBSTITUTE(MID(AFY51,4,3)," ",""))),HEX2DEC(SUBSTITUTE(MID(AFY51,4,3)," ",""))),":",IF(HEX2DEC(SUBSTITUTE(MID(AFY51,7,3)," ",""))&lt;10,CONCATENATE("0",HEX2DEC(SUBSTITUTE(MID(AFY51,7,3)," ",""))),HEX2DEC(SUBSTITUTE(MID(AFY51,7,3)," ",""))))</f>
        <v>00:00:00</v>
      </c>
      <c r="AGB51" s="344"/>
      <c r="AGC51" s="353"/>
      <c r="AGD51" s="2">
        <v>19</v>
      </c>
      <c r="AGE51" s="3" t="s">
        <v>1252</v>
      </c>
      <c r="AGF51" s="2">
        <f t="shared" si="832"/>
        <v>49</v>
      </c>
      <c r="AGG51" s="2">
        <f t="shared" si="437"/>
        <v>51</v>
      </c>
      <c r="AGH51" s="2">
        <v>3</v>
      </c>
      <c r="AGI51" s="255" t="str">
        <f t="shared" si="438"/>
        <v/>
      </c>
      <c r="AGJ51" s="255"/>
      <c r="AGK51" s="231" t="str">
        <f t="shared" ref="AGK51" si="1016">CONCATENATE(IF(HEX2DEC(SUBSTITUTE(MID(AGI51,1,3)," ",""))&lt;10,CONCATENATE("0",HEX2DEC(SUBSTITUTE(MID(AGI51,1,3)," ",""))),HEX2DEC(SUBSTITUTE(MID(AGI51,1,3)," ",""))),":",IF(HEX2DEC(SUBSTITUTE(MID(AGI51,4,3)," ",""))&lt;10,CONCATENATE("0",HEX2DEC(SUBSTITUTE(MID(AGI51,4,3)," ",""))),HEX2DEC(SUBSTITUTE(MID(AGI51,4,3)," ",""))),":",IF(HEX2DEC(SUBSTITUTE(MID(AGI51,7,3)," ",""))&lt;10,CONCATENATE("0",HEX2DEC(SUBSTITUTE(MID(AGI51,7,3)," ",""))),HEX2DEC(SUBSTITUTE(MID(AGI51,7,3)," ",""))))</f>
        <v>00:00:00</v>
      </c>
      <c r="AGL51" s="344"/>
      <c r="AGM51" s="353"/>
      <c r="AGN51" s="2">
        <v>19</v>
      </c>
      <c r="AGO51" s="3" t="s">
        <v>1252</v>
      </c>
      <c r="AGP51" s="2">
        <f t="shared" si="833"/>
        <v>49</v>
      </c>
      <c r="AGQ51" s="2">
        <f t="shared" si="441"/>
        <v>51</v>
      </c>
      <c r="AGR51" s="2">
        <v>3</v>
      </c>
      <c r="AGS51" s="255" t="str">
        <f t="shared" si="442"/>
        <v/>
      </c>
      <c r="AGT51" s="255"/>
      <c r="AGU51" s="231" t="str">
        <f t="shared" ref="AGU51" si="1017">CONCATENATE(IF(HEX2DEC(SUBSTITUTE(MID(AGS51,1,3)," ",""))&lt;10,CONCATENATE("0",HEX2DEC(SUBSTITUTE(MID(AGS51,1,3)," ",""))),HEX2DEC(SUBSTITUTE(MID(AGS51,1,3)," ",""))),":",IF(HEX2DEC(SUBSTITUTE(MID(AGS51,4,3)," ",""))&lt;10,CONCATENATE("0",HEX2DEC(SUBSTITUTE(MID(AGS51,4,3)," ",""))),HEX2DEC(SUBSTITUTE(MID(AGS51,4,3)," ",""))),":",IF(HEX2DEC(SUBSTITUTE(MID(AGS51,7,3)," ",""))&lt;10,CONCATENATE("0",HEX2DEC(SUBSTITUTE(MID(AGS51,7,3)," ",""))),HEX2DEC(SUBSTITUTE(MID(AGS51,7,3)," ",""))))</f>
        <v>00:00:00</v>
      </c>
      <c r="AGV51" s="344"/>
      <c r="AGW51" s="353"/>
      <c r="AGX51" s="2">
        <v>19</v>
      </c>
      <c r="AGY51" s="3" t="s">
        <v>1252</v>
      </c>
      <c r="AGZ51" s="2">
        <f t="shared" si="834"/>
        <v>49</v>
      </c>
      <c r="AHA51" s="2">
        <f t="shared" si="445"/>
        <v>51</v>
      </c>
      <c r="AHB51" s="2">
        <v>3</v>
      </c>
      <c r="AHC51" s="255" t="str">
        <f t="shared" si="446"/>
        <v/>
      </c>
      <c r="AHD51" s="255"/>
      <c r="AHE51" s="231" t="str">
        <f t="shared" ref="AHE51" si="1018">CONCATENATE(IF(HEX2DEC(SUBSTITUTE(MID(AHC51,1,3)," ",""))&lt;10,CONCATENATE("0",HEX2DEC(SUBSTITUTE(MID(AHC51,1,3)," ",""))),HEX2DEC(SUBSTITUTE(MID(AHC51,1,3)," ",""))),":",IF(HEX2DEC(SUBSTITUTE(MID(AHC51,4,3)," ",""))&lt;10,CONCATENATE("0",HEX2DEC(SUBSTITUTE(MID(AHC51,4,3)," ",""))),HEX2DEC(SUBSTITUTE(MID(AHC51,4,3)," ",""))),":",IF(HEX2DEC(SUBSTITUTE(MID(AHC51,7,3)," ",""))&lt;10,CONCATENATE("0",HEX2DEC(SUBSTITUTE(MID(AHC51,7,3)," ",""))),HEX2DEC(SUBSTITUTE(MID(AHC51,7,3)," ",""))))</f>
        <v>00:00:00</v>
      </c>
      <c r="AHF51" s="344"/>
      <c r="AHG51" s="353"/>
      <c r="AHH51" s="2">
        <v>19</v>
      </c>
      <c r="AHI51" s="3" t="s">
        <v>1252</v>
      </c>
      <c r="AHJ51" s="2">
        <f t="shared" si="835"/>
        <v>49</v>
      </c>
      <c r="AHK51" s="2">
        <f t="shared" si="449"/>
        <v>51</v>
      </c>
      <c r="AHL51" s="2">
        <v>3</v>
      </c>
      <c r="AHM51" s="255" t="str">
        <f t="shared" si="450"/>
        <v/>
      </c>
      <c r="AHN51" s="255"/>
      <c r="AHO51" s="231" t="str">
        <f t="shared" ref="AHO51" si="1019">CONCATENATE(IF(HEX2DEC(SUBSTITUTE(MID(AHM51,1,3)," ",""))&lt;10,CONCATENATE("0",HEX2DEC(SUBSTITUTE(MID(AHM51,1,3)," ",""))),HEX2DEC(SUBSTITUTE(MID(AHM51,1,3)," ",""))),":",IF(HEX2DEC(SUBSTITUTE(MID(AHM51,4,3)," ",""))&lt;10,CONCATENATE("0",HEX2DEC(SUBSTITUTE(MID(AHM51,4,3)," ",""))),HEX2DEC(SUBSTITUTE(MID(AHM51,4,3)," ",""))),":",IF(HEX2DEC(SUBSTITUTE(MID(AHM51,7,3)," ",""))&lt;10,CONCATENATE("0",HEX2DEC(SUBSTITUTE(MID(AHM51,7,3)," ",""))),HEX2DEC(SUBSTITUTE(MID(AHM51,7,3)," ",""))))</f>
        <v>00:00:00</v>
      </c>
      <c r="AHP51" s="344"/>
      <c r="AHQ51" s="353"/>
      <c r="AHR51" s="2">
        <v>19</v>
      </c>
      <c r="AHS51" s="3" t="s">
        <v>1252</v>
      </c>
      <c r="AHT51" s="2">
        <f t="shared" si="836"/>
        <v>49</v>
      </c>
      <c r="AHU51" s="2">
        <f t="shared" si="453"/>
        <v>51</v>
      </c>
      <c r="AHV51" s="2">
        <v>3</v>
      </c>
      <c r="AHW51" s="255" t="str">
        <f t="shared" si="454"/>
        <v/>
      </c>
      <c r="AHX51" s="255"/>
      <c r="AHY51" s="231" t="str">
        <f t="shared" ref="AHY51" si="1020">CONCATENATE(IF(HEX2DEC(SUBSTITUTE(MID(AHW51,1,3)," ",""))&lt;10,CONCATENATE("0",HEX2DEC(SUBSTITUTE(MID(AHW51,1,3)," ",""))),HEX2DEC(SUBSTITUTE(MID(AHW51,1,3)," ",""))),":",IF(HEX2DEC(SUBSTITUTE(MID(AHW51,4,3)," ",""))&lt;10,CONCATENATE("0",HEX2DEC(SUBSTITUTE(MID(AHW51,4,3)," ",""))),HEX2DEC(SUBSTITUTE(MID(AHW51,4,3)," ",""))),":",IF(HEX2DEC(SUBSTITUTE(MID(AHW51,7,3)," ",""))&lt;10,CONCATENATE("0",HEX2DEC(SUBSTITUTE(MID(AHW51,7,3)," ",""))),HEX2DEC(SUBSTITUTE(MID(AHW51,7,3)," ",""))))</f>
        <v>00:00:00</v>
      </c>
      <c r="AHZ51" s="344"/>
      <c r="AIA51" s="353"/>
      <c r="AIB51" s="2">
        <v>19</v>
      </c>
      <c r="AIC51" s="3" t="s">
        <v>1252</v>
      </c>
      <c r="AID51" s="2">
        <f t="shared" si="837"/>
        <v>49</v>
      </c>
      <c r="AIE51" s="2">
        <f t="shared" si="457"/>
        <v>51</v>
      </c>
      <c r="AIF51" s="2">
        <v>3</v>
      </c>
      <c r="AIG51" s="255" t="str">
        <f t="shared" si="458"/>
        <v/>
      </c>
      <c r="AIH51" s="255"/>
      <c r="AII51" s="231" t="str">
        <f t="shared" ref="AII51" si="1021">CONCATENATE(IF(HEX2DEC(SUBSTITUTE(MID(AIG51,1,3)," ",""))&lt;10,CONCATENATE("0",HEX2DEC(SUBSTITUTE(MID(AIG51,1,3)," ",""))),HEX2DEC(SUBSTITUTE(MID(AIG51,1,3)," ",""))),":",IF(HEX2DEC(SUBSTITUTE(MID(AIG51,4,3)," ",""))&lt;10,CONCATENATE("0",HEX2DEC(SUBSTITUTE(MID(AIG51,4,3)," ",""))),HEX2DEC(SUBSTITUTE(MID(AIG51,4,3)," ",""))),":",IF(HEX2DEC(SUBSTITUTE(MID(AIG51,7,3)," ",""))&lt;10,CONCATENATE("0",HEX2DEC(SUBSTITUTE(MID(AIG51,7,3)," ",""))),HEX2DEC(SUBSTITUTE(MID(AIG51,7,3)," ",""))))</f>
        <v>00:00:00</v>
      </c>
      <c r="AIJ51" s="344"/>
      <c r="AIK51" s="353"/>
      <c r="AIL51" s="2">
        <v>19</v>
      </c>
      <c r="AIM51" s="3" t="s">
        <v>1252</v>
      </c>
      <c r="AIN51" s="2">
        <f t="shared" si="838"/>
        <v>49</v>
      </c>
      <c r="AIO51" s="2">
        <f t="shared" si="461"/>
        <v>51</v>
      </c>
      <c r="AIP51" s="2">
        <v>3</v>
      </c>
      <c r="AIQ51" s="255" t="str">
        <f t="shared" si="462"/>
        <v/>
      </c>
      <c r="AIR51" s="255"/>
      <c r="AIS51" s="231" t="str">
        <f t="shared" ref="AIS51" si="1022">CONCATENATE(IF(HEX2DEC(SUBSTITUTE(MID(AIQ51,1,3)," ",""))&lt;10,CONCATENATE("0",HEX2DEC(SUBSTITUTE(MID(AIQ51,1,3)," ",""))),HEX2DEC(SUBSTITUTE(MID(AIQ51,1,3)," ",""))),":",IF(HEX2DEC(SUBSTITUTE(MID(AIQ51,4,3)," ",""))&lt;10,CONCATENATE("0",HEX2DEC(SUBSTITUTE(MID(AIQ51,4,3)," ",""))),HEX2DEC(SUBSTITUTE(MID(AIQ51,4,3)," ",""))),":",IF(HEX2DEC(SUBSTITUTE(MID(AIQ51,7,3)," ",""))&lt;10,CONCATENATE("0",HEX2DEC(SUBSTITUTE(MID(AIQ51,7,3)," ",""))),HEX2DEC(SUBSTITUTE(MID(AIQ51,7,3)," ",""))))</f>
        <v>00:00:00</v>
      </c>
      <c r="AIT51" s="344"/>
      <c r="AIU51" s="353"/>
      <c r="AIV51" s="2">
        <v>19</v>
      </c>
      <c r="AIW51" s="3" t="s">
        <v>1252</v>
      </c>
      <c r="AIX51" s="2">
        <f t="shared" si="839"/>
        <v>49</v>
      </c>
      <c r="AIY51" s="2">
        <f t="shared" si="465"/>
        <v>51</v>
      </c>
      <c r="AIZ51" s="2">
        <v>3</v>
      </c>
      <c r="AJA51" s="255" t="str">
        <f t="shared" si="466"/>
        <v/>
      </c>
      <c r="AJB51" s="255"/>
      <c r="AJC51" s="231" t="str">
        <f t="shared" ref="AJC51" si="1023">CONCATENATE(IF(HEX2DEC(SUBSTITUTE(MID(AJA51,1,3)," ",""))&lt;10,CONCATENATE("0",HEX2DEC(SUBSTITUTE(MID(AJA51,1,3)," ",""))),HEX2DEC(SUBSTITUTE(MID(AJA51,1,3)," ",""))),":",IF(HEX2DEC(SUBSTITUTE(MID(AJA51,4,3)," ",""))&lt;10,CONCATENATE("0",HEX2DEC(SUBSTITUTE(MID(AJA51,4,3)," ",""))),HEX2DEC(SUBSTITUTE(MID(AJA51,4,3)," ",""))),":",IF(HEX2DEC(SUBSTITUTE(MID(AJA51,7,3)," ",""))&lt;10,CONCATENATE("0",HEX2DEC(SUBSTITUTE(MID(AJA51,7,3)," ",""))),HEX2DEC(SUBSTITUTE(MID(AJA51,7,3)," ",""))))</f>
        <v>00:00:00</v>
      </c>
      <c r="AJD51" s="344"/>
    </row>
    <row r="52" spans="1:940">
      <c r="A52" s="366"/>
      <c r="B52" s="2">
        <v>21</v>
      </c>
      <c r="C52" s="3" t="s">
        <v>1253</v>
      </c>
      <c r="D52" s="2">
        <f t="shared" si="561"/>
        <v>52</v>
      </c>
      <c r="E52" s="2">
        <f t="shared" si="563"/>
        <v>53</v>
      </c>
      <c r="F52" s="2">
        <v>2</v>
      </c>
      <c r="G52" s="255" t="str">
        <f t="shared" si="468"/>
        <v/>
      </c>
      <c r="H52" s="255"/>
      <c r="I52" s="231">
        <f t="shared" ref="I52:I56" si="1024">HEX2DEC(SUBSTITUTE(G52," ",""))</f>
        <v>0</v>
      </c>
      <c r="J52" s="205"/>
      <c r="K52" s="353"/>
      <c r="L52" s="2">
        <v>20</v>
      </c>
      <c r="M52" s="3" t="s">
        <v>1253</v>
      </c>
      <c r="N52" s="2">
        <f t="shared" si="562"/>
        <v>52</v>
      </c>
      <c r="O52" s="2">
        <f t="shared" si="97"/>
        <v>53</v>
      </c>
      <c r="P52" s="2">
        <v>2</v>
      </c>
      <c r="Q52" s="255" t="str">
        <f t="shared" si="98"/>
        <v/>
      </c>
      <c r="R52" s="255"/>
      <c r="S52" s="231" t="str">
        <f t="shared" si="99"/>
        <v/>
      </c>
      <c r="T52" s="344"/>
      <c r="U52" s="353"/>
      <c r="V52" s="2">
        <v>20</v>
      </c>
      <c r="W52" s="3" t="s">
        <v>1253</v>
      </c>
      <c r="X52" s="2">
        <f t="shared" si="748"/>
        <v>52</v>
      </c>
      <c r="Y52" s="2">
        <f t="shared" si="101"/>
        <v>53</v>
      </c>
      <c r="Z52" s="2">
        <v>2</v>
      </c>
      <c r="AA52" s="255" t="str">
        <f t="shared" si="102"/>
        <v/>
      </c>
      <c r="AB52" s="255"/>
      <c r="AC52" s="231" t="str">
        <f t="shared" ref="AC52:AC54" si="1025">IF(HEX2DEC(SUBSTITUTE(AA52," ",""))=0,"",HEX2DEC(SUBSTITUTE(AA52," ","")))</f>
        <v/>
      </c>
      <c r="AD52" s="344"/>
      <c r="AE52" s="353"/>
      <c r="AF52" s="2">
        <v>20</v>
      </c>
      <c r="AG52" s="3" t="s">
        <v>1253</v>
      </c>
      <c r="AH52" s="2">
        <f t="shared" si="749"/>
        <v>52</v>
      </c>
      <c r="AI52" s="2">
        <f t="shared" si="105"/>
        <v>53</v>
      </c>
      <c r="AJ52" s="2">
        <v>2</v>
      </c>
      <c r="AK52" s="255" t="str">
        <f t="shared" si="106"/>
        <v/>
      </c>
      <c r="AL52" s="255"/>
      <c r="AM52" s="231" t="str">
        <f t="shared" ref="AM52:AM54" si="1026">IF(HEX2DEC(SUBSTITUTE(AK52," ",""))=0,"",HEX2DEC(SUBSTITUTE(AK52," ","")))</f>
        <v/>
      </c>
      <c r="AN52" s="344"/>
      <c r="AO52" s="353"/>
      <c r="AP52" s="2">
        <v>20</v>
      </c>
      <c r="AQ52" s="3" t="s">
        <v>1253</v>
      </c>
      <c r="AR52" s="2">
        <f t="shared" si="750"/>
        <v>52</v>
      </c>
      <c r="AS52" s="2">
        <f t="shared" si="109"/>
        <v>53</v>
      </c>
      <c r="AT52" s="2">
        <v>2</v>
      </c>
      <c r="AU52" s="255" t="str">
        <f t="shared" si="110"/>
        <v/>
      </c>
      <c r="AV52" s="255"/>
      <c r="AW52" s="231" t="str">
        <f t="shared" ref="AW52:AW54" si="1027">IF(HEX2DEC(SUBSTITUTE(AU52," ",""))=0,"",HEX2DEC(SUBSTITUTE(AU52," ","")))</f>
        <v/>
      </c>
      <c r="AX52" s="344"/>
      <c r="AY52" s="353"/>
      <c r="AZ52" s="2">
        <v>20</v>
      </c>
      <c r="BA52" s="3" t="s">
        <v>1253</v>
      </c>
      <c r="BB52" s="2">
        <f t="shared" si="751"/>
        <v>52</v>
      </c>
      <c r="BC52" s="2">
        <f t="shared" si="113"/>
        <v>53</v>
      </c>
      <c r="BD52" s="2">
        <v>2</v>
      </c>
      <c r="BE52" s="255" t="str">
        <f t="shared" si="114"/>
        <v/>
      </c>
      <c r="BF52" s="255"/>
      <c r="BG52" s="231" t="str">
        <f t="shared" ref="BG52:BG54" si="1028">IF(HEX2DEC(SUBSTITUTE(BE52," ",""))=0,"",HEX2DEC(SUBSTITUTE(BE52," ","")))</f>
        <v/>
      </c>
      <c r="BH52" s="344"/>
      <c r="BI52" s="353"/>
      <c r="BJ52" s="2">
        <v>20</v>
      </c>
      <c r="BK52" s="3" t="s">
        <v>1253</v>
      </c>
      <c r="BL52" s="2">
        <f t="shared" si="752"/>
        <v>52</v>
      </c>
      <c r="BM52" s="2">
        <f t="shared" si="117"/>
        <v>53</v>
      </c>
      <c r="BN52" s="2">
        <v>2</v>
      </c>
      <c r="BO52" s="255" t="str">
        <f t="shared" si="118"/>
        <v/>
      </c>
      <c r="BP52" s="255"/>
      <c r="BQ52" s="231" t="str">
        <f t="shared" ref="BQ52:BQ54" si="1029">IF(HEX2DEC(SUBSTITUTE(BO52," ",""))=0,"",HEX2DEC(SUBSTITUTE(BO52," ","")))</f>
        <v/>
      </c>
      <c r="BR52" s="344"/>
      <c r="BS52" s="353"/>
      <c r="BT52" s="2">
        <v>20</v>
      </c>
      <c r="BU52" s="3" t="s">
        <v>1253</v>
      </c>
      <c r="BV52" s="2">
        <f t="shared" si="753"/>
        <v>52</v>
      </c>
      <c r="BW52" s="2">
        <f t="shared" si="121"/>
        <v>53</v>
      </c>
      <c r="BX52" s="2">
        <v>2</v>
      </c>
      <c r="BY52" s="255" t="str">
        <f t="shared" si="122"/>
        <v/>
      </c>
      <c r="BZ52" s="255"/>
      <c r="CA52" s="231" t="str">
        <f t="shared" ref="CA52:CA54" si="1030">IF(HEX2DEC(SUBSTITUTE(BY52," ",""))=0,"",HEX2DEC(SUBSTITUTE(BY52," ","")))</f>
        <v/>
      </c>
      <c r="CB52" s="344"/>
      <c r="CC52" s="353"/>
      <c r="CD52" s="2">
        <v>20</v>
      </c>
      <c r="CE52" s="3" t="s">
        <v>1253</v>
      </c>
      <c r="CF52" s="2">
        <f t="shared" si="754"/>
        <v>52</v>
      </c>
      <c r="CG52" s="2">
        <f t="shared" si="125"/>
        <v>53</v>
      </c>
      <c r="CH52" s="2">
        <v>2</v>
      </c>
      <c r="CI52" s="255" t="str">
        <f t="shared" si="126"/>
        <v/>
      </c>
      <c r="CJ52" s="255"/>
      <c r="CK52" s="231" t="str">
        <f t="shared" ref="CK52:CK54" si="1031">IF(HEX2DEC(SUBSTITUTE(CI52," ",""))=0,"",HEX2DEC(SUBSTITUTE(CI52," ","")))</f>
        <v/>
      </c>
      <c r="CL52" s="344"/>
      <c r="CM52" s="353"/>
      <c r="CN52" s="2">
        <v>20</v>
      </c>
      <c r="CO52" s="3" t="s">
        <v>1253</v>
      </c>
      <c r="CP52" s="2">
        <f t="shared" si="755"/>
        <v>52</v>
      </c>
      <c r="CQ52" s="2">
        <f t="shared" si="129"/>
        <v>53</v>
      </c>
      <c r="CR52" s="2">
        <v>2</v>
      </c>
      <c r="CS52" s="255" t="str">
        <f t="shared" si="130"/>
        <v/>
      </c>
      <c r="CT52" s="255"/>
      <c r="CU52" s="231" t="str">
        <f t="shared" ref="CU52:CU54" si="1032">IF(HEX2DEC(SUBSTITUTE(CS52," ",""))=0,"",HEX2DEC(SUBSTITUTE(CS52," ","")))</f>
        <v/>
      </c>
      <c r="CV52" s="344"/>
      <c r="CW52" s="353"/>
      <c r="CX52" s="2">
        <v>20</v>
      </c>
      <c r="CY52" s="3" t="s">
        <v>1253</v>
      </c>
      <c r="CZ52" s="2">
        <f t="shared" si="756"/>
        <v>52</v>
      </c>
      <c r="DA52" s="2">
        <f t="shared" si="133"/>
        <v>53</v>
      </c>
      <c r="DB52" s="2">
        <v>2</v>
      </c>
      <c r="DC52" s="255" t="str">
        <f t="shared" si="134"/>
        <v/>
      </c>
      <c r="DD52" s="255"/>
      <c r="DE52" s="231" t="str">
        <f t="shared" ref="DE52:DE54" si="1033">IF(HEX2DEC(SUBSTITUTE(DC52," ",""))=0,"",HEX2DEC(SUBSTITUTE(DC52," ","")))</f>
        <v/>
      </c>
      <c r="DF52" s="344"/>
      <c r="DG52" s="353"/>
      <c r="DH52" s="2">
        <v>20</v>
      </c>
      <c r="DI52" s="3" t="s">
        <v>1253</v>
      </c>
      <c r="DJ52" s="2">
        <f t="shared" si="757"/>
        <v>52</v>
      </c>
      <c r="DK52" s="2">
        <f t="shared" si="137"/>
        <v>53</v>
      </c>
      <c r="DL52" s="2">
        <v>2</v>
      </c>
      <c r="DM52" s="255" t="str">
        <f t="shared" si="138"/>
        <v/>
      </c>
      <c r="DN52" s="255"/>
      <c r="DO52" s="231" t="str">
        <f t="shared" ref="DO52:DO54" si="1034">IF(HEX2DEC(SUBSTITUTE(DM52," ",""))=0,"",HEX2DEC(SUBSTITUTE(DM52," ","")))</f>
        <v/>
      </c>
      <c r="DP52" s="344"/>
      <c r="DQ52" s="353"/>
      <c r="DR52" s="2">
        <v>20</v>
      </c>
      <c r="DS52" s="3" t="s">
        <v>1253</v>
      </c>
      <c r="DT52" s="2">
        <f t="shared" si="758"/>
        <v>52</v>
      </c>
      <c r="DU52" s="2">
        <f t="shared" si="141"/>
        <v>53</v>
      </c>
      <c r="DV52" s="2">
        <v>2</v>
      </c>
      <c r="DW52" s="255" t="str">
        <f t="shared" si="142"/>
        <v/>
      </c>
      <c r="DX52" s="255"/>
      <c r="DY52" s="231" t="str">
        <f t="shared" ref="DY52:DY54" si="1035">IF(HEX2DEC(SUBSTITUTE(DW52," ",""))=0,"",HEX2DEC(SUBSTITUTE(DW52," ","")))</f>
        <v/>
      </c>
      <c r="DZ52" s="344"/>
      <c r="EA52" s="353"/>
      <c r="EB52" s="2">
        <v>20</v>
      </c>
      <c r="EC52" s="3" t="s">
        <v>1253</v>
      </c>
      <c r="ED52" s="2">
        <f t="shared" si="759"/>
        <v>52</v>
      </c>
      <c r="EE52" s="2">
        <f t="shared" si="145"/>
        <v>53</v>
      </c>
      <c r="EF52" s="2">
        <v>2</v>
      </c>
      <c r="EG52" s="255" t="str">
        <f t="shared" si="146"/>
        <v/>
      </c>
      <c r="EH52" s="255"/>
      <c r="EI52" s="231" t="str">
        <f t="shared" ref="EI52:EI54" si="1036">IF(HEX2DEC(SUBSTITUTE(EG52," ",""))=0,"",HEX2DEC(SUBSTITUTE(EG52," ","")))</f>
        <v/>
      </c>
      <c r="EJ52" s="344"/>
      <c r="EK52" s="353"/>
      <c r="EL52" s="2">
        <v>20</v>
      </c>
      <c r="EM52" s="3" t="s">
        <v>1253</v>
      </c>
      <c r="EN52" s="2">
        <f t="shared" si="760"/>
        <v>52</v>
      </c>
      <c r="EO52" s="2">
        <f t="shared" si="149"/>
        <v>53</v>
      </c>
      <c r="EP52" s="2">
        <v>2</v>
      </c>
      <c r="EQ52" s="255" t="str">
        <f t="shared" si="150"/>
        <v/>
      </c>
      <c r="ER52" s="255"/>
      <c r="ES52" s="231" t="str">
        <f t="shared" ref="ES52:ES54" si="1037">IF(HEX2DEC(SUBSTITUTE(EQ52," ",""))=0,"",HEX2DEC(SUBSTITUTE(EQ52," ","")))</f>
        <v/>
      </c>
      <c r="ET52" s="344"/>
      <c r="EU52" s="353"/>
      <c r="EV52" s="2">
        <v>20</v>
      </c>
      <c r="EW52" s="3" t="s">
        <v>1253</v>
      </c>
      <c r="EX52" s="2">
        <f t="shared" si="761"/>
        <v>52</v>
      </c>
      <c r="EY52" s="2">
        <f t="shared" si="153"/>
        <v>53</v>
      </c>
      <c r="EZ52" s="2">
        <v>2</v>
      </c>
      <c r="FA52" s="255" t="str">
        <f t="shared" si="154"/>
        <v/>
      </c>
      <c r="FB52" s="255"/>
      <c r="FC52" s="231" t="str">
        <f t="shared" ref="FC52:FC54" si="1038">IF(HEX2DEC(SUBSTITUTE(FA52," ",""))=0,"",HEX2DEC(SUBSTITUTE(FA52," ","")))</f>
        <v/>
      </c>
      <c r="FD52" s="344"/>
      <c r="FE52" s="353"/>
      <c r="FF52" s="2">
        <v>20</v>
      </c>
      <c r="FG52" s="3" t="s">
        <v>1253</v>
      </c>
      <c r="FH52" s="2">
        <f t="shared" si="762"/>
        <v>52</v>
      </c>
      <c r="FI52" s="2">
        <f t="shared" si="157"/>
        <v>53</v>
      </c>
      <c r="FJ52" s="2">
        <v>2</v>
      </c>
      <c r="FK52" s="255" t="str">
        <f t="shared" si="158"/>
        <v/>
      </c>
      <c r="FL52" s="255"/>
      <c r="FM52" s="231" t="str">
        <f t="shared" ref="FM52:FM54" si="1039">IF(HEX2DEC(SUBSTITUTE(FK52," ",""))=0,"",HEX2DEC(SUBSTITUTE(FK52," ","")))</f>
        <v/>
      </c>
      <c r="FN52" s="344"/>
      <c r="FO52" s="353"/>
      <c r="FP52" s="2">
        <v>20</v>
      </c>
      <c r="FQ52" s="3" t="s">
        <v>1253</v>
      </c>
      <c r="FR52" s="2">
        <f t="shared" si="763"/>
        <v>52</v>
      </c>
      <c r="FS52" s="2">
        <f t="shared" si="161"/>
        <v>53</v>
      </c>
      <c r="FT52" s="2">
        <v>2</v>
      </c>
      <c r="FU52" s="255" t="str">
        <f t="shared" si="162"/>
        <v/>
      </c>
      <c r="FV52" s="255"/>
      <c r="FW52" s="231" t="str">
        <f t="shared" ref="FW52:FW54" si="1040">IF(HEX2DEC(SUBSTITUTE(FU52," ",""))=0,"",HEX2DEC(SUBSTITUTE(FU52," ","")))</f>
        <v/>
      </c>
      <c r="FX52" s="344"/>
      <c r="FY52" s="353"/>
      <c r="FZ52" s="2">
        <v>20</v>
      </c>
      <c r="GA52" s="3" t="s">
        <v>1253</v>
      </c>
      <c r="GB52" s="2">
        <f t="shared" si="764"/>
        <v>52</v>
      </c>
      <c r="GC52" s="2">
        <f t="shared" si="165"/>
        <v>53</v>
      </c>
      <c r="GD52" s="2">
        <v>2</v>
      </c>
      <c r="GE52" s="255" t="str">
        <f t="shared" si="166"/>
        <v/>
      </c>
      <c r="GF52" s="255"/>
      <c r="GG52" s="231" t="str">
        <f t="shared" ref="GG52:GG54" si="1041">IF(HEX2DEC(SUBSTITUTE(GE52," ",""))=0,"",HEX2DEC(SUBSTITUTE(GE52," ","")))</f>
        <v/>
      </c>
      <c r="GH52" s="344"/>
      <c r="GI52" s="353"/>
      <c r="GJ52" s="2">
        <v>20</v>
      </c>
      <c r="GK52" s="3" t="s">
        <v>1253</v>
      </c>
      <c r="GL52" s="2">
        <f t="shared" si="765"/>
        <v>52</v>
      </c>
      <c r="GM52" s="2">
        <f t="shared" si="169"/>
        <v>53</v>
      </c>
      <c r="GN52" s="2">
        <v>2</v>
      </c>
      <c r="GO52" s="255" t="str">
        <f t="shared" si="170"/>
        <v/>
      </c>
      <c r="GP52" s="255"/>
      <c r="GQ52" s="231" t="str">
        <f t="shared" ref="GQ52:GQ54" si="1042">IF(HEX2DEC(SUBSTITUTE(GO52," ",""))=0,"",HEX2DEC(SUBSTITUTE(GO52," ","")))</f>
        <v/>
      </c>
      <c r="GR52" s="344"/>
      <c r="GS52" s="353"/>
      <c r="GT52" s="2">
        <v>20</v>
      </c>
      <c r="GU52" s="3" t="s">
        <v>1253</v>
      </c>
      <c r="GV52" s="2">
        <f t="shared" si="766"/>
        <v>52</v>
      </c>
      <c r="GW52" s="2">
        <f t="shared" si="173"/>
        <v>53</v>
      </c>
      <c r="GX52" s="2">
        <v>2</v>
      </c>
      <c r="GY52" s="255" t="str">
        <f t="shared" si="174"/>
        <v/>
      </c>
      <c r="GZ52" s="255"/>
      <c r="HA52" s="231" t="str">
        <f t="shared" ref="HA52:HA54" si="1043">IF(HEX2DEC(SUBSTITUTE(GY52," ",""))=0,"",HEX2DEC(SUBSTITUTE(GY52," ","")))</f>
        <v/>
      </c>
      <c r="HB52" s="344"/>
      <c r="HC52" s="353"/>
      <c r="HD52" s="2">
        <v>20</v>
      </c>
      <c r="HE52" s="3" t="s">
        <v>1253</v>
      </c>
      <c r="HF52" s="2">
        <f t="shared" si="767"/>
        <v>52</v>
      </c>
      <c r="HG52" s="2">
        <f t="shared" si="177"/>
        <v>53</v>
      </c>
      <c r="HH52" s="2">
        <v>2</v>
      </c>
      <c r="HI52" s="255" t="str">
        <f t="shared" si="178"/>
        <v/>
      </c>
      <c r="HJ52" s="255"/>
      <c r="HK52" s="231" t="str">
        <f t="shared" ref="HK52:HK54" si="1044">IF(HEX2DEC(SUBSTITUTE(HI52," ",""))=0,"",HEX2DEC(SUBSTITUTE(HI52," ","")))</f>
        <v/>
      </c>
      <c r="HL52" s="344"/>
      <c r="HM52" s="353"/>
      <c r="HN52" s="2">
        <v>20</v>
      </c>
      <c r="HO52" s="3" t="s">
        <v>1253</v>
      </c>
      <c r="HP52" s="2">
        <f t="shared" si="768"/>
        <v>52</v>
      </c>
      <c r="HQ52" s="2">
        <f t="shared" si="181"/>
        <v>53</v>
      </c>
      <c r="HR52" s="2">
        <v>2</v>
      </c>
      <c r="HS52" s="255" t="str">
        <f t="shared" si="182"/>
        <v/>
      </c>
      <c r="HT52" s="255"/>
      <c r="HU52" s="231" t="str">
        <f t="shared" ref="HU52:HU54" si="1045">IF(HEX2DEC(SUBSTITUTE(HS52," ",""))=0,"",HEX2DEC(SUBSTITUTE(HS52," ","")))</f>
        <v/>
      </c>
      <c r="HV52" s="344"/>
      <c r="HW52" s="353"/>
      <c r="HX52" s="2">
        <v>20</v>
      </c>
      <c r="HY52" s="3" t="s">
        <v>1253</v>
      </c>
      <c r="HZ52" s="2">
        <f t="shared" si="769"/>
        <v>52</v>
      </c>
      <c r="IA52" s="2">
        <f t="shared" si="185"/>
        <v>53</v>
      </c>
      <c r="IB52" s="2">
        <v>2</v>
      </c>
      <c r="IC52" s="255" t="str">
        <f t="shared" si="186"/>
        <v/>
      </c>
      <c r="ID52" s="255"/>
      <c r="IE52" s="231" t="str">
        <f t="shared" ref="IE52:IE54" si="1046">IF(HEX2DEC(SUBSTITUTE(IC52," ",""))=0,"",HEX2DEC(SUBSTITUTE(IC52," ","")))</f>
        <v/>
      </c>
      <c r="IF52" s="344"/>
      <c r="IG52" s="353"/>
      <c r="IH52" s="2">
        <v>20</v>
      </c>
      <c r="II52" s="3" t="s">
        <v>1253</v>
      </c>
      <c r="IJ52" s="2">
        <f t="shared" si="770"/>
        <v>52</v>
      </c>
      <c r="IK52" s="2">
        <f t="shared" si="189"/>
        <v>53</v>
      </c>
      <c r="IL52" s="2">
        <v>2</v>
      </c>
      <c r="IM52" s="255" t="str">
        <f t="shared" si="190"/>
        <v/>
      </c>
      <c r="IN52" s="255"/>
      <c r="IO52" s="231" t="str">
        <f t="shared" ref="IO52:IO54" si="1047">IF(HEX2DEC(SUBSTITUTE(IM52," ",""))=0,"",HEX2DEC(SUBSTITUTE(IM52," ","")))</f>
        <v/>
      </c>
      <c r="IP52" s="344"/>
      <c r="IQ52" s="353"/>
      <c r="IR52" s="2">
        <v>20</v>
      </c>
      <c r="IS52" s="3" t="s">
        <v>1253</v>
      </c>
      <c r="IT52" s="2">
        <f t="shared" si="771"/>
        <v>52</v>
      </c>
      <c r="IU52" s="2">
        <f t="shared" si="193"/>
        <v>53</v>
      </c>
      <c r="IV52" s="2">
        <v>2</v>
      </c>
      <c r="IW52" s="255" t="str">
        <f t="shared" si="194"/>
        <v/>
      </c>
      <c r="IX52" s="255"/>
      <c r="IY52" s="231" t="str">
        <f t="shared" ref="IY52:IY54" si="1048">IF(HEX2DEC(SUBSTITUTE(IW52," ",""))=0,"",HEX2DEC(SUBSTITUTE(IW52," ","")))</f>
        <v/>
      </c>
      <c r="IZ52" s="344"/>
      <c r="JA52" s="353"/>
      <c r="JB52" s="2">
        <v>20</v>
      </c>
      <c r="JC52" s="3" t="s">
        <v>1253</v>
      </c>
      <c r="JD52" s="2">
        <f t="shared" si="772"/>
        <v>52</v>
      </c>
      <c r="JE52" s="2">
        <f t="shared" si="197"/>
        <v>53</v>
      </c>
      <c r="JF52" s="2">
        <v>2</v>
      </c>
      <c r="JG52" s="255" t="str">
        <f t="shared" si="198"/>
        <v/>
      </c>
      <c r="JH52" s="255"/>
      <c r="JI52" s="231" t="str">
        <f t="shared" ref="JI52:JI54" si="1049">IF(HEX2DEC(SUBSTITUTE(JG52," ",""))=0,"",HEX2DEC(SUBSTITUTE(JG52," ","")))</f>
        <v/>
      </c>
      <c r="JJ52" s="344"/>
      <c r="JK52" s="353"/>
      <c r="JL52" s="2">
        <v>20</v>
      </c>
      <c r="JM52" s="3" t="s">
        <v>1253</v>
      </c>
      <c r="JN52" s="2">
        <f t="shared" si="773"/>
        <v>52</v>
      </c>
      <c r="JO52" s="2">
        <f t="shared" si="201"/>
        <v>53</v>
      </c>
      <c r="JP52" s="2">
        <v>2</v>
      </c>
      <c r="JQ52" s="255" t="str">
        <f t="shared" si="202"/>
        <v/>
      </c>
      <c r="JR52" s="255"/>
      <c r="JS52" s="231" t="str">
        <f t="shared" ref="JS52:JS54" si="1050">IF(HEX2DEC(SUBSTITUTE(JQ52," ",""))=0,"",HEX2DEC(SUBSTITUTE(JQ52," ","")))</f>
        <v/>
      </c>
      <c r="JT52" s="344"/>
      <c r="JU52" s="353"/>
      <c r="JV52" s="2">
        <v>20</v>
      </c>
      <c r="JW52" s="3" t="s">
        <v>1253</v>
      </c>
      <c r="JX52" s="2">
        <f t="shared" si="774"/>
        <v>52</v>
      </c>
      <c r="JY52" s="2">
        <f t="shared" si="205"/>
        <v>53</v>
      </c>
      <c r="JZ52" s="2">
        <v>2</v>
      </c>
      <c r="KA52" s="255" t="str">
        <f t="shared" si="206"/>
        <v/>
      </c>
      <c r="KB52" s="255"/>
      <c r="KC52" s="231" t="str">
        <f t="shared" ref="KC52:KC54" si="1051">IF(HEX2DEC(SUBSTITUTE(KA52," ",""))=0,"",HEX2DEC(SUBSTITUTE(KA52," ","")))</f>
        <v/>
      </c>
      <c r="KD52" s="344"/>
      <c r="KE52" s="353"/>
      <c r="KF52" s="2">
        <v>20</v>
      </c>
      <c r="KG52" s="3" t="s">
        <v>1253</v>
      </c>
      <c r="KH52" s="2">
        <f t="shared" si="775"/>
        <v>52</v>
      </c>
      <c r="KI52" s="2">
        <f t="shared" si="209"/>
        <v>53</v>
      </c>
      <c r="KJ52" s="2">
        <v>2</v>
      </c>
      <c r="KK52" s="255" t="str">
        <f t="shared" si="210"/>
        <v/>
      </c>
      <c r="KL52" s="255"/>
      <c r="KM52" s="231" t="str">
        <f t="shared" ref="KM52:KM54" si="1052">IF(HEX2DEC(SUBSTITUTE(KK52," ",""))=0,"",HEX2DEC(SUBSTITUTE(KK52," ","")))</f>
        <v/>
      </c>
      <c r="KN52" s="344"/>
      <c r="KO52" s="353"/>
      <c r="KP52" s="2">
        <v>20</v>
      </c>
      <c r="KQ52" s="3" t="s">
        <v>1253</v>
      </c>
      <c r="KR52" s="2">
        <f t="shared" si="776"/>
        <v>52</v>
      </c>
      <c r="KS52" s="2">
        <f t="shared" si="213"/>
        <v>53</v>
      </c>
      <c r="KT52" s="2">
        <v>2</v>
      </c>
      <c r="KU52" s="255" t="str">
        <f t="shared" si="214"/>
        <v/>
      </c>
      <c r="KV52" s="255"/>
      <c r="KW52" s="231" t="str">
        <f t="shared" ref="KW52:KW54" si="1053">IF(HEX2DEC(SUBSTITUTE(KU52," ",""))=0,"",HEX2DEC(SUBSTITUTE(KU52," ","")))</f>
        <v/>
      </c>
      <c r="KX52" s="344"/>
      <c r="KY52" s="353"/>
      <c r="KZ52" s="2">
        <v>20</v>
      </c>
      <c r="LA52" s="3" t="s">
        <v>1253</v>
      </c>
      <c r="LB52" s="2">
        <f t="shared" si="777"/>
        <v>52</v>
      </c>
      <c r="LC52" s="2">
        <f t="shared" si="217"/>
        <v>53</v>
      </c>
      <c r="LD52" s="2">
        <v>2</v>
      </c>
      <c r="LE52" s="255" t="str">
        <f t="shared" si="218"/>
        <v/>
      </c>
      <c r="LF52" s="255"/>
      <c r="LG52" s="231" t="str">
        <f t="shared" ref="LG52:LG54" si="1054">IF(HEX2DEC(SUBSTITUTE(LE52," ",""))=0,"",HEX2DEC(SUBSTITUTE(LE52," ","")))</f>
        <v/>
      </c>
      <c r="LH52" s="344"/>
      <c r="LI52" s="353"/>
      <c r="LJ52" s="2">
        <v>20</v>
      </c>
      <c r="LK52" s="3" t="s">
        <v>1253</v>
      </c>
      <c r="LL52" s="2">
        <f t="shared" si="778"/>
        <v>52</v>
      </c>
      <c r="LM52" s="2">
        <f t="shared" si="221"/>
        <v>53</v>
      </c>
      <c r="LN52" s="2">
        <v>2</v>
      </c>
      <c r="LO52" s="255" t="str">
        <f t="shared" si="222"/>
        <v/>
      </c>
      <c r="LP52" s="255"/>
      <c r="LQ52" s="231" t="str">
        <f t="shared" ref="LQ52:LQ54" si="1055">IF(HEX2DEC(SUBSTITUTE(LO52," ",""))=0,"",HEX2DEC(SUBSTITUTE(LO52," ","")))</f>
        <v/>
      </c>
      <c r="LR52" s="344"/>
      <c r="LS52" s="353"/>
      <c r="LT52" s="2">
        <v>20</v>
      </c>
      <c r="LU52" s="3" t="s">
        <v>1253</v>
      </c>
      <c r="LV52" s="2">
        <f t="shared" si="779"/>
        <v>52</v>
      </c>
      <c r="LW52" s="2">
        <f t="shared" si="225"/>
        <v>53</v>
      </c>
      <c r="LX52" s="2">
        <v>2</v>
      </c>
      <c r="LY52" s="255" t="str">
        <f t="shared" si="226"/>
        <v/>
      </c>
      <c r="LZ52" s="255"/>
      <c r="MA52" s="231" t="str">
        <f t="shared" ref="MA52:MA54" si="1056">IF(HEX2DEC(SUBSTITUTE(LY52," ",""))=0,"",HEX2DEC(SUBSTITUTE(LY52," ","")))</f>
        <v/>
      </c>
      <c r="MB52" s="344"/>
      <c r="MC52" s="353"/>
      <c r="MD52" s="2">
        <v>20</v>
      </c>
      <c r="ME52" s="3" t="s">
        <v>1253</v>
      </c>
      <c r="MF52" s="2">
        <f t="shared" si="780"/>
        <v>52</v>
      </c>
      <c r="MG52" s="2">
        <f t="shared" si="229"/>
        <v>53</v>
      </c>
      <c r="MH52" s="2">
        <v>2</v>
      </c>
      <c r="MI52" s="255" t="str">
        <f t="shared" si="230"/>
        <v/>
      </c>
      <c r="MJ52" s="255"/>
      <c r="MK52" s="231" t="str">
        <f t="shared" ref="MK52:MK54" si="1057">IF(HEX2DEC(SUBSTITUTE(MI52," ",""))=0,"",HEX2DEC(SUBSTITUTE(MI52," ","")))</f>
        <v/>
      </c>
      <c r="ML52" s="344"/>
      <c r="MM52" s="353"/>
      <c r="MN52" s="2">
        <v>20</v>
      </c>
      <c r="MO52" s="3" t="s">
        <v>1253</v>
      </c>
      <c r="MP52" s="2">
        <f t="shared" si="781"/>
        <v>52</v>
      </c>
      <c r="MQ52" s="2">
        <f t="shared" si="233"/>
        <v>53</v>
      </c>
      <c r="MR52" s="2">
        <v>2</v>
      </c>
      <c r="MS52" s="255" t="str">
        <f t="shared" si="234"/>
        <v/>
      </c>
      <c r="MT52" s="255"/>
      <c r="MU52" s="231" t="str">
        <f t="shared" ref="MU52:MU54" si="1058">IF(HEX2DEC(SUBSTITUTE(MS52," ",""))=0,"",HEX2DEC(SUBSTITUTE(MS52," ","")))</f>
        <v/>
      </c>
      <c r="MV52" s="344"/>
      <c r="MW52" s="353"/>
      <c r="MX52" s="2">
        <v>20</v>
      </c>
      <c r="MY52" s="3" t="s">
        <v>1253</v>
      </c>
      <c r="MZ52" s="2">
        <f t="shared" si="782"/>
        <v>52</v>
      </c>
      <c r="NA52" s="2">
        <f t="shared" si="237"/>
        <v>53</v>
      </c>
      <c r="NB52" s="2">
        <v>2</v>
      </c>
      <c r="NC52" s="255" t="str">
        <f t="shared" si="238"/>
        <v/>
      </c>
      <c r="ND52" s="255"/>
      <c r="NE52" s="231" t="str">
        <f t="shared" ref="NE52:NE54" si="1059">IF(HEX2DEC(SUBSTITUTE(NC52," ",""))=0,"",HEX2DEC(SUBSTITUTE(NC52," ","")))</f>
        <v/>
      </c>
      <c r="NF52" s="344"/>
      <c r="NG52" s="353"/>
      <c r="NH52" s="2">
        <v>20</v>
      </c>
      <c r="NI52" s="3" t="s">
        <v>1253</v>
      </c>
      <c r="NJ52" s="2">
        <f t="shared" si="783"/>
        <v>52</v>
      </c>
      <c r="NK52" s="2">
        <f t="shared" si="241"/>
        <v>53</v>
      </c>
      <c r="NL52" s="2">
        <v>2</v>
      </c>
      <c r="NM52" s="255" t="str">
        <f t="shared" si="242"/>
        <v/>
      </c>
      <c r="NN52" s="255"/>
      <c r="NO52" s="231" t="str">
        <f t="shared" ref="NO52:NO54" si="1060">IF(HEX2DEC(SUBSTITUTE(NM52," ",""))=0,"",HEX2DEC(SUBSTITUTE(NM52," ","")))</f>
        <v/>
      </c>
      <c r="NP52" s="344"/>
      <c r="NQ52" s="353"/>
      <c r="NR52" s="2">
        <v>20</v>
      </c>
      <c r="NS52" s="3" t="s">
        <v>1253</v>
      </c>
      <c r="NT52" s="2">
        <f t="shared" si="784"/>
        <v>52</v>
      </c>
      <c r="NU52" s="2">
        <f t="shared" si="245"/>
        <v>53</v>
      </c>
      <c r="NV52" s="2">
        <v>2</v>
      </c>
      <c r="NW52" s="255" t="str">
        <f t="shared" si="246"/>
        <v/>
      </c>
      <c r="NX52" s="255"/>
      <c r="NY52" s="231" t="str">
        <f t="shared" ref="NY52:NY54" si="1061">IF(HEX2DEC(SUBSTITUTE(NW52," ",""))=0,"",HEX2DEC(SUBSTITUTE(NW52," ","")))</f>
        <v/>
      </c>
      <c r="NZ52" s="344"/>
      <c r="OA52" s="353"/>
      <c r="OB52" s="2">
        <v>20</v>
      </c>
      <c r="OC52" s="3" t="s">
        <v>1253</v>
      </c>
      <c r="OD52" s="2">
        <f t="shared" si="785"/>
        <v>52</v>
      </c>
      <c r="OE52" s="2">
        <f t="shared" si="249"/>
        <v>53</v>
      </c>
      <c r="OF52" s="2">
        <v>2</v>
      </c>
      <c r="OG52" s="255" t="str">
        <f t="shared" si="250"/>
        <v/>
      </c>
      <c r="OH52" s="255"/>
      <c r="OI52" s="231" t="str">
        <f t="shared" ref="OI52:OI54" si="1062">IF(HEX2DEC(SUBSTITUTE(OG52," ",""))=0,"",HEX2DEC(SUBSTITUTE(OG52," ","")))</f>
        <v/>
      </c>
      <c r="OJ52" s="344"/>
      <c r="OK52" s="353"/>
      <c r="OL52" s="2">
        <v>20</v>
      </c>
      <c r="OM52" s="3" t="s">
        <v>1253</v>
      </c>
      <c r="ON52" s="2">
        <f t="shared" si="786"/>
        <v>52</v>
      </c>
      <c r="OO52" s="2">
        <f t="shared" si="253"/>
        <v>53</v>
      </c>
      <c r="OP52" s="2">
        <v>2</v>
      </c>
      <c r="OQ52" s="255" t="str">
        <f t="shared" si="254"/>
        <v/>
      </c>
      <c r="OR52" s="255"/>
      <c r="OS52" s="231" t="str">
        <f t="shared" ref="OS52:OS54" si="1063">IF(HEX2DEC(SUBSTITUTE(OQ52," ",""))=0,"",HEX2DEC(SUBSTITUTE(OQ52," ","")))</f>
        <v/>
      </c>
      <c r="OT52" s="344"/>
      <c r="OU52" s="353"/>
      <c r="OV52" s="2">
        <v>20</v>
      </c>
      <c r="OW52" s="3" t="s">
        <v>1253</v>
      </c>
      <c r="OX52" s="2">
        <f t="shared" si="787"/>
        <v>52</v>
      </c>
      <c r="OY52" s="2">
        <f t="shared" si="257"/>
        <v>53</v>
      </c>
      <c r="OZ52" s="2">
        <v>2</v>
      </c>
      <c r="PA52" s="255" t="str">
        <f t="shared" si="258"/>
        <v/>
      </c>
      <c r="PB52" s="255"/>
      <c r="PC52" s="231" t="str">
        <f t="shared" ref="PC52:PC54" si="1064">IF(HEX2DEC(SUBSTITUTE(PA52," ",""))=0,"",HEX2DEC(SUBSTITUTE(PA52," ","")))</f>
        <v/>
      </c>
      <c r="PD52" s="344"/>
      <c r="PE52" s="353"/>
      <c r="PF52" s="2">
        <v>20</v>
      </c>
      <c r="PG52" s="3" t="s">
        <v>1253</v>
      </c>
      <c r="PH52" s="2">
        <f t="shared" si="788"/>
        <v>52</v>
      </c>
      <c r="PI52" s="2">
        <f t="shared" si="261"/>
        <v>53</v>
      </c>
      <c r="PJ52" s="2">
        <v>2</v>
      </c>
      <c r="PK52" s="255" t="str">
        <f t="shared" si="262"/>
        <v/>
      </c>
      <c r="PL52" s="255"/>
      <c r="PM52" s="231" t="str">
        <f t="shared" ref="PM52:PM54" si="1065">IF(HEX2DEC(SUBSTITUTE(PK52," ",""))=0,"",HEX2DEC(SUBSTITUTE(PK52," ","")))</f>
        <v/>
      </c>
      <c r="PN52" s="344"/>
      <c r="PO52" s="353"/>
      <c r="PP52" s="2">
        <v>20</v>
      </c>
      <c r="PQ52" s="3" t="s">
        <v>1253</v>
      </c>
      <c r="PR52" s="2">
        <f t="shared" si="789"/>
        <v>52</v>
      </c>
      <c r="PS52" s="2">
        <f t="shared" si="265"/>
        <v>53</v>
      </c>
      <c r="PT52" s="2">
        <v>2</v>
      </c>
      <c r="PU52" s="255" t="str">
        <f t="shared" si="266"/>
        <v/>
      </c>
      <c r="PV52" s="255"/>
      <c r="PW52" s="231" t="str">
        <f t="shared" ref="PW52:PW54" si="1066">IF(HEX2DEC(SUBSTITUTE(PU52," ",""))=0,"",HEX2DEC(SUBSTITUTE(PU52," ","")))</f>
        <v/>
      </c>
      <c r="PX52" s="344"/>
      <c r="PY52" s="353"/>
      <c r="PZ52" s="2">
        <v>20</v>
      </c>
      <c r="QA52" s="3" t="s">
        <v>1253</v>
      </c>
      <c r="QB52" s="2">
        <f t="shared" si="790"/>
        <v>52</v>
      </c>
      <c r="QC52" s="2">
        <f t="shared" si="269"/>
        <v>53</v>
      </c>
      <c r="QD52" s="2">
        <v>2</v>
      </c>
      <c r="QE52" s="255" t="str">
        <f t="shared" si="270"/>
        <v/>
      </c>
      <c r="QF52" s="255"/>
      <c r="QG52" s="231" t="str">
        <f t="shared" ref="QG52:QG54" si="1067">IF(HEX2DEC(SUBSTITUTE(QE52," ",""))=0,"",HEX2DEC(SUBSTITUTE(QE52," ","")))</f>
        <v/>
      </c>
      <c r="QH52" s="344"/>
      <c r="QI52" s="353"/>
      <c r="QJ52" s="2">
        <v>20</v>
      </c>
      <c r="QK52" s="3" t="s">
        <v>1253</v>
      </c>
      <c r="QL52" s="2">
        <f t="shared" si="791"/>
        <v>52</v>
      </c>
      <c r="QM52" s="2">
        <f t="shared" si="273"/>
        <v>53</v>
      </c>
      <c r="QN52" s="2">
        <v>2</v>
      </c>
      <c r="QO52" s="255" t="str">
        <f t="shared" si="274"/>
        <v/>
      </c>
      <c r="QP52" s="255"/>
      <c r="QQ52" s="231" t="str">
        <f t="shared" ref="QQ52:QQ54" si="1068">IF(HEX2DEC(SUBSTITUTE(QO52," ",""))=0,"",HEX2DEC(SUBSTITUTE(QO52," ","")))</f>
        <v/>
      </c>
      <c r="QR52" s="344"/>
      <c r="QS52" s="353"/>
      <c r="QT52" s="2">
        <v>20</v>
      </c>
      <c r="QU52" s="3" t="s">
        <v>1253</v>
      </c>
      <c r="QV52" s="2">
        <f t="shared" si="792"/>
        <v>52</v>
      </c>
      <c r="QW52" s="2">
        <f t="shared" si="277"/>
        <v>53</v>
      </c>
      <c r="QX52" s="2">
        <v>2</v>
      </c>
      <c r="QY52" s="255" t="str">
        <f t="shared" si="278"/>
        <v/>
      </c>
      <c r="QZ52" s="255"/>
      <c r="RA52" s="231" t="str">
        <f t="shared" ref="RA52:RA54" si="1069">IF(HEX2DEC(SUBSTITUTE(QY52," ",""))=0,"",HEX2DEC(SUBSTITUTE(QY52," ","")))</f>
        <v/>
      </c>
      <c r="RB52" s="344"/>
      <c r="RC52" s="353"/>
      <c r="RD52" s="2">
        <v>20</v>
      </c>
      <c r="RE52" s="3" t="s">
        <v>1253</v>
      </c>
      <c r="RF52" s="2">
        <f t="shared" si="793"/>
        <v>52</v>
      </c>
      <c r="RG52" s="2">
        <f t="shared" si="281"/>
        <v>53</v>
      </c>
      <c r="RH52" s="2">
        <v>2</v>
      </c>
      <c r="RI52" s="255" t="str">
        <f t="shared" si="282"/>
        <v/>
      </c>
      <c r="RJ52" s="255"/>
      <c r="RK52" s="231" t="str">
        <f t="shared" ref="RK52:RK54" si="1070">IF(HEX2DEC(SUBSTITUTE(RI52," ",""))=0,"",HEX2DEC(SUBSTITUTE(RI52," ","")))</f>
        <v/>
      </c>
      <c r="RL52" s="344"/>
      <c r="RM52" s="353"/>
      <c r="RN52" s="2">
        <v>20</v>
      </c>
      <c r="RO52" s="3" t="s">
        <v>1253</v>
      </c>
      <c r="RP52" s="2">
        <f t="shared" si="794"/>
        <v>52</v>
      </c>
      <c r="RQ52" s="2">
        <f t="shared" si="285"/>
        <v>53</v>
      </c>
      <c r="RR52" s="2">
        <v>2</v>
      </c>
      <c r="RS52" s="255" t="str">
        <f t="shared" si="286"/>
        <v/>
      </c>
      <c r="RT52" s="255"/>
      <c r="RU52" s="231" t="str">
        <f t="shared" ref="RU52:RU54" si="1071">IF(HEX2DEC(SUBSTITUTE(RS52," ",""))=0,"",HEX2DEC(SUBSTITUTE(RS52," ","")))</f>
        <v/>
      </c>
      <c r="RV52" s="344"/>
      <c r="RW52" s="353"/>
      <c r="RX52" s="2">
        <v>20</v>
      </c>
      <c r="RY52" s="3" t="s">
        <v>1253</v>
      </c>
      <c r="RZ52" s="2">
        <f t="shared" si="795"/>
        <v>52</v>
      </c>
      <c r="SA52" s="2">
        <f t="shared" si="289"/>
        <v>53</v>
      </c>
      <c r="SB52" s="2">
        <v>2</v>
      </c>
      <c r="SC52" s="255" t="str">
        <f t="shared" si="290"/>
        <v/>
      </c>
      <c r="SD52" s="255"/>
      <c r="SE52" s="231" t="str">
        <f t="shared" ref="SE52:SE54" si="1072">IF(HEX2DEC(SUBSTITUTE(SC52," ",""))=0,"",HEX2DEC(SUBSTITUTE(SC52," ","")))</f>
        <v/>
      </c>
      <c r="SF52" s="344"/>
      <c r="SG52" s="353"/>
      <c r="SH52" s="2">
        <v>20</v>
      </c>
      <c r="SI52" s="3" t="s">
        <v>1253</v>
      </c>
      <c r="SJ52" s="2">
        <f t="shared" si="796"/>
        <v>52</v>
      </c>
      <c r="SK52" s="2">
        <f t="shared" si="293"/>
        <v>53</v>
      </c>
      <c r="SL52" s="2">
        <v>2</v>
      </c>
      <c r="SM52" s="255" t="str">
        <f t="shared" si="294"/>
        <v/>
      </c>
      <c r="SN52" s="255"/>
      <c r="SO52" s="231" t="str">
        <f t="shared" ref="SO52:SO54" si="1073">IF(HEX2DEC(SUBSTITUTE(SM52," ",""))=0,"",HEX2DEC(SUBSTITUTE(SM52," ","")))</f>
        <v/>
      </c>
      <c r="SP52" s="344"/>
      <c r="SQ52" s="353"/>
      <c r="SR52" s="2">
        <v>20</v>
      </c>
      <c r="SS52" s="3" t="s">
        <v>1253</v>
      </c>
      <c r="ST52" s="2">
        <f t="shared" si="797"/>
        <v>52</v>
      </c>
      <c r="SU52" s="2">
        <f t="shared" si="297"/>
        <v>53</v>
      </c>
      <c r="SV52" s="2">
        <v>2</v>
      </c>
      <c r="SW52" s="255" t="str">
        <f t="shared" si="298"/>
        <v/>
      </c>
      <c r="SX52" s="255"/>
      <c r="SY52" s="231" t="str">
        <f t="shared" ref="SY52:SY54" si="1074">IF(HEX2DEC(SUBSTITUTE(SW52," ",""))=0,"",HEX2DEC(SUBSTITUTE(SW52," ","")))</f>
        <v/>
      </c>
      <c r="SZ52" s="344"/>
      <c r="TA52" s="353"/>
      <c r="TB52" s="2">
        <v>20</v>
      </c>
      <c r="TC52" s="3" t="s">
        <v>1253</v>
      </c>
      <c r="TD52" s="2">
        <f t="shared" si="798"/>
        <v>52</v>
      </c>
      <c r="TE52" s="2">
        <f t="shared" si="301"/>
        <v>53</v>
      </c>
      <c r="TF52" s="2">
        <v>2</v>
      </c>
      <c r="TG52" s="255" t="str">
        <f t="shared" si="302"/>
        <v/>
      </c>
      <c r="TH52" s="255"/>
      <c r="TI52" s="231" t="str">
        <f t="shared" ref="TI52:TI54" si="1075">IF(HEX2DEC(SUBSTITUTE(TG52," ",""))=0,"",HEX2DEC(SUBSTITUTE(TG52," ","")))</f>
        <v/>
      </c>
      <c r="TJ52" s="344"/>
      <c r="TK52" s="353"/>
      <c r="TL52" s="2">
        <v>20</v>
      </c>
      <c r="TM52" s="3" t="s">
        <v>1253</v>
      </c>
      <c r="TN52" s="2">
        <f t="shared" si="799"/>
        <v>52</v>
      </c>
      <c r="TO52" s="2">
        <f t="shared" si="305"/>
        <v>53</v>
      </c>
      <c r="TP52" s="2">
        <v>2</v>
      </c>
      <c r="TQ52" s="255" t="str">
        <f t="shared" si="306"/>
        <v/>
      </c>
      <c r="TR52" s="255"/>
      <c r="TS52" s="231" t="str">
        <f t="shared" ref="TS52:TS54" si="1076">IF(HEX2DEC(SUBSTITUTE(TQ52," ",""))=0,"",HEX2DEC(SUBSTITUTE(TQ52," ","")))</f>
        <v/>
      </c>
      <c r="TT52" s="344"/>
      <c r="TU52" s="353"/>
      <c r="TV52" s="2">
        <v>20</v>
      </c>
      <c r="TW52" s="3" t="s">
        <v>1253</v>
      </c>
      <c r="TX52" s="2">
        <f t="shared" si="800"/>
        <v>52</v>
      </c>
      <c r="TY52" s="2">
        <f t="shared" si="309"/>
        <v>53</v>
      </c>
      <c r="TZ52" s="2">
        <v>2</v>
      </c>
      <c r="UA52" s="255" t="str">
        <f t="shared" si="310"/>
        <v/>
      </c>
      <c r="UB52" s="255"/>
      <c r="UC52" s="231" t="str">
        <f t="shared" ref="UC52:UC54" si="1077">IF(HEX2DEC(SUBSTITUTE(UA52," ",""))=0,"",HEX2DEC(SUBSTITUTE(UA52," ","")))</f>
        <v/>
      </c>
      <c r="UD52" s="344"/>
      <c r="UE52" s="353"/>
      <c r="UF52" s="2">
        <v>20</v>
      </c>
      <c r="UG52" s="3" t="s">
        <v>1253</v>
      </c>
      <c r="UH52" s="2">
        <f t="shared" si="801"/>
        <v>52</v>
      </c>
      <c r="UI52" s="2">
        <f t="shared" si="313"/>
        <v>53</v>
      </c>
      <c r="UJ52" s="2">
        <v>2</v>
      </c>
      <c r="UK52" s="255" t="str">
        <f t="shared" si="314"/>
        <v/>
      </c>
      <c r="UL52" s="255"/>
      <c r="UM52" s="231" t="str">
        <f t="shared" ref="UM52:UM54" si="1078">IF(HEX2DEC(SUBSTITUTE(UK52," ",""))=0,"",HEX2DEC(SUBSTITUTE(UK52," ","")))</f>
        <v/>
      </c>
      <c r="UN52" s="344"/>
      <c r="UO52" s="353"/>
      <c r="UP52" s="2">
        <v>20</v>
      </c>
      <c r="UQ52" s="3" t="s">
        <v>1253</v>
      </c>
      <c r="UR52" s="2">
        <f t="shared" si="802"/>
        <v>52</v>
      </c>
      <c r="US52" s="2">
        <f t="shared" si="317"/>
        <v>53</v>
      </c>
      <c r="UT52" s="2">
        <v>2</v>
      </c>
      <c r="UU52" s="255" t="str">
        <f t="shared" si="318"/>
        <v/>
      </c>
      <c r="UV52" s="255"/>
      <c r="UW52" s="231" t="str">
        <f t="shared" ref="UW52:UW54" si="1079">IF(HEX2DEC(SUBSTITUTE(UU52," ",""))=0,"",HEX2DEC(SUBSTITUTE(UU52," ","")))</f>
        <v/>
      </c>
      <c r="UX52" s="344"/>
      <c r="UY52" s="353"/>
      <c r="UZ52" s="2">
        <v>20</v>
      </c>
      <c r="VA52" s="3" t="s">
        <v>1253</v>
      </c>
      <c r="VB52" s="2">
        <f t="shared" si="803"/>
        <v>52</v>
      </c>
      <c r="VC52" s="2">
        <f t="shared" si="321"/>
        <v>53</v>
      </c>
      <c r="VD52" s="2">
        <v>2</v>
      </c>
      <c r="VE52" s="255" t="str">
        <f t="shared" si="322"/>
        <v/>
      </c>
      <c r="VF52" s="255"/>
      <c r="VG52" s="231" t="str">
        <f t="shared" ref="VG52:VG54" si="1080">IF(HEX2DEC(SUBSTITUTE(VE52," ",""))=0,"",HEX2DEC(SUBSTITUTE(VE52," ","")))</f>
        <v/>
      </c>
      <c r="VH52" s="344"/>
      <c r="VI52" s="353"/>
      <c r="VJ52" s="2">
        <v>20</v>
      </c>
      <c r="VK52" s="3" t="s">
        <v>1253</v>
      </c>
      <c r="VL52" s="2">
        <f t="shared" si="804"/>
        <v>52</v>
      </c>
      <c r="VM52" s="2">
        <f t="shared" si="325"/>
        <v>53</v>
      </c>
      <c r="VN52" s="2">
        <v>2</v>
      </c>
      <c r="VO52" s="255" t="str">
        <f t="shared" si="326"/>
        <v/>
      </c>
      <c r="VP52" s="255"/>
      <c r="VQ52" s="231" t="str">
        <f t="shared" ref="VQ52:VQ54" si="1081">IF(HEX2DEC(SUBSTITUTE(VO52," ",""))=0,"",HEX2DEC(SUBSTITUTE(VO52," ","")))</f>
        <v/>
      </c>
      <c r="VR52" s="344"/>
      <c r="VS52" s="353"/>
      <c r="VT52" s="2">
        <v>20</v>
      </c>
      <c r="VU52" s="3" t="s">
        <v>1253</v>
      </c>
      <c r="VV52" s="2">
        <f t="shared" si="805"/>
        <v>52</v>
      </c>
      <c r="VW52" s="2">
        <f t="shared" si="329"/>
        <v>53</v>
      </c>
      <c r="VX52" s="2">
        <v>2</v>
      </c>
      <c r="VY52" s="255" t="str">
        <f t="shared" si="330"/>
        <v/>
      </c>
      <c r="VZ52" s="255"/>
      <c r="WA52" s="231" t="str">
        <f t="shared" ref="WA52:WA54" si="1082">IF(HEX2DEC(SUBSTITUTE(VY52," ",""))=0,"",HEX2DEC(SUBSTITUTE(VY52," ","")))</f>
        <v/>
      </c>
      <c r="WB52" s="344"/>
      <c r="WC52" s="353"/>
      <c r="WD52" s="2">
        <v>20</v>
      </c>
      <c r="WE52" s="3" t="s">
        <v>1253</v>
      </c>
      <c r="WF52" s="2">
        <f t="shared" si="806"/>
        <v>52</v>
      </c>
      <c r="WG52" s="2">
        <f t="shared" si="333"/>
        <v>53</v>
      </c>
      <c r="WH52" s="2">
        <v>2</v>
      </c>
      <c r="WI52" s="255" t="str">
        <f t="shared" si="334"/>
        <v/>
      </c>
      <c r="WJ52" s="255"/>
      <c r="WK52" s="231" t="str">
        <f t="shared" ref="WK52:WK54" si="1083">IF(HEX2DEC(SUBSTITUTE(WI52," ",""))=0,"",HEX2DEC(SUBSTITUTE(WI52," ","")))</f>
        <v/>
      </c>
      <c r="WL52" s="344"/>
      <c r="WM52" s="353"/>
      <c r="WN52" s="2">
        <v>20</v>
      </c>
      <c r="WO52" s="3" t="s">
        <v>1253</v>
      </c>
      <c r="WP52" s="2">
        <f t="shared" si="807"/>
        <v>52</v>
      </c>
      <c r="WQ52" s="2">
        <f t="shared" si="337"/>
        <v>53</v>
      </c>
      <c r="WR52" s="2">
        <v>2</v>
      </c>
      <c r="WS52" s="255" t="str">
        <f t="shared" si="338"/>
        <v/>
      </c>
      <c r="WT52" s="255"/>
      <c r="WU52" s="231" t="str">
        <f t="shared" ref="WU52:WU54" si="1084">IF(HEX2DEC(SUBSTITUTE(WS52," ",""))=0,"",HEX2DEC(SUBSTITUTE(WS52," ","")))</f>
        <v/>
      </c>
      <c r="WV52" s="344"/>
      <c r="WW52" s="353"/>
      <c r="WX52" s="2">
        <v>20</v>
      </c>
      <c r="WY52" s="3" t="s">
        <v>1253</v>
      </c>
      <c r="WZ52" s="2">
        <f t="shared" si="808"/>
        <v>52</v>
      </c>
      <c r="XA52" s="2">
        <f t="shared" si="341"/>
        <v>53</v>
      </c>
      <c r="XB52" s="2">
        <v>2</v>
      </c>
      <c r="XC52" s="255" t="str">
        <f t="shared" si="342"/>
        <v/>
      </c>
      <c r="XD52" s="255"/>
      <c r="XE52" s="231" t="str">
        <f t="shared" ref="XE52:XE54" si="1085">IF(HEX2DEC(SUBSTITUTE(XC52," ",""))=0,"",HEX2DEC(SUBSTITUTE(XC52," ","")))</f>
        <v/>
      </c>
      <c r="XF52" s="344"/>
      <c r="XG52" s="353"/>
      <c r="XH52" s="2">
        <v>20</v>
      </c>
      <c r="XI52" s="3" t="s">
        <v>1253</v>
      </c>
      <c r="XJ52" s="2">
        <f t="shared" si="809"/>
        <v>52</v>
      </c>
      <c r="XK52" s="2">
        <f t="shared" si="345"/>
        <v>53</v>
      </c>
      <c r="XL52" s="2">
        <v>2</v>
      </c>
      <c r="XM52" s="255" t="str">
        <f t="shared" si="346"/>
        <v/>
      </c>
      <c r="XN52" s="255"/>
      <c r="XO52" s="231" t="str">
        <f t="shared" ref="XO52:XO54" si="1086">IF(HEX2DEC(SUBSTITUTE(XM52," ",""))=0,"",HEX2DEC(SUBSTITUTE(XM52," ","")))</f>
        <v/>
      </c>
      <c r="XP52" s="344"/>
      <c r="XQ52" s="353"/>
      <c r="XR52" s="2">
        <v>20</v>
      </c>
      <c r="XS52" s="3" t="s">
        <v>1253</v>
      </c>
      <c r="XT52" s="2">
        <f t="shared" si="810"/>
        <v>52</v>
      </c>
      <c r="XU52" s="2">
        <f t="shared" si="349"/>
        <v>53</v>
      </c>
      <c r="XV52" s="2">
        <v>2</v>
      </c>
      <c r="XW52" s="255" t="str">
        <f t="shared" si="350"/>
        <v/>
      </c>
      <c r="XX52" s="255"/>
      <c r="XY52" s="231" t="str">
        <f t="shared" ref="XY52:XY54" si="1087">IF(HEX2DEC(SUBSTITUTE(XW52," ",""))=0,"",HEX2DEC(SUBSTITUTE(XW52," ","")))</f>
        <v/>
      </c>
      <c r="XZ52" s="344"/>
      <c r="YA52" s="353"/>
      <c r="YB52" s="2">
        <v>20</v>
      </c>
      <c r="YC52" s="3" t="s">
        <v>1253</v>
      </c>
      <c r="YD52" s="2">
        <f t="shared" si="811"/>
        <v>52</v>
      </c>
      <c r="YE52" s="2">
        <f t="shared" si="353"/>
        <v>53</v>
      </c>
      <c r="YF52" s="2">
        <v>2</v>
      </c>
      <c r="YG52" s="255" t="str">
        <f t="shared" si="354"/>
        <v/>
      </c>
      <c r="YH52" s="255"/>
      <c r="YI52" s="231" t="str">
        <f t="shared" ref="YI52:YI54" si="1088">IF(HEX2DEC(SUBSTITUTE(YG52," ",""))=0,"",HEX2DEC(SUBSTITUTE(YG52," ","")))</f>
        <v/>
      </c>
      <c r="YJ52" s="344"/>
      <c r="YK52" s="353"/>
      <c r="YL52" s="2">
        <v>20</v>
      </c>
      <c r="YM52" s="3" t="s">
        <v>1253</v>
      </c>
      <c r="YN52" s="2">
        <f t="shared" si="812"/>
        <v>52</v>
      </c>
      <c r="YO52" s="2">
        <f t="shared" si="357"/>
        <v>53</v>
      </c>
      <c r="YP52" s="2">
        <v>2</v>
      </c>
      <c r="YQ52" s="255" t="str">
        <f t="shared" si="358"/>
        <v/>
      </c>
      <c r="YR52" s="255"/>
      <c r="YS52" s="231" t="str">
        <f t="shared" ref="YS52:YS54" si="1089">IF(HEX2DEC(SUBSTITUTE(YQ52," ",""))=0,"",HEX2DEC(SUBSTITUTE(YQ52," ","")))</f>
        <v/>
      </c>
      <c r="YT52" s="344"/>
      <c r="YU52" s="353"/>
      <c r="YV52" s="2">
        <v>20</v>
      </c>
      <c r="YW52" s="3" t="s">
        <v>1253</v>
      </c>
      <c r="YX52" s="2">
        <f t="shared" si="813"/>
        <v>52</v>
      </c>
      <c r="YY52" s="2">
        <f t="shared" si="361"/>
        <v>53</v>
      </c>
      <c r="YZ52" s="2">
        <v>2</v>
      </c>
      <c r="ZA52" s="255" t="str">
        <f t="shared" si="362"/>
        <v/>
      </c>
      <c r="ZB52" s="255"/>
      <c r="ZC52" s="231" t="str">
        <f t="shared" ref="ZC52:ZC54" si="1090">IF(HEX2DEC(SUBSTITUTE(ZA52," ",""))=0,"",HEX2DEC(SUBSTITUTE(ZA52," ","")))</f>
        <v/>
      </c>
      <c r="ZD52" s="344"/>
      <c r="ZE52" s="353"/>
      <c r="ZF52" s="2">
        <v>20</v>
      </c>
      <c r="ZG52" s="3" t="s">
        <v>1253</v>
      </c>
      <c r="ZH52" s="2">
        <f t="shared" si="814"/>
        <v>52</v>
      </c>
      <c r="ZI52" s="2">
        <f t="shared" si="365"/>
        <v>53</v>
      </c>
      <c r="ZJ52" s="2">
        <v>2</v>
      </c>
      <c r="ZK52" s="255" t="str">
        <f t="shared" si="366"/>
        <v/>
      </c>
      <c r="ZL52" s="255"/>
      <c r="ZM52" s="231" t="str">
        <f t="shared" ref="ZM52:ZM54" si="1091">IF(HEX2DEC(SUBSTITUTE(ZK52," ",""))=0,"",HEX2DEC(SUBSTITUTE(ZK52," ","")))</f>
        <v/>
      </c>
      <c r="ZN52" s="344"/>
      <c r="ZO52" s="353"/>
      <c r="ZP52" s="2">
        <v>20</v>
      </c>
      <c r="ZQ52" s="3" t="s">
        <v>1253</v>
      </c>
      <c r="ZR52" s="2">
        <f t="shared" si="815"/>
        <v>52</v>
      </c>
      <c r="ZS52" s="2">
        <f t="shared" si="369"/>
        <v>53</v>
      </c>
      <c r="ZT52" s="2">
        <v>2</v>
      </c>
      <c r="ZU52" s="255" t="str">
        <f t="shared" si="370"/>
        <v/>
      </c>
      <c r="ZV52" s="255"/>
      <c r="ZW52" s="231" t="str">
        <f t="shared" ref="ZW52:ZW54" si="1092">IF(HEX2DEC(SUBSTITUTE(ZU52," ",""))=0,"",HEX2DEC(SUBSTITUTE(ZU52," ","")))</f>
        <v/>
      </c>
      <c r="ZX52" s="344"/>
      <c r="ZY52" s="353"/>
      <c r="ZZ52" s="2">
        <v>20</v>
      </c>
      <c r="AAA52" s="3" t="s">
        <v>1253</v>
      </c>
      <c r="AAB52" s="2">
        <f t="shared" si="816"/>
        <v>52</v>
      </c>
      <c r="AAC52" s="2">
        <f t="shared" si="373"/>
        <v>53</v>
      </c>
      <c r="AAD52" s="2">
        <v>2</v>
      </c>
      <c r="AAE52" s="255" t="str">
        <f t="shared" si="374"/>
        <v/>
      </c>
      <c r="AAF52" s="255"/>
      <c r="AAG52" s="231" t="str">
        <f t="shared" ref="AAG52:AAG54" si="1093">IF(HEX2DEC(SUBSTITUTE(AAE52," ",""))=0,"",HEX2DEC(SUBSTITUTE(AAE52," ","")))</f>
        <v/>
      </c>
      <c r="AAH52" s="344"/>
      <c r="AAI52" s="353"/>
      <c r="AAJ52" s="2">
        <v>20</v>
      </c>
      <c r="AAK52" s="3" t="s">
        <v>1253</v>
      </c>
      <c r="AAL52" s="2">
        <f t="shared" si="817"/>
        <v>52</v>
      </c>
      <c r="AAM52" s="2">
        <f t="shared" si="377"/>
        <v>53</v>
      </c>
      <c r="AAN52" s="2">
        <v>2</v>
      </c>
      <c r="AAO52" s="255" t="str">
        <f t="shared" si="378"/>
        <v/>
      </c>
      <c r="AAP52" s="255"/>
      <c r="AAQ52" s="231" t="str">
        <f t="shared" ref="AAQ52:AAQ54" si="1094">IF(HEX2DEC(SUBSTITUTE(AAO52," ",""))=0,"",HEX2DEC(SUBSTITUTE(AAO52," ","")))</f>
        <v/>
      </c>
      <c r="AAR52" s="344"/>
      <c r="AAS52" s="353"/>
      <c r="AAT52" s="2">
        <v>20</v>
      </c>
      <c r="AAU52" s="3" t="s">
        <v>1253</v>
      </c>
      <c r="AAV52" s="2">
        <f t="shared" si="818"/>
        <v>52</v>
      </c>
      <c r="AAW52" s="2">
        <f t="shared" si="381"/>
        <v>53</v>
      </c>
      <c r="AAX52" s="2">
        <v>2</v>
      </c>
      <c r="AAY52" s="255" t="str">
        <f t="shared" si="382"/>
        <v/>
      </c>
      <c r="AAZ52" s="255"/>
      <c r="ABA52" s="231" t="str">
        <f t="shared" ref="ABA52:ABA54" si="1095">IF(HEX2DEC(SUBSTITUTE(AAY52," ",""))=0,"",HEX2DEC(SUBSTITUTE(AAY52," ","")))</f>
        <v/>
      </c>
      <c r="ABB52" s="344"/>
      <c r="ABC52" s="353"/>
      <c r="ABD52" s="2">
        <v>20</v>
      </c>
      <c r="ABE52" s="3" t="s">
        <v>1253</v>
      </c>
      <c r="ABF52" s="2">
        <f t="shared" si="819"/>
        <v>52</v>
      </c>
      <c r="ABG52" s="2">
        <f t="shared" si="385"/>
        <v>53</v>
      </c>
      <c r="ABH52" s="2">
        <v>2</v>
      </c>
      <c r="ABI52" s="255" t="str">
        <f t="shared" si="386"/>
        <v/>
      </c>
      <c r="ABJ52" s="255"/>
      <c r="ABK52" s="231" t="str">
        <f t="shared" ref="ABK52:ABK54" si="1096">IF(HEX2DEC(SUBSTITUTE(ABI52," ",""))=0,"",HEX2DEC(SUBSTITUTE(ABI52," ","")))</f>
        <v/>
      </c>
      <c r="ABL52" s="344"/>
      <c r="ABM52" s="353"/>
      <c r="ABN52" s="2">
        <v>20</v>
      </c>
      <c r="ABO52" s="3" t="s">
        <v>1253</v>
      </c>
      <c r="ABP52" s="2">
        <f t="shared" si="820"/>
        <v>52</v>
      </c>
      <c r="ABQ52" s="2">
        <f t="shared" si="389"/>
        <v>53</v>
      </c>
      <c r="ABR52" s="2">
        <v>2</v>
      </c>
      <c r="ABS52" s="255" t="str">
        <f t="shared" si="390"/>
        <v/>
      </c>
      <c r="ABT52" s="255"/>
      <c r="ABU52" s="231" t="str">
        <f t="shared" ref="ABU52:ABU54" si="1097">IF(HEX2DEC(SUBSTITUTE(ABS52," ",""))=0,"",HEX2DEC(SUBSTITUTE(ABS52," ","")))</f>
        <v/>
      </c>
      <c r="ABV52" s="344"/>
      <c r="ABW52" s="353"/>
      <c r="ABX52" s="2">
        <v>20</v>
      </c>
      <c r="ABY52" s="3" t="s">
        <v>1253</v>
      </c>
      <c r="ABZ52" s="2">
        <f t="shared" si="821"/>
        <v>52</v>
      </c>
      <c r="ACA52" s="2">
        <f t="shared" si="393"/>
        <v>53</v>
      </c>
      <c r="ACB52" s="2">
        <v>2</v>
      </c>
      <c r="ACC52" s="255" t="str">
        <f t="shared" si="394"/>
        <v/>
      </c>
      <c r="ACD52" s="255"/>
      <c r="ACE52" s="231" t="str">
        <f t="shared" ref="ACE52:ACE54" si="1098">IF(HEX2DEC(SUBSTITUTE(ACC52," ",""))=0,"",HEX2DEC(SUBSTITUTE(ACC52," ","")))</f>
        <v/>
      </c>
      <c r="ACF52" s="344"/>
      <c r="ACG52" s="353"/>
      <c r="ACH52" s="2">
        <v>20</v>
      </c>
      <c r="ACI52" s="3" t="s">
        <v>1253</v>
      </c>
      <c r="ACJ52" s="2">
        <f t="shared" si="822"/>
        <v>52</v>
      </c>
      <c r="ACK52" s="2">
        <f t="shared" si="397"/>
        <v>53</v>
      </c>
      <c r="ACL52" s="2">
        <v>2</v>
      </c>
      <c r="ACM52" s="255" t="str">
        <f t="shared" si="398"/>
        <v/>
      </c>
      <c r="ACN52" s="255"/>
      <c r="ACO52" s="231" t="str">
        <f t="shared" ref="ACO52:ACO54" si="1099">IF(HEX2DEC(SUBSTITUTE(ACM52," ",""))=0,"",HEX2DEC(SUBSTITUTE(ACM52," ","")))</f>
        <v/>
      </c>
      <c r="ACP52" s="344"/>
      <c r="ACQ52" s="353"/>
      <c r="ACR52" s="2">
        <v>20</v>
      </c>
      <c r="ACS52" s="3" t="s">
        <v>1253</v>
      </c>
      <c r="ACT52" s="2">
        <f t="shared" si="823"/>
        <v>52</v>
      </c>
      <c r="ACU52" s="2">
        <f t="shared" si="401"/>
        <v>53</v>
      </c>
      <c r="ACV52" s="2">
        <v>2</v>
      </c>
      <c r="ACW52" s="255" t="str">
        <f t="shared" si="402"/>
        <v/>
      </c>
      <c r="ACX52" s="255"/>
      <c r="ACY52" s="231" t="str">
        <f t="shared" ref="ACY52:ACY54" si="1100">IF(HEX2DEC(SUBSTITUTE(ACW52," ",""))=0,"",HEX2DEC(SUBSTITUTE(ACW52," ","")))</f>
        <v/>
      </c>
      <c r="ACZ52" s="344"/>
      <c r="ADA52" s="353"/>
      <c r="ADB52" s="2">
        <v>20</v>
      </c>
      <c r="ADC52" s="3" t="s">
        <v>1253</v>
      </c>
      <c r="ADD52" s="2">
        <f t="shared" si="824"/>
        <v>52</v>
      </c>
      <c r="ADE52" s="2">
        <f t="shared" si="405"/>
        <v>53</v>
      </c>
      <c r="ADF52" s="2">
        <v>2</v>
      </c>
      <c r="ADG52" s="255" t="str">
        <f t="shared" si="406"/>
        <v/>
      </c>
      <c r="ADH52" s="255"/>
      <c r="ADI52" s="231" t="str">
        <f t="shared" ref="ADI52:ADI54" si="1101">IF(HEX2DEC(SUBSTITUTE(ADG52," ",""))=0,"",HEX2DEC(SUBSTITUTE(ADG52," ","")))</f>
        <v/>
      </c>
      <c r="ADJ52" s="344"/>
      <c r="ADK52" s="353"/>
      <c r="ADL52" s="2">
        <v>20</v>
      </c>
      <c r="ADM52" s="3" t="s">
        <v>1253</v>
      </c>
      <c r="ADN52" s="2">
        <f t="shared" si="825"/>
        <v>52</v>
      </c>
      <c r="ADO52" s="2">
        <f t="shared" si="409"/>
        <v>53</v>
      </c>
      <c r="ADP52" s="2">
        <v>2</v>
      </c>
      <c r="ADQ52" s="255" t="str">
        <f t="shared" si="410"/>
        <v/>
      </c>
      <c r="ADR52" s="255"/>
      <c r="ADS52" s="231" t="str">
        <f t="shared" ref="ADS52:ADS54" si="1102">IF(HEX2DEC(SUBSTITUTE(ADQ52," ",""))=0,"",HEX2DEC(SUBSTITUTE(ADQ52," ","")))</f>
        <v/>
      </c>
      <c r="ADT52" s="344"/>
      <c r="ADU52" s="353"/>
      <c r="ADV52" s="2">
        <v>20</v>
      </c>
      <c r="ADW52" s="3" t="s">
        <v>1253</v>
      </c>
      <c r="ADX52" s="2">
        <f t="shared" si="826"/>
        <v>52</v>
      </c>
      <c r="ADY52" s="2">
        <f t="shared" si="413"/>
        <v>53</v>
      </c>
      <c r="ADZ52" s="2">
        <v>2</v>
      </c>
      <c r="AEA52" s="255" t="str">
        <f t="shared" si="414"/>
        <v/>
      </c>
      <c r="AEB52" s="255"/>
      <c r="AEC52" s="231" t="str">
        <f t="shared" ref="AEC52:AEC54" si="1103">IF(HEX2DEC(SUBSTITUTE(AEA52," ",""))=0,"",HEX2DEC(SUBSTITUTE(AEA52," ","")))</f>
        <v/>
      </c>
      <c r="AED52" s="344"/>
      <c r="AEE52" s="353"/>
      <c r="AEF52" s="2">
        <v>20</v>
      </c>
      <c r="AEG52" s="3" t="s">
        <v>1253</v>
      </c>
      <c r="AEH52" s="2">
        <f t="shared" si="827"/>
        <v>52</v>
      </c>
      <c r="AEI52" s="2">
        <f t="shared" si="417"/>
        <v>53</v>
      </c>
      <c r="AEJ52" s="2">
        <v>2</v>
      </c>
      <c r="AEK52" s="255" t="str">
        <f t="shared" si="418"/>
        <v/>
      </c>
      <c r="AEL52" s="255"/>
      <c r="AEM52" s="231" t="str">
        <f t="shared" ref="AEM52:AEM54" si="1104">IF(HEX2DEC(SUBSTITUTE(AEK52," ",""))=0,"",HEX2DEC(SUBSTITUTE(AEK52," ","")))</f>
        <v/>
      </c>
      <c r="AEN52" s="344"/>
      <c r="AEO52" s="353"/>
      <c r="AEP52" s="2">
        <v>20</v>
      </c>
      <c r="AEQ52" s="3" t="s">
        <v>1253</v>
      </c>
      <c r="AER52" s="2">
        <f t="shared" si="828"/>
        <v>52</v>
      </c>
      <c r="AES52" s="2">
        <f t="shared" si="421"/>
        <v>53</v>
      </c>
      <c r="AET52" s="2">
        <v>2</v>
      </c>
      <c r="AEU52" s="255" t="str">
        <f t="shared" si="422"/>
        <v/>
      </c>
      <c r="AEV52" s="255"/>
      <c r="AEW52" s="231" t="str">
        <f t="shared" ref="AEW52:AEW54" si="1105">IF(HEX2DEC(SUBSTITUTE(AEU52," ",""))=0,"",HEX2DEC(SUBSTITUTE(AEU52," ","")))</f>
        <v/>
      </c>
      <c r="AEX52" s="344"/>
      <c r="AEY52" s="353"/>
      <c r="AEZ52" s="2">
        <v>20</v>
      </c>
      <c r="AFA52" s="3" t="s">
        <v>1253</v>
      </c>
      <c r="AFB52" s="2">
        <f t="shared" si="829"/>
        <v>52</v>
      </c>
      <c r="AFC52" s="2">
        <f t="shared" si="425"/>
        <v>53</v>
      </c>
      <c r="AFD52" s="2">
        <v>2</v>
      </c>
      <c r="AFE52" s="255" t="str">
        <f t="shared" si="426"/>
        <v/>
      </c>
      <c r="AFF52" s="255"/>
      <c r="AFG52" s="231" t="str">
        <f t="shared" ref="AFG52:AFG54" si="1106">IF(HEX2DEC(SUBSTITUTE(AFE52," ",""))=0,"",HEX2DEC(SUBSTITUTE(AFE52," ","")))</f>
        <v/>
      </c>
      <c r="AFH52" s="344"/>
      <c r="AFI52" s="353"/>
      <c r="AFJ52" s="2">
        <v>20</v>
      </c>
      <c r="AFK52" s="3" t="s">
        <v>1253</v>
      </c>
      <c r="AFL52" s="2">
        <f t="shared" si="830"/>
        <v>52</v>
      </c>
      <c r="AFM52" s="2">
        <f t="shared" si="429"/>
        <v>53</v>
      </c>
      <c r="AFN52" s="2">
        <v>2</v>
      </c>
      <c r="AFO52" s="255" t="str">
        <f t="shared" si="430"/>
        <v/>
      </c>
      <c r="AFP52" s="255"/>
      <c r="AFQ52" s="231" t="str">
        <f t="shared" ref="AFQ52:AFQ54" si="1107">IF(HEX2DEC(SUBSTITUTE(AFO52," ",""))=0,"",HEX2DEC(SUBSTITUTE(AFO52," ","")))</f>
        <v/>
      </c>
      <c r="AFR52" s="344"/>
      <c r="AFS52" s="353"/>
      <c r="AFT52" s="2">
        <v>20</v>
      </c>
      <c r="AFU52" s="3" t="s">
        <v>1253</v>
      </c>
      <c r="AFV52" s="2">
        <f t="shared" si="831"/>
        <v>52</v>
      </c>
      <c r="AFW52" s="2">
        <f t="shared" si="433"/>
        <v>53</v>
      </c>
      <c r="AFX52" s="2">
        <v>2</v>
      </c>
      <c r="AFY52" s="255" t="str">
        <f t="shared" si="434"/>
        <v/>
      </c>
      <c r="AFZ52" s="255"/>
      <c r="AGA52" s="231" t="str">
        <f t="shared" ref="AGA52:AGA54" si="1108">IF(HEX2DEC(SUBSTITUTE(AFY52," ",""))=0,"",HEX2DEC(SUBSTITUTE(AFY52," ","")))</f>
        <v/>
      </c>
      <c r="AGB52" s="344"/>
      <c r="AGC52" s="353"/>
      <c r="AGD52" s="2">
        <v>20</v>
      </c>
      <c r="AGE52" s="3" t="s">
        <v>1253</v>
      </c>
      <c r="AGF52" s="2">
        <f t="shared" si="832"/>
        <v>52</v>
      </c>
      <c r="AGG52" s="2">
        <f t="shared" si="437"/>
        <v>53</v>
      </c>
      <c r="AGH52" s="2">
        <v>2</v>
      </c>
      <c r="AGI52" s="255" t="str">
        <f t="shared" si="438"/>
        <v/>
      </c>
      <c r="AGJ52" s="255"/>
      <c r="AGK52" s="231" t="str">
        <f t="shared" ref="AGK52:AGK54" si="1109">IF(HEX2DEC(SUBSTITUTE(AGI52," ",""))=0,"",HEX2DEC(SUBSTITUTE(AGI52," ","")))</f>
        <v/>
      </c>
      <c r="AGL52" s="344"/>
      <c r="AGM52" s="353"/>
      <c r="AGN52" s="2">
        <v>20</v>
      </c>
      <c r="AGO52" s="3" t="s">
        <v>1253</v>
      </c>
      <c r="AGP52" s="2">
        <f t="shared" si="833"/>
        <v>52</v>
      </c>
      <c r="AGQ52" s="2">
        <f t="shared" si="441"/>
        <v>53</v>
      </c>
      <c r="AGR52" s="2">
        <v>2</v>
      </c>
      <c r="AGS52" s="255" t="str">
        <f t="shared" si="442"/>
        <v/>
      </c>
      <c r="AGT52" s="255"/>
      <c r="AGU52" s="231" t="str">
        <f t="shared" ref="AGU52:AGU54" si="1110">IF(HEX2DEC(SUBSTITUTE(AGS52," ",""))=0,"",HEX2DEC(SUBSTITUTE(AGS52," ","")))</f>
        <v/>
      </c>
      <c r="AGV52" s="344"/>
      <c r="AGW52" s="353"/>
      <c r="AGX52" s="2">
        <v>20</v>
      </c>
      <c r="AGY52" s="3" t="s">
        <v>1253</v>
      </c>
      <c r="AGZ52" s="2">
        <f t="shared" si="834"/>
        <v>52</v>
      </c>
      <c r="AHA52" s="2">
        <f t="shared" si="445"/>
        <v>53</v>
      </c>
      <c r="AHB52" s="2">
        <v>2</v>
      </c>
      <c r="AHC52" s="255" t="str">
        <f t="shared" si="446"/>
        <v/>
      </c>
      <c r="AHD52" s="255"/>
      <c r="AHE52" s="231" t="str">
        <f t="shared" ref="AHE52:AHE54" si="1111">IF(HEX2DEC(SUBSTITUTE(AHC52," ",""))=0,"",HEX2DEC(SUBSTITUTE(AHC52," ","")))</f>
        <v/>
      </c>
      <c r="AHF52" s="344"/>
      <c r="AHG52" s="353"/>
      <c r="AHH52" s="2">
        <v>20</v>
      </c>
      <c r="AHI52" s="3" t="s">
        <v>1253</v>
      </c>
      <c r="AHJ52" s="2">
        <f t="shared" si="835"/>
        <v>52</v>
      </c>
      <c r="AHK52" s="2">
        <f t="shared" si="449"/>
        <v>53</v>
      </c>
      <c r="AHL52" s="2">
        <v>2</v>
      </c>
      <c r="AHM52" s="255" t="str">
        <f t="shared" si="450"/>
        <v/>
      </c>
      <c r="AHN52" s="255"/>
      <c r="AHO52" s="231" t="str">
        <f t="shared" ref="AHO52:AHO54" si="1112">IF(HEX2DEC(SUBSTITUTE(AHM52," ",""))=0,"",HEX2DEC(SUBSTITUTE(AHM52," ","")))</f>
        <v/>
      </c>
      <c r="AHP52" s="344"/>
      <c r="AHQ52" s="353"/>
      <c r="AHR52" s="2">
        <v>20</v>
      </c>
      <c r="AHS52" s="3" t="s">
        <v>1253</v>
      </c>
      <c r="AHT52" s="2">
        <f t="shared" si="836"/>
        <v>52</v>
      </c>
      <c r="AHU52" s="2">
        <f t="shared" si="453"/>
        <v>53</v>
      </c>
      <c r="AHV52" s="2">
        <v>2</v>
      </c>
      <c r="AHW52" s="255" t="str">
        <f t="shared" si="454"/>
        <v/>
      </c>
      <c r="AHX52" s="255"/>
      <c r="AHY52" s="231" t="str">
        <f t="shared" ref="AHY52:AHY54" si="1113">IF(HEX2DEC(SUBSTITUTE(AHW52," ",""))=0,"",HEX2DEC(SUBSTITUTE(AHW52," ","")))</f>
        <v/>
      </c>
      <c r="AHZ52" s="344"/>
      <c r="AIA52" s="353"/>
      <c r="AIB52" s="2">
        <v>20</v>
      </c>
      <c r="AIC52" s="3" t="s">
        <v>1253</v>
      </c>
      <c r="AID52" s="2">
        <f t="shared" si="837"/>
        <v>52</v>
      </c>
      <c r="AIE52" s="2">
        <f t="shared" si="457"/>
        <v>53</v>
      </c>
      <c r="AIF52" s="2">
        <v>2</v>
      </c>
      <c r="AIG52" s="255" t="str">
        <f t="shared" si="458"/>
        <v/>
      </c>
      <c r="AIH52" s="255"/>
      <c r="AII52" s="231" t="str">
        <f t="shared" ref="AII52:AII54" si="1114">IF(HEX2DEC(SUBSTITUTE(AIG52," ",""))=0,"",HEX2DEC(SUBSTITUTE(AIG52," ","")))</f>
        <v/>
      </c>
      <c r="AIJ52" s="344"/>
      <c r="AIK52" s="353"/>
      <c r="AIL52" s="2">
        <v>20</v>
      </c>
      <c r="AIM52" s="3" t="s">
        <v>1253</v>
      </c>
      <c r="AIN52" s="2">
        <f t="shared" si="838"/>
        <v>52</v>
      </c>
      <c r="AIO52" s="2">
        <f t="shared" si="461"/>
        <v>53</v>
      </c>
      <c r="AIP52" s="2">
        <v>2</v>
      </c>
      <c r="AIQ52" s="255" t="str">
        <f t="shared" si="462"/>
        <v/>
      </c>
      <c r="AIR52" s="255"/>
      <c r="AIS52" s="231" t="str">
        <f t="shared" ref="AIS52:AIS54" si="1115">IF(HEX2DEC(SUBSTITUTE(AIQ52," ",""))=0,"",HEX2DEC(SUBSTITUTE(AIQ52," ","")))</f>
        <v/>
      </c>
      <c r="AIT52" s="344"/>
      <c r="AIU52" s="353"/>
      <c r="AIV52" s="2">
        <v>20</v>
      </c>
      <c r="AIW52" s="3" t="s">
        <v>1253</v>
      </c>
      <c r="AIX52" s="2">
        <f t="shared" si="839"/>
        <v>52</v>
      </c>
      <c r="AIY52" s="2">
        <f t="shared" si="465"/>
        <v>53</v>
      </c>
      <c r="AIZ52" s="2">
        <v>2</v>
      </c>
      <c r="AJA52" s="255" t="str">
        <f t="shared" si="466"/>
        <v/>
      </c>
      <c r="AJB52" s="255"/>
      <c r="AJC52" s="231" t="str">
        <f t="shared" ref="AJC52:AJC54" si="1116">IF(HEX2DEC(SUBSTITUTE(AJA52," ",""))=0,"",HEX2DEC(SUBSTITUTE(AJA52," ","")))</f>
        <v/>
      </c>
      <c r="AJD52" s="344"/>
    </row>
    <row r="53" spans="1:940">
      <c r="A53" s="37">
        <f>I52</f>
        <v>0</v>
      </c>
      <c r="B53" s="18">
        <v>22</v>
      </c>
      <c r="C53" s="19" t="s">
        <v>1254</v>
      </c>
      <c r="D53" s="18">
        <f t="shared" si="561"/>
        <v>54</v>
      </c>
      <c r="E53" s="18">
        <f t="shared" ref="E53:E58" si="1117">D53+F53-1</f>
        <v>56</v>
      </c>
      <c r="F53" s="18">
        <v>3</v>
      </c>
      <c r="G53" s="301" t="str">
        <f t="shared" si="468"/>
        <v/>
      </c>
      <c r="H53" s="301"/>
      <c r="I53" s="302">
        <f t="shared" si="1024"/>
        <v>0</v>
      </c>
      <c r="J53" s="305"/>
      <c r="K53" s="61">
        <f>IF(K42=0,0,IF(A53&gt;1,A53-1,S52))</f>
        <v>0</v>
      </c>
      <c r="L53" s="18">
        <v>21</v>
      </c>
      <c r="M53" s="19" t="s">
        <v>1254</v>
      </c>
      <c r="N53" s="18">
        <f>IF(AND(K53=A53,K47=A47,K42&lt;&gt;A42),O52+1,IF(AND(K53=A53,K47&lt;&gt;A47),O52+1,IF(AND(K53=A53-1,K47=A47),E56+(I56*4)+1,O52+1)))</f>
        <v>54</v>
      </c>
      <c r="O53" s="18">
        <f t="shared" si="97"/>
        <v>56</v>
      </c>
      <c r="P53" s="18">
        <v>3</v>
      </c>
      <c r="Q53" s="301" t="str">
        <f t="shared" si="98"/>
        <v/>
      </c>
      <c r="R53" s="301"/>
      <c r="S53" s="302" t="str">
        <f t="shared" si="99"/>
        <v/>
      </c>
      <c r="T53" s="349"/>
      <c r="U53" s="61">
        <f t="shared" ref="U53" si="1118">IF(U42=0,0,IF(K53&gt;1,K53-1,AC52))</f>
        <v>0</v>
      </c>
      <c r="V53" s="18">
        <v>21</v>
      </c>
      <c r="W53" s="19" t="s">
        <v>1254</v>
      </c>
      <c r="X53" s="18">
        <f t="shared" ref="X53" si="1119">IF(AND(U53=K53,U47=K47,U42&lt;&gt;K42),Y52+1,IF(AND(U53=K53,U47&lt;&gt;K47),Y52+1,IF(AND(U53=K53-1,U47=K47),O56+(S56*4)+1,Y52+1)))</f>
        <v>54</v>
      </c>
      <c r="Y53" s="18">
        <f t="shared" si="101"/>
        <v>56</v>
      </c>
      <c r="Z53" s="18">
        <v>3</v>
      </c>
      <c r="AA53" s="301" t="str">
        <f t="shared" si="102"/>
        <v/>
      </c>
      <c r="AB53" s="301"/>
      <c r="AC53" s="302" t="str">
        <f t="shared" si="1025"/>
        <v/>
      </c>
      <c r="AD53" s="349"/>
      <c r="AE53" s="61">
        <f t="shared" ref="AE53" si="1120">IF(AE42=0,0,IF(U53&gt;1,U53-1,AM52))</f>
        <v>0</v>
      </c>
      <c r="AF53" s="18">
        <v>21</v>
      </c>
      <c r="AG53" s="19" t="s">
        <v>1254</v>
      </c>
      <c r="AH53" s="18">
        <f t="shared" ref="AH53" si="1121">IF(AND(AE53=U53,AE47=U47,AE42&lt;&gt;U42),AI52+1,IF(AND(AE53=U53,AE47&lt;&gt;U47),AI52+1,IF(AND(AE53=U53-1,AE47=U47),Y56+(AC56*4)+1,AI52+1)))</f>
        <v>54</v>
      </c>
      <c r="AI53" s="18">
        <f t="shared" si="105"/>
        <v>56</v>
      </c>
      <c r="AJ53" s="18">
        <v>3</v>
      </c>
      <c r="AK53" s="301" t="str">
        <f t="shared" si="106"/>
        <v/>
      </c>
      <c r="AL53" s="301"/>
      <c r="AM53" s="302" t="str">
        <f t="shared" si="1026"/>
        <v/>
      </c>
      <c r="AN53" s="349"/>
      <c r="AO53" s="61">
        <f t="shared" ref="AO53" si="1122">IF(AO42=0,0,IF(AE53&gt;1,AE53-1,AW52))</f>
        <v>0</v>
      </c>
      <c r="AP53" s="18">
        <v>21</v>
      </c>
      <c r="AQ53" s="19" t="s">
        <v>1254</v>
      </c>
      <c r="AR53" s="18">
        <f t="shared" ref="AR53" si="1123">IF(AND(AO53=AE53,AO47=AE47,AO42&lt;&gt;AE42),AS52+1,IF(AND(AO53=AE53,AO47&lt;&gt;AE47),AS52+1,IF(AND(AO53=AE53-1,AO47=AE47),AI56+(AM56*4)+1,AS52+1)))</f>
        <v>54</v>
      </c>
      <c r="AS53" s="18">
        <f t="shared" si="109"/>
        <v>56</v>
      </c>
      <c r="AT53" s="18">
        <v>3</v>
      </c>
      <c r="AU53" s="301" t="str">
        <f t="shared" si="110"/>
        <v/>
      </c>
      <c r="AV53" s="301"/>
      <c r="AW53" s="302" t="str">
        <f t="shared" si="1027"/>
        <v/>
      </c>
      <c r="AX53" s="349"/>
      <c r="AY53" s="61">
        <f t="shared" ref="AY53" si="1124">IF(AY42=0,0,IF(AO53&gt;1,AO53-1,BG52))</f>
        <v>0</v>
      </c>
      <c r="AZ53" s="18">
        <v>21</v>
      </c>
      <c r="BA53" s="19" t="s">
        <v>1254</v>
      </c>
      <c r="BB53" s="18">
        <f t="shared" ref="BB53" si="1125">IF(AND(AY53=AO53,AY47=AO47,AY42&lt;&gt;AO42),BC52+1,IF(AND(AY53=AO53,AY47&lt;&gt;AO47),BC52+1,IF(AND(AY53=AO53-1,AY47=AO47),AS56+(AW56*4)+1,BC52+1)))</f>
        <v>54</v>
      </c>
      <c r="BC53" s="18">
        <f t="shared" si="113"/>
        <v>56</v>
      </c>
      <c r="BD53" s="18">
        <v>3</v>
      </c>
      <c r="BE53" s="301" t="str">
        <f t="shared" si="114"/>
        <v/>
      </c>
      <c r="BF53" s="301"/>
      <c r="BG53" s="302" t="str">
        <f t="shared" si="1028"/>
        <v/>
      </c>
      <c r="BH53" s="349"/>
      <c r="BI53" s="61">
        <f t="shared" ref="BI53" si="1126">IF(BI42=0,0,IF(AY53&gt;1,AY53-1,BQ52))</f>
        <v>0</v>
      </c>
      <c r="BJ53" s="18">
        <v>21</v>
      </c>
      <c r="BK53" s="19" t="s">
        <v>1254</v>
      </c>
      <c r="BL53" s="18">
        <f t="shared" ref="BL53" si="1127">IF(AND(BI53=AY53,BI47=AY47,BI42&lt;&gt;AY42),BM52+1,IF(AND(BI53=AY53,BI47&lt;&gt;AY47),BM52+1,IF(AND(BI53=AY53-1,BI47=AY47),BC56+(BG56*4)+1,BM52+1)))</f>
        <v>54</v>
      </c>
      <c r="BM53" s="18">
        <f t="shared" si="117"/>
        <v>56</v>
      </c>
      <c r="BN53" s="18">
        <v>3</v>
      </c>
      <c r="BO53" s="301" t="str">
        <f t="shared" si="118"/>
        <v/>
      </c>
      <c r="BP53" s="301"/>
      <c r="BQ53" s="302" t="str">
        <f t="shared" si="1029"/>
        <v/>
      </c>
      <c r="BR53" s="349"/>
      <c r="BS53" s="61">
        <f t="shared" ref="BS53" si="1128">IF(BS42=0,0,IF(BI53&gt;1,BI53-1,CA52))</f>
        <v>0</v>
      </c>
      <c r="BT53" s="18">
        <v>21</v>
      </c>
      <c r="BU53" s="19" t="s">
        <v>1254</v>
      </c>
      <c r="BV53" s="18">
        <f t="shared" ref="BV53" si="1129">IF(AND(BS53=BI53,BS47=BI47,BS42&lt;&gt;BI42),BW52+1,IF(AND(BS53=BI53,BS47&lt;&gt;BI47),BW52+1,IF(AND(BS53=BI53-1,BS47=BI47),BM56+(BQ56*4)+1,BW52+1)))</f>
        <v>54</v>
      </c>
      <c r="BW53" s="18">
        <f t="shared" si="121"/>
        <v>56</v>
      </c>
      <c r="BX53" s="18">
        <v>3</v>
      </c>
      <c r="BY53" s="301" t="str">
        <f t="shared" si="122"/>
        <v/>
      </c>
      <c r="BZ53" s="301"/>
      <c r="CA53" s="302" t="str">
        <f t="shared" si="1030"/>
        <v/>
      </c>
      <c r="CB53" s="349"/>
      <c r="CC53" s="61">
        <f t="shared" ref="CC53" si="1130">IF(CC42=0,0,IF(BS53&gt;1,BS53-1,CK52))</f>
        <v>0</v>
      </c>
      <c r="CD53" s="18">
        <v>21</v>
      </c>
      <c r="CE53" s="19" t="s">
        <v>1254</v>
      </c>
      <c r="CF53" s="18">
        <f t="shared" ref="CF53" si="1131">IF(AND(CC53=BS53,CC47=BS47,CC42&lt;&gt;BS42),CG52+1,IF(AND(CC53=BS53,CC47&lt;&gt;BS47),CG52+1,IF(AND(CC53=BS53-1,CC47=BS47),BW56+(CA56*4)+1,CG52+1)))</f>
        <v>54</v>
      </c>
      <c r="CG53" s="18">
        <f t="shared" si="125"/>
        <v>56</v>
      </c>
      <c r="CH53" s="18">
        <v>3</v>
      </c>
      <c r="CI53" s="301" t="str">
        <f t="shared" si="126"/>
        <v/>
      </c>
      <c r="CJ53" s="301"/>
      <c r="CK53" s="302" t="str">
        <f t="shared" si="1031"/>
        <v/>
      </c>
      <c r="CL53" s="349"/>
      <c r="CM53" s="61">
        <f t="shared" ref="CM53" si="1132">IF(CM42=0,0,IF(CC53&gt;1,CC53-1,CU52))</f>
        <v>0</v>
      </c>
      <c r="CN53" s="18">
        <v>21</v>
      </c>
      <c r="CO53" s="19" t="s">
        <v>1254</v>
      </c>
      <c r="CP53" s="18">
        <f t="shared" ref="CP53" si="1133">IF(AND(CM53=CC53,CM47=CC47,CM42&lt;&gt;CC42),CQ52+1,IF(AND(CM53=CC53,CM47&lt;&gt;CC47),CQ52+1,IF(AND(CM53=CC53-1,CM47=CC47),CG56+(CK56*4)+1,CQ52+1)))</f>
        <v>54</v>
      </c>
      <c r="CQ53" s="18">
        <f t="shared" si="129"/>
        <v>56</v>
      </c>
      <c r="CR53" s="18">
        <v>3</v>
      </c>
      <c r="CS53" s="301" t="str">
        <f t="shared" si="130"/>
        <v/>
      </c>
      <c r="CT53" s="301"/>
      <c r="CU53" s="302" t="str">
        <f t="shared" si="1032"/>
        <v/>
      </c>
      <c r="CV53" s="349"/>
      <c r="CW53" s="61">
        <f t="shared" ref="CW53" si="1134">IF(CW42=0,0,IF(CM53&gt;1,CM53-1,DE52))</f>
        <v>0</v>
      </c>
      <c r="CX53" s="18">
        <v>21</v>
      </c>
      <c r="CY53" s="19" t="s">
        <v>1254</v>
      </c>
      <c r="CZ53" s="18">
        <f t="shared" ref="CZ53" si="1135">IF(AND(CW53=CM53,CW47=CM47,CW42&lt;&gt;CM42),DA52+1,IF(AND(CW53=CM53,CW47&lt;&gt;CM47),DA52+1,IF(AND(CW53=CM53-1,CW47=CM47),CQ56+(CU56*4)+1,DA52+1)))</f>
        <v>54</v>
      </c>
      <c r="DA53" s="18">
        <f t="shared" si="133"/>
        <v>56</v>
      </c>
      <c r="DB53" s="18">
        <v>3</v>
      </c>
      <c r="DC53" s="301" t="str">
        <f t="shared" si="134"/>
        <v/>
      </c>
      <c r="DD53" s="301"/>
      <c r="DE53" s="302" t="str">
        <f t="shared" si="1033"/>
        <v/>
      </c>
      <c r="DF53" s="349"/>
      <c r="DG53" s="61">
        <f t="shared" ref="DG53" si="1136">IF(DG42=0,0,IF(CW53&gt;1,CW53-1,DO52))</f>
        <v>0</v>
      </c>
      <c r="DH53" s="18">
        <v>21</v>
      </c>
      <c r="DI53" s="19" t="s">
        <v>1254</v>
      </c>
      <c r="DJ53" s="18">
        <f t="shared" ref="DJ53" si="1137">IF(AND(DG53=CW53,DG47=CW47,DG42&lt;&gt;CW42),DK52+1,IF(AND(DG53=CW53,DG47&lt;&gt;CW47),DK52+1,IF(AND(DG53=CW53-1,DG47=CW47),DA56+(DE56*4)+1,DK52+1)))</f>
        <v>54</v>
      </c>
      <c r="DK53" s="18">
        <f t="shared" si="137"/>
        <v>56</v>
      </c>
      <c r="DL53" s="18">
        <v>3</v>
      </c>
      <c r="DM53" s="301" t="str">
        <f t="shared" si="138"/>
        <v/>
      </c>
      <c r="DN53" s="301"/>
      <c r="DO53" s="302" t="str">
        <f t="shared" si="1034"/>
        <v/>
      </c>
      <c r="DP53" s="349"/>
      <c r="DQ53" s="61">
        <f t="shared" ref="DQ53" si="1138">IF(DQ42=0,0,IF(DG53&gt;1,DG53-1,DY52))</f>
        <v>0</v>
      </c>
      <c r="DR53" s="18">
        <v>21</v>
      </c>
      <c r="DS53" s="19" t="s">
        <v>1254</v>
      </c>
      <c r="DT53" s="18">
        <f t="shared" ref="DT53" si="1139">IF(AND(DQ53=DG53,DQ47=DG47,DQ42&lt;&gt;DG42),DU52+1,IF(AND(DQ53=DG53,DQ47&lt;&gt;DG47),DU52+1,IF(AND(DQ53=DG53-1,DQ47=DG47),DK56+(DO56*4)+1,DU52+1)))</f>
        <v>54</v>
      </c>
      <c r="DU53" s="18">
        <f t="shared" si="141"/>
        <v>56</v>
      </c>
      <c r="DV53" s="18">
        <v>3</v>
      </c>
      <c r="DW53" s="301" t="str">
        <f t="shared" si="142"/>
        <v/>
      </c>
      <c r="DX53" s="301"/>
      <c r="DY53" s="302" t="str">
        <f t="shared" si="1035"/>
        <v/>
      </c>
      <c r="DZ53" s="349"/>
      <c r="EA53" s="61">
        <f t="shared" ref="EA53" si="1140">IF(EA42=0,0,IF(DQ53&gt;1,DQ53-1,EI52))</f>
        <v>0</v>
      </c>
      <c r="EB53" s="18">
        <v>21</v>
      </c>
      <c r="EC53" s="19" t="s">
        <v>1254</v>
      </c>
      <c r="ED53" s="18">
        <f t="shared" ref="ED53" si="1141">IF(AND(EA53=DQ53,EA47=DQ47,EA42&lt;&gt;DQ42),EE52+1,IF(AND(EA53=DQ53,EA47&lt;&gt;DQ47),EE52+1,IF(AND(EA53=DQ53-1,EA47=DQ47),DU56+(DY56*4)+1,EE52+1)))</f>
        <v>54</v>
      </c>
      <c r="EE53" s="18">
        <f t="shared" si="145"/>
        <v>56</v>
      </c>
      <c r="EF53" s="18">
        <v>3</v>
      </c>
      <c r="EG53" s="301" t="str">
        <f t="shared" si="146"/>
        <v/>
      </c>
      <c r="EH53" s="301"/>
      <c r="EI53" s="302" t="str">
        <f t="shared" si="1036"/>
        <v/>
      </c>
      <c r="EJ53" s="349"/>
      <c r="EK53" s="61">
        <f t="shared" ref="EK53" si="1142">IF(EK42=0,0,IF(EA53&gt;1,EA53-1,ES52))</f>
        <v>0</v>
      </c>
      <c r="EL53" s="18">
        <v>21</v>
      </c>
      <c r="EM53" s="19" t="s">
        <v>1254</v>
      </c>
      <c r="EN53" s="18">
        <f t="shared" ref="EN53" si="1143">IF(AND(EK53=EA53,EK47=EA47,EK42&lt;&gt;EA42),EO52+1,IF(AND(EK53=EA53,EK47&lt;&gt;EA47),EO52+1,IF(AND(EK53=EA53-1,EK47=EA47),EE56+(EI56*4)+1,EO52+1)))</f>
        <v>54</v>
      </c>
      <c r="EO53" s="18">
        <f t="shared" si="149"/>
        <v>56</v>
      </c>
      <c r="EP53" s="18">
        <v>3</v>
      </c>
      <c r="EQ53" s="301" t="str">
        <f t="shared" si="150"/>
        <v/>
      </c>
      <c r="ER53" s="301"/>
      <c r="ES53" s="302" t="str">
        <f t="shared" si="1037"/>
        <v/>
      </c>
      <c r="ET53" s="349"/>
      <c r="EU53" s="61">
        <f t="shared" ref="EU53" si="1144">IF(EU42=0,0,IF(EK53&gt;1,EK53-1,FC52))</f>
        <v>0</v>
      </c>
      <c r="EV53" s="18">
        <v>21</v>
      </c>
      <c r="EW53" s="19" t="s">
        <v>1254</v>
      </c>
      <c r="EX53" s="18">
        <f t="shared" ref="EX53" si="1145">IF(AND(EU53=EK53,EU47=EK47,EU42&lt;&gt;EK42),EY52+1,IF(AND(EU53=EK53,EU47&lt;&gt;EK47),EY52+1,IF(AND(EU53=EK53-1,EU47=EK47),EO56+(ES56*4)+1,EY52+1)))</f>
        <v>54</v>
      </c>
      <c r="EY53" s="18">
        <f t="shared" si="153"/>
        <v>56</v>
      </c>
      <c r="EZ53" s="18">
        <v>3</v>
      </c>
      <c r="FA53" s="301" t="str">
        <f t="shared" si="154"/>
        <v/>
      </c>
      <c r="FB53" s="301"/>
      <c r="FC53" s="302" t="str">
        <f t="shared" si="1038"/>
        <v/>
      </c>
      <c r="FD53" s="349"/>
      <c r="FE53" s="61">
        <f t="shared" ref="FE53" si="1146">IF(FE42=0,0,IF(EU53&gt;1,EU53-1,FM52))</f>
        <v>0</v>
      </c>
      <c r="FF53" s="18">
        <v>21</v>
      </c>
      <c r="FG53" s="19" t="s">
        <v>1254</v>
      </c>
      <c r="FH53" s="18">
        <f t="shared" ref="FH53" si="1147">IF(AND(FE53=EU53,FE47=EU47,FE42&lt;&gt;EU42),FI52+1,IF(AND(FE53=EU53,FE47&lt;&gt;EU47),FI52+1,IF(AND(FE53=EU53-1,FE47=EU47),EY56+(FC56*4)+1,FI52+1)))</f>
        <v>54</v>
      </c>
      <c r="FI53" s="18">
        <f t="shared" si="157"/>
        <v>56</v>
      </c>
      <c r="FJ53" s="18">
        <v>3</v>
      </c>
      <c r="FK53" s="301" t="str">
        <f t="shared" si="158"/>
        <v/>
      </c>
      <c r="FL53" s="301"/>
      <c r="FM53" s="302" t="str">
        <f t="shared" si="1039"/>
        <v/>
      </c>
      <c r="FN53" s="349"/>
      <c r="FO53" s="61">
        <f t="shared" ref="FO53" si="1148">IF(FO42=0,0,IF(FE53&gt;1,FE53-1,FW52))</f>
        <v>0</v>
      </c>
      <c r="FP53" s="18">
        <v>21</v>
      </c>
      <c r="FQ53" s="19" t="s">
        <v>1254</v>
      </c>
      <c r="FR53" s="18">
        <f t="shared" ref="FR53" si="1149">IF(AND(FO53=FE53,FO47=FE47,FO42&lt;&gt;FE42),FS52+1,IF(AND(FO53=FE53,FO47&lt;&gt;FE47),FS52+1,IF(AND(FO53=FE53-1,FO47=FE47),FI56+(FM56*4)+1,FS52+1)))</f>
        <v>54</v>
      </c>
      <c r="FS53" s="18">
        <f t="shared" si="161"/>
        <v>56</v>
      </c>
      <c r="FT53" s="18">
        <v>3</v>
      </c>
      <c r="FU53" s="301" t="str">
        <f t="shared" si="162"/>
        <v/>
      </c>
      <c r="FV53" s="301"/>
      <c r="FW53" s="302" t="str">
        <f t="shared" si="1040"/>
        <v/>
      </c>
      <c r="FX53" s="349"/>
      <c r="FY53" s="61">
        <f t="shared" ref="FY53" si="1150">IF(FY42=0,0,IF(FO53&gt;1,FO53-1,GG52))</f>
        <v>0</v>
      </c>
      <c r="FZ53" s="18">
        <v>21</v>
      </c>
      <c r="GA53" s="19" t="s">
        <v>1254</v>
      </c>
      <c r="GB53" s="18">
        <f t="shared" ref="GB53" si="1151">IF(AND(FY53=FO53,FY47=FO47,FY42&lt;&gt;FO42),GC52+1,IF(AND(FY53=FO53,FY47&lt;&gt;FO47),GC52+1,IF(AND(FY53=FO53-1,FY47=FO47),FS56+(FW56*4)+1,GC52+1)))</f>
        <v>54</v>
      </c>
      <c r="GC53" s="18">
        <f t="shared" si="165"/>
        <v>56</v>
      </c>
      <c r="GD53" s="18">
        <v>3</v>
      </c>
      <c r="GE53" s="301" t="str">
        <f t="shared" si="166"/>
        <v/>
      </c>
      <c r="GF53" s="301"/>
      <c r="GG53" s="302" t="str">
        <f t="shared" si="1041"/>
        <v/>
      </c>
      <c r="GH53" s="349"/>
      <c r="GI53" s="61">
        <f t="shared" ref="GI53" si="1152">IF(GI42=0,0,IF(FY53&gt;1,FY53-1,GQ52))</f>
        <v>0</v>
      </c>
      <c r="GJ53" s="18">
        <v>21</v>
      </c>
      <c r="GK53" s="19" t="s">
        <v>1254</v>
      </c>
      <c r="GL53" s="18">
        <f t="shared" ref="GL53" si="1153">IF(AND(GI53=FY53,GI47=FY47,GI42&lt;&gt;FY42),GM52+1,IF(AND(GI53=FY53,GI47&lt;&gt;FY47),GM52+1,IF(AND(GI53=FY53-1,GI47=FY47),GC56+(GG56*4)+1,GM52+1)))</f>
        <v>54</v>
      </c>
      <c r="GM53" s="18">
        <f t="shared" si="169"/>
        <v>56</v>
      </c>
      <c r="GN53" s="18">
        <v>3</v>
      </c>
      <c r="GO53" s="301" t="str">
        <f t="shared" si="170"/>
        <v/>
      </c>
      <c r="GP53" s="301"/>
      <c r="GQ53" s="302" t="str">
        <f t="shared" si="1042"/>
        <v/>
      </c>
      <c r="GR53" s="349"/>
      <c r="GS53" s="61">
        <f t="shared" ref="GS53" si="1154">IF(GS42=0,0,IF(GI53&gt;1,GI53-1,HA52))</f>
        <v>0</v>
      </c>
      <c r="GT53" s="18">
        <v>21</v>
      </c>
      <c r="GU53" s="19" t="s">
        <v>1254</v>
      </c>
      <c r="GV53" s="18">
        <f t="shared" ref="GV53" si="1155">IF(AND(GS53=GI53,GS47=GI47,GS42&lt;&gt;GI42),GW52+1,IF(AND(GS53=GI53,GS47&lt;&gt;GI47),GW52+1,IF(AND(GS53=GI53-1,GS47=GI47),GM56+(GQ56*4)+1,GW52+1)))</f>
        <v>54</v>
      </c>
      <c r="GW53" s="18">
        <f t="shared" si="173"/>
        <v>56</v>
      </c>
      <c r="GX53" s="18">
        <v>3</v>
      </c>
      <c r="GY53" s="301" t="str">
        <f t="shared" si="174"/>
        <v/>
      </c>
      <c r="GZ53" s="301"/>
      <c r="HA53" s="302" t="str">
        <f t="shared" si="1043"/>
        <v/>
      </c>
      <c r="HB53" s="349"/>
      <c r="HC53" s="61">
        <f t="shared" ref="HC53" si="1156">IF(HC42=0,0,IF(GS53&gt;1,GS53-1,HK52))</f>
        <v>0</v>
      </c>
      <c r="HD53" s="18">
        <v>21</v>
      </c>
      <c r="HE53" s="19" t="s">
        <v>1254</v>
      </c>
      <c r="HF53" s="18">
        <f t="shared" ref="HF53" si="1157">IF(AND(HC53=GS53,HC47=GS47,HC42&lt;&gt;GS42),HG52+1,IF(AND(HC53=GS53,HC47&lt;&gt;GS47),HG52+1,IF(AND(HC53=GS53-1,HC47=GS47),GW56+(HA56*4)+1,HG52+1)))</f>
        <v>54</v>
      </c>
      <c r="HG53" s="18">
        <f t="shared" si="177"/>
        <v>56</v>
      </c>
      <c r="HH53" s="18">
        <v>3</v>
      </c>
      <c r="HI53" s="301" t="str">
        <f t="shared" si="178"/>
        <v/>
      </c>
      <c r="HJ53" s="301"/>
      <c r="HK53" s="302" t="str">
        <f t="shared" si="1044"/>
        <v/>
      </c>
      <c r="HL53" s="349"/>
      <c r="HM53" s="61">
        <f t="shared" ref="HM53" si="1158">IF(HM42=0,0,IF(HC53&gt;1,HC53-1,HU52))</f>
        <v>0</v>
      </c>
      <c r="HN53" s="18">
        <v>21</v>
      </c>
      <c r="HO53" s="19" t="s">
        <v>1254</v>
      </c>
      <c r="HP53" s="18">
        <f t="shared" ref="HP53" si="1159">IF(AND(HM53=HC53,HM47=HC47,HM42&lt;&gt;HC42),HQ52+1,IF(AND(HM53=HC53,HM47&lt;&gt;HC47),HQ52+1,IF(AND(HM53=HC53-1,HM47=HC47),HG56+(HK56*4)+1,HQ52+1)))</f>
        <v>54</v>
      </c>
      <c r="HQ53" s="18">
        <f t="shared" si="181"/>
        <v>56</v>
      </c>
      <c r="HR53" s="18">
        <v>3</v>
      </c>
      <c r="HS53" s="301" t="str">
        <f t="shared" si="182"/>
        <v/>
      </c>
      <c r="HT53" s="301"/>
      <c r="HU53" s="302" t="str">
        <f t="shared" si="1045"/>
        <v/>
      </c>
      <c r="HV53" s="349"/>
      <c r="HW53" s="61">
        <f t="shared" ref="HW53" si="1160">IF(HW42=0,0,IF(HM53&gt;1,HM53-1,IE52))</f>
        <v>0</v>
      </c>
      <c r="HX53" s="18">
        <v>21</v>
      </c>
      <c r="HY53" s="19" t="s">
        <v>1254</v>
      </c>
      <c r="HZ53" s="18">
        <f t="shared" ref="HZ53" si="1161">IF(AND(HW53=HM53,HW47=HM47,HW42&lt;&gt;HM42),IA52+1,IF(AND(HW53=HM53,HW47&lt;&gt;HM47),IA52+1,IF(AND(HW53=HM53-1,HW47=HM47),HQ56+(HU56*4)+1,IA52+1)))</f>
        <v>54</v>
      </c>
      <c r="IA53" s="18">
        <f t="shared" si="185"/>
        <v>56</v>
      </c>
      <c r="IB53" s="18">
        <v>3</v>
      </c>
      <c r="IC53" s="301" t="str">
        <f t="shared" si="186"/>
        <v/>
      </c>
      <c r="ID53" s="301"/>
      <c r="IE53" s="302" t="str">
        <f t="shared" si="1046"/>
        <v/>
      </c>
      <c r="IF53" s="349"/>
      <c r="IG53" s="61">
        <f t="shared" ref="IG53" si="1162">IF(IG42=0,0,IF(HW53&gt;1,HW53-1,IO52))</f>
        <v>0</v>
      </c>
      <c r="IH53" s="18">
        <v>21</v>
      </c>
      <c r="II53" s="19" t="s">
        <v>1254</v>
      </c>
      <c r="IJ53" s="18">
        <f t="shared" ref="IJ53" si="1163">IF(AND(IG53=HW53,IG47=HW47,IG42&lt;&gt;HW42),IK52+1,IF(AND(IG53=HW53,IG47&lt;&gt;HW47),IK52+1,IF(AND(IG53=HW53-1,IG47=HW47),IA56+(IE56*4)+1,IK52+1)))</f>
        <v>54</v>
      </c>
      <c r="IK53" s="18">
        <f t="shared" si="189"/>
        <v>56</v>
      </c>
      <c r="IL53" s="18">
        <v>3</v>
      </c>
      <c r="IM53" s="301" t="str">
        <f t="shared" si="190"/>
        <v/>
      </c>
      <c r="IN53" s="301"/>
      <c r="IO53" s="302" t="str">
        <f t="shared" si="1047"/>
        <v/>
      </c>
      <c r="IP53" s="349"/>
      <c r="IQ53" s="61">
        <f t="shared" ref="IQ53" si="1164">IF(IQ42=0,0,IF(IG53&gt;1,IG53-1,IY52))</f>
        <v>0</v>
      </c>
      <c r="IR53" s="18">
        <v>21</v>
      </c>
      <c r="IS53" s="19" t="s">
        <v>1254</v>
      </c>
      <c r="IT53" s="18">
        <f t="shared" ref="IT53" si="1165">IF(AND(IQ53=IG53,IQ47=IG47,IQ42&lt;&gt;IG42),IU52+1,IF(AND(IQ53=IG53,IQ47&lt;&gt;IG47),IU52+1,IF(AND(IQ53=IG53-1,IQ47=IG47),IK56+(IO56*4)+1,IU52+1)))</f>
        <v>54</v>
      </c>
      <c r="IU53" s="18">
        <f t="shared" si="193"/>
        <v>56</v>
      </c>
      <c r="IV53" s="18">
        <v>3</v>
      </c>
      <c r="IW53" s="301" t="str">
        <f t="shared" si="194"/>
        <v/>
      </c>
      <c r="IX53" s="301"/>
      <c r="IY53" s="302" t="str">
        <f t="shared" si="1048"/>
        <v/>
      </c>
      <c r="IZ53" s="349"/>
      <c r="JA53" s="61">
        <f t="shared" ref="JA53" si="1166">IF(JA42=0,0,IF(IQ53&gt;1,IQ53-1,JI52))</f>
        <v>0</v>
      </c>
      <c r="JB53" s="18">
        <v>21</v>
      </c>
      <c r="JC53" s="19" t="s">
        <v>1254</v>
      </c>
      <c r="JD53" s="18">
        <f t="shared" ref="JD53" si="1167">IF(AND(JA53=IQ53,JA47=IQ47,JA42&lt;&gt;IQ42),JE52+1,IF(AND(JA53=IQ53,JA47&lt;&gt;IQ47),JE52+1,IF(AND(JA53=IQ53-1,JA47=IQ47),IU56+(IY56*4)+1,JE52+1)))</f>
        <v>54</v>
      </c>
      <c r="JE53" s="18">
        <f t="shared" si="197"/>
        <v>56</v>
      </c>
      <c r="JF53" s="18">
        <v>3</v>
      </c>
      <c r="JG53" s="301" t="str">
        <f t="shared" si="198"/>
        <v/>
      </c>
      <c r="JH53" s="301"/>
      <c r="JI53" s="302" t="str">
        <f t="shared" si="1049"/>
        <v/>
      </c>
      <c r="JJ53" s="349"/>
      <c r="JK53" s="61">
        <f t="shared" ref="JK53" si="1168">IF(JK42=0,0,IF(JA53&gt;1,JA53-1,JS52))</f>
        <v>0</v>
      </c>
      <c r="JL53" s="18">
        <v>21</v>
      </c>
      <c r="JM53" s="19" t="s">
        <v>1254</v>
      </c>
      <c r="JN53" s="18">
        <f t="shared" ref="JN53" si="1169">IF(AND(JK53=JA53,JK47=JA47,JK42&lt;&gt;JA42),JO52+1,IF(AND(JK53=JA53,JK47&lt;&gt;JA47),JO52+1,IF(AND(JK53=JA53-1,JK47=JA47),JE56+(JI56*4)+1,JO52+1)))</f>
        <v>54</v>
      </c>
      <c r="JO53" s="18">
        <f t="shared" si="201"/>
        <v>56</v>
      </c>
      <c r="JP53" s="18">
        <v>3</v>
      </c>
      <c r="JQ53" s="301" t="str">
        <f t="shared" si="202"/>
        <v/>
      </c>
      <c r="JR53" s="301"/>
      <c r="JS53" s="302" t="str">
        <f t="shared" si="1050"/>
        <v/>
      </c>
      <c r="JT53" s="349"/>
      <c r="JU53" s="61">
        <f t="shared" ref="JU53" si="1170">IF(JU42=0,0,IF(JK53&gt;1,JK53-1,KC52))</f>
        <v>0</v>
      </c>
      <c r="JV53" s="18">
        <v>21</v>
      </c>
      <c r="JW53" s="19" t="s">
        <v>1254</v>
      </c>
      <c r="JX53" s="18">
        <f t="shared" ref="JX53" si="1171">IF(AND(JU53=JK53,JU47=JK47,JU42&lt;&gt;JK42),JY52+1,IF(AND(JU53=JK53,JU47&lt;&gt;JK47),JY52+1,IF(AND(JU53=JK53-1,JU47=JK47),JO56+(JS56*4)+1,JY52+1)))</f>
        <v>54</v>
      </c>
      <c r="JY53" s="18">
        <f t="shared" si="205"/>
        <v>56</v>
      </c>
      <c r="JZ53" s="18">
        <v>3</v>
      </c>
      <c r="KA53" s="301" t="str">
        <f t="shared" si="206"/>
        <v/>
      </c>
      <c r="KB53" s="301"/>
      <c r="KC53" s="302" t="str">
        <f t="shared" si="1051"/>
        <v/>
      </c>
      <c r="KD53" s="349"/>
      <c r="KE53" s="61">
        <f t="shared" ref="KE53" si="1172">IF(KE42=0,0,IF(JU53&gt;1,JU53-1,KM52))</f>
        <v>0</v>
      </c>
      <c r="KF53" s="18">
        <v>21</v>
      </c>
      <c r="KG53" s="19" t="s">
        <v>1254</v>
      </c>
      <c r="KH53" s="18">
        <f t="shared" ref="KH53" si="1173">IF(AND(KE53=JU53,KE47=JU47,KE42&lt;&gt;JU42),KI52+1,IF(AND(KE53=JU53,KE47&lt;&gt;JU47),KI52+1,IF(AND(KE53=JU53-1,KE47=JU47),JY56+(KC56*4)+1,KI52+1)))</f>
        <v>54</v>
      </c>
      <c r="KI53" s="18">
        <f t="shared" si="209"/>
        <v>56</v>
      </c>
      <c r="KJ53" s="18">
        <v>3</v>
      </c>
      <c r="KK53" s="301" t="str">
        <f t="shared" si="210"/>
        <v/>
      </c>
      <c r="KL53" s="301"/>
      <c r="KM53" s="302" t="str">
        <f t="shared" si="1052"/>
        <v/>
      </c>
      <c r="KN53" s="349"/>
      <c r="KO53" s="61">
        <f t="shared" ref="KO53" si="1174">IF(KO42=0,0,IF(KE53&gt;1,KE53-1,KW52))</f>
        <v>0</v>
      </c>
      <c r="KP53" s="18">
        <v>21</v>
      </c>
      <c r="KQ53" s="19" t="s">
        <v>1254</v>
      </c>
      <c r="KR53" s="18">
        <f t="shared" ref="KR53" si="1175">IF(AND(KO53=KE53,KO47=KE47,KO42&lt;&gt;KE42),KS52+1,IF(AND(KO53=KE53,KO47&lt;&gt;KE47),KS52+1,IF(AND(KO53=KE53-1,KO47=KE47),KI56+(KM56*4)+1,KS52+1)))</f>
        <v>54</v>
      </c>
      <c r="KS53" s="18">
        <f t="shared" si="213"/>
        <v>56</v>
      </c>
      <c r="KT53" s="18">
        <v>3</v>
      </c>
      <c r="KU53" s="301" t="str">
        <f t="shared" si="214"/>
        <v/>
      </c>
      <c r="KV53" s="301"/>
      <c r="KW53" s="302" t="str">
        <f t="shared" si="1053"/>
        <v/>
      </c>
      <c r="KX53" s="349"/>
      <c r="KY53" s="61">
        <f t="shared" ref="KY53" si="1176">IF(KY42=0,0,IF(KO53&gt;1,KO53-1,LG52))</f>
        <v>0</v>
      </c>
      <c r="KZ53" s="18">
        <v>21</v>
      </c>
      <c r="LA53" s="19" t="s">
        <v>1254</v>
      </c>
      <c r="LB53" s="18">
        <f t="shared" ref="LB53" si="1177">IF(AND(KY53=KO53,KY47=KO47,KY42&lt;&gt;KO42),LC52+1,IF(AND(KY53=KO53,KY47&lt;&gt;KO47),LC52+1,IF(AND(KY53=KO53-1,KY47=KO47),KS56+(KW56*4)+1,LC52+1)))</f>
        <v>54</v>
      </c>
      <c r="LC53" s="18">
        <f t="shared" si="217"/>
        <v>56</v>
      </c>
      <c r="LD53" s="18">
        <v>3</v>
      </c>
      <c r="LE53" s="301" t="str">
        <f t="shared" si="218"/>
        <v/>
      </c>
      <c r="LF53" s="301"/>
      <c r="LG53" s="302" t="str">
        <f t="shared" si="1054"/>
        <v/>
      </c>
      <c r="LH53" s="349"/>
      <c r="LI53" s="61">
        <f t="shared" ref="LI53" si="1178">IF(LI42=0,0,IF(KY53&gt;1,KY53-1,LQ52))</f>
        <v>0</v>
      </c>
      <c r="LJ53" s="18">
        <v>21</v>
      </c>
      <c r="LK53" s="19" t="s">
        <v>1254</v>
      </c>
      <c r="LL53" s="18">
        <f t="shared" ref="LL53" si="1179">IF(AND(LI53=KY53,LI47=KY47,LI42&lt;&gt;KY42),LM52+1,IF(AND(LI53=KY53,LI47&lt;&gt;KY47),LM52+1,IF(AND(LI53=KY53-1,LI47=KY47),LC56+(LG56*4)+1,LM52+1)))</f>
        <v>54</v>
      </c>
      <c r="LM53" s="18">
        <f t="shared" si="221"/>
        <v>56</v>
      </c>
      <c r="LN53" s="18">
        <v>3</v>
      </c>
      <c r="LO53" s="301" t="str">
        <f t="shared" si="222"/>
        <v/>
      </c>
      <c r="LP53" s="301"/>
      <c r="LQ53" s="302" t="str">
        <f t="shared" si="1055"/>
        <v/>
      </c>
      <c r="LR53" s="349"/>
      <c r="LS53" s="61">
        <f t="shared" ref="LS53" si="1180">IF(LS42=0,0,IF(LI53&gt;1,LI53-1,MA52))</f>
        <v>0</v>
      </c>
      <c r="LT53" s="18">
        <v>21</v>
      </c>
      <c r="LU53" s="19" t="s">
        <v>1254</v>
      </c>
      <c r="LV53" s="18">
        <f t="shared" ref="LV53" si="1181">IF(AND(LS53=LI53,LS47=LI47,LS42&lt;&gt;LI42),LW52+1,IF(AND(LS53=LI53,LS47&lt;&gt;LI47),LW52+1,IF(AND(LS53=LI53-1,LS47=LI47),LM56+(LQ56*4)+1,LW52+1)))</f>
        <v>54</v>
      </c>
      <c r="LW53" s="18">
        <f t="shared" si="225"/>
        <v>56</v>
      </c>
      <c r="LX53" s="18">
        <v>3</v>
      </c>
      <c r="LY53" s="301" t="str">
        <f t="shared" si="226"/>
        <v/>
      </c>
      <c r="LZ53" s="301"/>
      <c r="MA53" s="302" t="str">
        <f t="shared" si="1056"/>
        <v/>
      </c>
      <c r="MB53" s="349"/>
      <c r="MC53" s="61">
        <f t="shared" ref="MC53" si="1182">IF(MC42=0,0,IF(LS53&gt;1,LS53-1,MK52))</f>
        <v>0</v>
      </c>
      <c r="MD53" s="18">
        <v>21</v>
      </c>
      <c r="ME53" s="19" t="s">
        <v>1254</v>
      </c>
      <c r="MF53" s="18">
        <f t="shared" ref="MF53" si="1183">IF(AND(MC53=LS53,MC47=LS47,MC42&lt;&gt;LS42),MG52+1,IF(AND(MC53=LS53,MC47&lt;&gt;LS47),MG52+1,IF(AND(MC53=LS53-1,MC47=LS47),LW56+(MA56*4)+1,MG52+1)))</f>
        <v>54</v>
      </c>
      <c r="MG53" s="18">
        <f t="shared" si="229"/>
        <v>56</v>
      </c>
      <c r="MH53" s="18">
        <v>3</v>
      </c>
      <c r="MI53" s="301" t="str">
        <f t="shared" si="230"/>
        <v/>
      </c>
      <c r="MJ53" s="301"/>
      <c r="MK53" s="302" t="str">
        <f t="shared" si="1057"/>
        <v/>
      </c>
      <c r="ML53" s="349"/>
      <c r="MM53" s="61">
        <f t="shared" ref="MM53" si="1184">IF(MM42=0,0,IF(MC53&gt;1,MC53-1,MU52))</f>
        <v>0</v>
      </c>
      <c r="MN53" s="18">
        <v>21</v>
      </c>
      <c r="MO53" s="19" t="s">
        <v>1254</v>
      </c>
      <c r="MP53" s="18">
        <f t="shared" ref="MP53" si="1185">IF(AND(MM53=MC53,MM47=MC47,MM42&lt;&gt;MC42),MQ52+1,IF(AND(MM53=MC53,MM47&lt;&gt;MC47),MQ52+1,IF(AND(MM53=MC53-1,MM47=MC47),MG56+(MK56*4)+1,MQ52+1)))</f>
        <v>54</v>
      </c>
      <c r="MQ53" s="18">
        <f t="shared" si="233"/>
        <v>56</v>
      </c>
      <c r="MR53" s="18">
        <v>3</v>
      </c>
      <c r="MS53" s="301" t="str">
        <f t="shared" si="234"/>
        <v/>
      </c>
      <c r="MT53" s="301"/>
      <c r="MU53" s="302" t="str">
        <f t="shared" si="1058"/>
        <v/>
      </c>
      <c r="MV53" s="349"/>
      <c r="MW53" s="61">
        <f t="shared" ref="MW53" si="1186">IF(MW42=0,0,IF(MM53&gt;1,MM53-1,NE52))</f>
        <v>0</v>
      </c>
      <c r="MX53" s="18">
        <v>21</v>
      </c>
      <c r="MY53" s="19" t="s">
        <v>1254</v>
      </c>
      <c r="MZ53" s="18">
        <f t="shared" ref="MZ53" si="1187">IF(AND(MW53=MM53,MW47=MM47,MW42&lt;&gt;MM42),NA52+1,IF(AND(MW53=MM53,MW47&lt;&gt;MM47),NA52+1,IF(AND(MW53=MM53-1,MW47=MM47),MQ56+(MU56*4)+1,NA52+1)))</f>
        <v>54</v>
      </c>
      <c r="NA53" s="18">
        <f t="shared" si="237"/>
        <v>56</v>
      </c>
      <c r="NB53" s="18">
        <v>3</v>
      </c>
      <c r="NC53" s="301" t="str">
        <f t="shared" si="238"/>
        <v/>
      </c>
      <c r="ND53" s="301"/>
      <c r="NE53" s="302" t="str">
        <f t="shared" si="1059"/>
        <v/>
      </c>
      <c r="NF53" s="349"/>
      <c r="NG53" s="61">
        <f t="shared" ref="NG53" si="1188">IF(NG42=0,0,IF(MW53&gt;1,MW53-1,NO52))</f>
        <v>0</v>
      </c>
      <c r="NH53" s="18">
        <v>21</v>
      </c>
      <c r="NI53" s="19" t="s">
        <v>1254</v>
      </c>
      <c r="NJ53" s="18">
        <f t="shared" ref="NJ53" si="1189">IF(AND(NG53=MW53,NG47=MW47,NG42&lt;&gt;MW42),NK52+1,IF(AND(NG53=MW53,NG47&lt;&gt;MW47),NK52+1,IF(AND(NG53=MW53-1,NG47=MW47),NA56+(NE56*4)+1,NK52+1)))</f>
        <v>54</v>
      </c>
      <c r="NK53" s="18">
        <f t="shared" si="241"/>
        <v>56</v>
      </c>
      <c r="NL53" s="18">
        <v>3</v>
      </c>
      <c r="NM53" s="301" t="str">
        <f t="shared" si="242"/>
        <v/>
      </c>
      <c r="NN53" s="301"/>
      <c r="NO53" s="302" t="str">
        <f t="shared" si="1060"/>
        <v/>
      </c>
      <c r="NP53" s="349"/>
      <c r="NQ53" s="61">
        <f t="shared" ref="NQ53" si="1190">IF(NQ42=0,0,IF(NG53&gt;1,NG53-1,NY52))</f>
        <v>0</v>
      </c>
      <c r="NR53" s="18">
        <v>21</v>
      </c>
      <c r="NS53" s="19" t="s">
        <v>1254</v>
      </c>
      <c r="NT53" s="18">
        <f t="shared" ref="NT53" si="1191">IF(AND(NQ53=NG53,NQ47=NG47,NQ42&lt;&gt;NG42),NU52+1,IF(AND(NQ53=NG53,NQ47&lt;&gt;NG47),NU52+1,IF(AND(NQ53=NG53-1,NQ47=NG47),NK56+(NO56*4)+1,NU52+1)))</f>
        <v>54</v>
      </c>
      <c r="NU53" s="18">
        <f t="shared" si="245"/>
        <v>56</v>
      </c>
      <c r="NV53" s="18">
        <v>3</v>
      </c>
      <c r="NW53" s="301" t="str">
        <f t="shared" si="246"/>
        <v/>
      </c>
      <c r="NX53" s="301"/>
      <c r="NY53" s="302" t="str">
        <f t="shared" si="1061"/>
        <v/>
      </c>
      <c r="NZ53" s="349"/>
      <c r="OA53" s="61">
        <f t="shared" ref="OA53" si="1192">IF(OA42=0,0,IF(NQ53&gt;1,NQ53-1,OI52))</f>
        <v>0</v>
      </c>
      <c r="OB53" s="18">
        <v>21</v>
      </c>
      <c r="OC53" s="19" t="s">
        <v>1254</v>
      </c>
      <c r="OD53" s="18">
        <f t="shared" ref="OD53" si="1193">IF(AND(OA53=NQ53,OA47=NQ47,OA42&lt;&gt;NQ42),OE52+1,IF(AND(OA53=NQ53,OA47&lt;&gt;NQ47),OE52+1,IF(AND(OA53=NQ53-1,OA47=NQ47),NU56+(NY56*4)+1,OE52+1)))</f>
        <v>54</v>
      </c>
      <c r="OE53" s="18">
        <f t="shared" si="249"/>
        <v>56</v>
      </c>
      <c r="OF53" s="18">
        <v>3</v>
      </c>
      <c r="OG53" s="301" t="str">
        <f t="shared" si="250"/>
        <v/>
      </c>
      <c r="OH53" s="301"/>
      <c r="OI53" s="302" t="str">
        <f t="shared" si="1062"/>
        <v/>
      </c>
      <c r="OJ53" s="349"/>
      <c r="OK53" s="61">
        <f t="shared" ref="OK53" si="1194">IF(OK42=0,0,IF(OA53&gt;1,OA53-1,OS52))</f>
        <v>0</v>
      </c>
      <c r="OL53" s="18">
        <v>21</v>
      </c>
      <c r="OM53" s="19" t="s">
        <v>1254</v>
      </c>
      <c r="ON53" s="18">
        <f t="shared" ref="ON53" si="1195">IF(AND(OK53=OA53,OK47=OA47,OK42&lt;&gt;OA42),OO52+1,IF(AND(OK53=OA53,OK47&lt;&gt;OA47),OO52+1,IF(AND(OK53=OA53-1,OK47=OA47),OE56+(OI56*4)+1,OO52+1)))</f>
        <v>54</v>
      </c>
      <c r="OO53" s="18">
        <f t="shared" si="253"/>
        <v>56</v>
      </c>
      <c r="OP53" s="18">
        <v>3</v>
      </c>
      <c r="OQ53" s="301" t="str">
        <f t="shared" si="254"/>
        <v/>
      </c>
      <c r="OR53" s="301"/>
      <c r="OS53" s="302" t="str">
        <f t="shared" si="1063"/>
        <v/>
      </c>
      <c r="OT53" s="349"/>
      <c r="OU53" s="61">
        <f t="shared" ref="OU53" si="1196">IF(OU42=0,0,IF(OK53&gt;1,OK53-1,PC52))</f>
        <v>0</v>
      </c>
      <c r="OV53" s="18">
        <v>21</v>
      </c>
      <c r="OW53" s="19" t="s">
        <v>1254</v>
      </c>
      <c r="OX53" s="18">
        <f t="shared" ref="OX53" si="1197">IF(AND(OU53=OK53,OU47=OK47,OU42&lt;&gt;OK42),OY52+1,IF(AND(OU53=OK53,OU47&lt;&gt;OK47),OY52+1,IF(AND(OU53=OK53-1,OU47=OK47),OO56+(OS56*4)+1,OY52+1)))</f>
        <v>54</v>
      </c>
      <c r="OY53" s="18">
        <f t="shared" si="257"/>
        <v>56</v>
      </c>
      <c r="OZ53" s="18">
        <v>3</v>
      </c>
      <c r="PA53" s="301" t="str">
        <f t="shared" si="258"/>
        <v/>
      </c>
      <c r="PB53" s="301"/>
      <c r="PC53" s="302" t="str">
        <f t="shared" si="1064"/>
        <v/>
      </c>
      <c r="PD53" s="349"/>
      <c r="PE53" s="61">
        <f t="shared" ref="PE53" si="1198">IF(PE42=0,0,IF(OU53&gt;1,OU53-1,PM52))</f>
        <v>0</v>
      </c>
      <c r="PF53" s="18">
        <v>21</v>
      </c>
      <c r="PG53" s="19" t="s">
        <v>1254</v>
      </c>
      <c r="PH53" s="18">
        <f t="shared" ref="PH53" si="1199">IF(AND(PE53=OU53,PE47=OU47,PE42&lt;&gt;OU42),PI52+1,IF(AND(PE53=OU53,PE47&lt;&gt;OU47),PI52+1,IF(AND(PE53=OU53-1,PE47=OU47),OY56+(PC56*4)+1,PI52+1)))</f>
        <v>54</v>
      </c>
      <c r="PI53" s="18">
        <f t="shared" si="261"/>
        <v>56</v>
      </c>
      <c r="PJ53" s="18">
        <v>3</v>
      </c>
      <c r="PK53" s="301" t="str">
        <f t="shared" si="262"/>
        <v/>
      </c>
      <c r="PL53" s="301"/>
      <c r="PM53" s="302" t="str">
        <f t="shared" si="1065"/>
        <v/>
      </c>
      <c r="PN53" s="349"/>
      <c r="PO53" s="61">
        <f t="shared" ref="PO53" si="1200">IF(PO42=0,0,IF(PE53&gt;1,PE53-1,PW52))</f>
        <v>0</v>
      </c>
      <c r="PP53" s="18">
        <v>21</v>
      </c>
      <c r="PQ53" s="19" t="s">
        <v>1254</v>
      </c>
      <c r="PR53" s="18">
        <f t="shared" ref="PR53" si="1201">IF(AND(PO53=PE53,PO47=PE47,PO42&lt;&gt;PE42),PS52+1,IF(AND(PO53=PE53,PO47&lt;&gt;PE47),PS52+1,IF(AND(PO53=PE53-1,PO47=PE47),PI56+(PM56*4)+1,PS52+1)))</f>
        <v>54</v>
      </c>
      <c r="PS53" s="18">
        <f t="shared" si="265"/>
        <v>56</v>
      </c>
      <c r="PT53" s="18">
        <v>3</v>
      </c>
      <c r="PU53" s="301" t="str">
        <f t="shared" si="266"/>
        <v/>
      </c>
      <c r="PV53" s="301"/>
      <c r="PW53" s="302" t="str">
        <f t="shared" si="1066"/>
        <v/>
      </c>
      <c r="PX53" s="349"/>
      <c r="PY53" s="61">
        <f t="shared" ref="PY53" si="1202">IF(PY42=0,0,IF(PO53&gt;1,PO53-1,QG52))</f>
        <v>0</v>
      </c>
      <c r="PZ53" s="18">
        <v>21</v>
      </c>
      <c r="QA53" s="19" t="s">
        <v>1254</v>
      </c>
      <c r="QB53" s="18">
        <f t="shared" ref="QB53" si="1203">IF(AND(PY53=PO53,PY47=PO47,PY42&lt;&gt;PO42),QC52+1,IF(AND(PY53=PO53,PY47&lt;&gt;PO47),QC52+1,IF(AND(PY53=PO53-1,PY47=PO47),PS56+(PW56*4)+1,QC52+1)))</f>
        <v>54</v>
      </c>
      <c r="QC53" s="18">
        <f t="shared" si="269"/>
        <v>56</v>
      </c>
      <c r="QD53" s="18">
        <v>3</v>
      </c>
      <c r="QE53" s="301" t="str">
        <f t="shared" si="270"/>
        <v/>
      </c>
      <c r="QF53" s="301"/>
      <c r="QG53" s="302" t="str">
        <f t="shared" si="1067"/>
        <v/>
      </c>
      <c r="QH53" s="349"/>
      <c r="QI53" s="61">
        <f t="shared" ref="QI53" si="1204">IF(QI42=0,0,IF(PY53&gt;1,PY53-1,QQ52))</f>
        <v>0</v>
      </c>
      <c r="QJ53" s="18">
        <v>21</v>
      </c>
      <c r="QK53" s="19" t="s">
        <v>1254</v>
      </c>
      <c r="QL53" s="18">
        <f t="shared" ref="QL53" si="1205">IF(AND(QI53=PY53,QI47=PY47,QI42&lt;&gt;PY42),QM52+1,IF(AND(QI53=PY53,QI47&lt;&gt;PY47),QM52+1,IF(AND(QI53=PY53-1,QI47=PY47),QC56+(QG56*4)+1,QM52+1)))</f>
        <v>54</v>
      </c>
      <c r="QM53" s="18">
        <f t="shared" si="273"/>
        <v>56</v>
      </c>
      <c r="QN53" s="18">
        <v>3</v>
      </c>
      <c r="QO53" s="301" t="str">
        <f t="shared" si="274"/>
        <v/>
      </c>
      <c r="QP53" s="301"/>
      <c r="QQ53" s="302" t="str">
        <f t="shared" si="1068"/>
        <v/>
      </c>
      <c r="QR53" s="349"/>
      <c r="QS53" s="61">
        <f t="shared" ref="QS53" si="1206">IF(QS42=0,0,IF(QI53&gt;1,QI53-1,RA52))</f>
        <v>0</v>
      </c>
      <c r="QT53" s="18">
        <v>21</v>
      </c>
      <c r="QU53" s="19" t="s">
        <v>1254</v>
      </c>
      <c r="QV53" s="18">
        <f t="shared" ref="QV53" si="1207">IF(AND(QS53=QI53,QS47=QI47,QS42&lt;&gt;QI42),QW52+1,IF(AND(QS53=QI53,QS47&lt;&gt;QI47),QW52+1,IF(AND(QS53=QI53-1,QS47=QI47),QM56+(QQ56*4)+1,QW52+1)))</f>
        <v>54</v>
      </c>
      <c r="QW53" s="18">
        <f t="shared" si="277"/>
        <v>56</v>
      </c>
      <c r="QX53" s="18">
        <v>3</v>
      </c>
      <c r="QY53" s="301" t="str">
        <f t="shared" si="278"/>
        <v/>
      </c>
      <c r="QZ53" s="301"/>
      <c r="RA53" s="302" t="str">
        <f t="shared" si="1069"/>
        <v/>
      </c>
      <c r="RB53" s="349"/>
      <c r="RC53" s="61">
        <f t="shared" ref="RC53" si="1208">IF(RC42=0,0,IF(QS53&gt;1,QS53-1,RK52))</f>
        <v>0</v>
      </c>
      <c r="RD53" s="18">
        <v>21</v>
      </c>
      <c r="RE53" s="19" t="s">
        <v>1254</v>
      </c>
      <c r="RF53" s="18">
        <f t="shared" ref="RF53" si="1209">IF(AND(RC53=QS53,RC47=QS47,RC42&lt;&gt;QS42),RG52+1,IF(AND(RC53=QS53,RC47&lt;&gt;QS47),RG52+1,IF(AND(RC53=QS53-1,RC47=QS47),QW56+(RA56*4)+1,RG52+1)))</f>
        <v>54</v>
      </c>
      <c r="RG53" s="18">
        <f t="shared" si="281"/>
        <v>56</v>
      </c>
      <c r="RH53" s="18">
        <v>3</v>
      </c>
      <c r="RI53" s="301" t="str">
        <f t="shared" si="282"/>
        <v/>
      </c>
      <c r="RJ53" s="301"/>
      <c r="RK53" s="302" t="str">
        <f t="shared" si="1070"/>
        <v/>
      </c>
      <c r="RL53" s="349"/>
      <c r="RM53" s="61">
        <f t="shared" ref="RM53" si="1210">IF(RM42=0,0,IF(RC53&gt;1,RC53-1,RU52))</f>
        <v>0</v>
      </c>
      <c r="RN53" s="18">
        <v>21</v>
      </c>
      <c r="RO53" s="19" t="s">
        <v>1254</v>
      </c>
      <c r="RP53" s="18">
        <f t="shared" ref="RP53" si="1211">IF(AND(RM53=RC53,RM47=RC47,RM42&lt;&gt;RC42),RQ52+1,IF(AND(RM53=RC53,RM47&lt;&gt;RC47),RQ52+1,IF(AND(RM53=RC53-1,RM47=RC47),RG56+(RK56*4)+1,RQ52+1)))</f>
        <v>54</v>
      </c>
      <c r="RQ53" s="18">
        <f t="shared" si="285"/>
        <v>56</v>
      </c>
      <c r="RR53" s="18">
        <v>3</v>
      </c>
      <c r="RS53" s="301" t="str">
        <f t="shared" si="286"/>
        <v/>
      </c>
      <c r="RT53" s="301"/>
      <c r="RU53" s="302" t="str">
        <f t="shared" si="1071"/>
        <v/>
      </c>
      <c r="RV53" s="349"/>
      <c r="RW53" s="61">
        <f t="shared" ref="RW53" si="1212">IF(RW42=0,0,IF(RM53&gt;1,RM53-1,SE52))</f>
        <v>0</v>
      </c>
      <c r="RX53" s="18">
        <v>21</v>
      </c>
      <c r="RY53" s="19" t="s">
        <v>1254</v>
      </c>
      <c r="RZ53" s="18">
        <f t="shared" ref="RZ53" si="1213">IF(AND(RW53=RM53,RW47=RM47,RW42&lt;&gt;RM42),SA52+1,IF(AND(RW53=RM53,RW47&lt;&gt;RM47),SA52+1,IF(AND(RW53=RM53-1,RW47=RM47),RQ56+(RU56*4)+1,SA52+1)))</f>
        <v>54</v>
      </c>
      <c r="SA53" s="18">
        <f t="shared" si="289"/>
        <v>56</v>
      </c>
      <c r="SB53" s="18">
        <v>3</v>
      </c>
      <c r="SC53" s="301" t="str">
        <f t="shared" si="290"/>
        <v/>
      </c>
      <c r="SD53" s="301"/>
      <c r="SE53" s="302" t="str">
        <f t="shared" si="1072"/>
        <v/>
      </c>
      <c r="SF53" s="349"/>
      <c r="SG53" s="61">
        <f t="shared" ref="SG53" si="1214">IF(SG42=0,0,IF(RW53&gt;1,RW53-1,SO52))</f>
        <v>0</v>
      </c>
      <c r="SH53" s="18">
        <v>21</v>
      </c>
      <c r="SI53" s="19" t="s">
        <v>1254</v>
      </c>
      <c r="SJ53" s="18">
        <f t="shared" ref="SJ53" si="1215">IF(AND(SG53=RW53,SG47=RW47,SG42&lt;&gt;RW42),SK52+1,IF(AND(SG53=RW53,SG47&lt;&gt;RW47),SK52+1,IF(AND(SG53=RW53-1,SG47=RW47),SA56+(SE56*4)+1,SK52+1)))</f>
        <v>54</v>
      </c>
      <c r="SK53" s="18">
        <f t="shared" si="293"/>
        <v>56</v>
      </c>
      <c r="SL53" s="18">
        <v>3</v>
      </c>
      <c r="SM53" s="301" t="str">
        <f t="shared" si="294"/>
        <v/>
      </c>
      <c r="SN53" s="301"/>
      <c r="SO53" s="302" t="str">
        <f t="shared" si="1073"/>
        <v/>
      </c>
      <c r="SP53" s="349"/>
      <c r="SQ53" s="61">
        <f t="shared" ref="SQ53" si="1216">IF(SQ42=0,0,IF(SG53&gt;1,SG53-1,SY52))</f>
        <v>0</v>
      </c>
      <c r="SR53" s="18">
        <v>21</v>
      </c>
      <c r="SS53" s="19" t="s">
        <v>1254</v>
      </c>
      <c r="ST53" s="18">
        <f t="shared" ref="ST53" si="1217">IF(AND(SQ53=SG53,SQ47=SG47,SQ42&lt;&gt;SG42),SU52+1,IF(AND(SQ53=SG53,SQ47&lt;&gt;SG47),SU52+1,IF(AND(SQ53=SG53-1,SQ47=SG47),SK56+(SO56*4)+1,SU52+1)))</f>
        <v>54</v>
      </c>
      <c r="SU53" s="18">
        <f t="shared" si="297"/>
        <v>56</v>
      </c>
      <c r="SV53" s="18">
        <v>3</v>
      </c>
      <c r="SW53" s="301" t="str">
        <f t="shared" si="298"/>
        <v/>
      </c>
      <c r="SX53" s="301"/>
      <c r="SY53" s="302" t="str">
        <f t="shared" si="1074"/>
        <v/>
      </c>
      <c r="SZ53" s="349"/>
      <c r="TA53" s="61">
        <f t="shared" ref="TA53" si="1218">IF(TA42=0,0,IF(SQ53&gt;1,SQ53-1,TI52))</f>
        <v>0</v>
      </c>
      <c r="TB53" s="18">
        <v>21</v>
      </c>
      <c r="TC53" s="19" t="s">
        <v>1254</v>
      </c>
      <c r="TD53" s="18">
        <f t="shared" ref="TD53" si="1219">IF(AND(TA53=SQ53,TA47=SQ47,TA42&lt;&gt;SQ42),TE52+1,IF(AND(TA53=SQ53,TA47&lt;&gt;SQ47),TE52+1,IF(AND(TA53=SQ53-1,TA47=SQ47),SU56+(SY56*4)+1,TE52+1)))</f>
        <v>54</v>
      </c>
      <c r="TE53" s="18">
        <f t="shared" si="301"/>
        <v>56</v>
      </c>
      <c r="TF53" s="18">
        <v>3</v>
      </c>
      <c r="TG53" s="301" t="str">
        <f t="shared" si="302"/>
        <v/>
      </c>
      <c r="TH53" s="301"/>
      <c r="TI53" s="302" t="str">
        <f t="shared" si="1075"/>
        <v/>
      </c>
      <c r="TJ53" s="349"/>
      <c r="TK53" s="61">
        <f t="shared" ref="TK53" si="1220">IF(TK42=0,0,IF(TA53&gt;1,TA53-1,TS52))</f>
        <v>0</v>
      </c>
      <c r="TL53" s="18">
        <v>21</v>
      </c>
      <c r="TM53" s="19" t="s">
        <v>1254</v>
      </c>
      <c r="TN53" s="18">
        <f t="shared" ref="TN53" si="1221">IF(AND(TK53=TA53,TK47=TA47,TK42&lt;&gt;TA42),TO52+1,IF(AND(TK53=TA53,TK47&lt;&gt;TA47),TO52+1,IF(AND(TK53=TA53-1,TK47=TA47),TE56+(TI56*4)+1,TO52+1)))</f>
        <v>54</v>
      </c>
      <c r="TO53" s="18">
        <f t="shared" si="305"/>
        <v>56</v>
      </c>
      <c r="TP53" s="18">
        <v>3</v>
      </c>
      <c r="TQ53" s="301" t="str">
        <f t="shared" si="306"/>
        <v/>
      </c>
      <c r="TR53" s="301"/>
      <c r="TS53" s="302" t="str">
        <f t="shared" si="1076"/>
        <v/>
      </c>
      <c r="TT53" s="349"/>
      <c r="TU53" s="61">
        <f t="shared" ref="TU53" si="1222">IF(TU42=0,0,IF(TK53&gt;1,TK53-1,UC52))</f>
        <v>0</v>
      </c>
      <c r="TV53" s="18">
        <v>21</v>
      </c>
      <c r="TW53" s="19" t="s">
        <v>1254</v>
      </c>
      <c r="TX53" s="18">
        <f t="shared" ref="TX53" si="1223">IF(AND(TU53=TK53,TU47=TK47,TU42&lt;&gt;TK42),TY52+1,IF(AND(TU53=TK53,TU47&lt;&gt;TK47),TY52+1,IF(AND(TU53=TK53-1,TU47=TK47),TO56+(TS56*4)+1,TY52+1)))</f>
        <v>54</v>
      </c>
      <c r="TY53" s="18">
        <f t="shared" si="309"/>
        <v>56</v>
      </c>
      <c r="TZ53" s="18">
        <v>3</v>
      </c>
      <c r="UA53" s="301" t="str">
        <f t="shared" si="310"/>
        <v/>
      </c>
      <c r="UB53" s="301"/>
      <c r="UC53" s="302" t="str">
        <f t="shared" si="1077"/>
        <v/>
      </c>
      <c r="UD53" s="349"/>
      <c r="UE53" s="61">
        <f t="shared" ref="UE53" si="1224">IF(UE42=0,0,IF(TU53&gt;1,TU53-1,UM52))</f>
        <v>0</v>
      </c>
      <c r="UF53" s="18">
        <v>21</v>
      </c>
      <c r="UG53" s="19" t="s">
        <v>1254</v>
      </c>
      <c r="UH53" s="18">
        <f t="shared" ref="UH53" si="1225">IF(AND(UE53=TU53,UE47=TU47,UE42&lt;&gt;TU42),UI52+1,IF(AND(UE53=TU53,UE47&lt;&gt;TU47),UI52+1,IF(AND(UE53=TU53-1,UE47=TU47),TY56+(UC56*4)+1,UI52+1)))</f>
        <v>54</v>
      </c>
      <c r="UI53" s="18">
        <f t="shared" si="313"/>
        <v>56</v>
      </c>
      <c r="UJ53" s="18">
        <v>3</v>
      </c>
      <c r="UK53" s="301" t="str">
        <f t="shared" si="314"/>
        <v/>
      </c>
      <c r="UL53" s="301"/>
      <c r="UM53" s="302" t="str">
        <f t="shared" si="1078"/>
        <v/>
      </c>
      <c r="UN53" s="349"/>
      <c r="UO53" s="61">
        <f t="shared" ref="UO53" si="1226">IF(UO42=0,0,IF(UE53&gt;1,UE53-1,UW52))</f>
        <v>0</v>
      </c>
      <c r="UP53" s="18">
        <v>21</v>
      </c>
      <c r="UQ53" s="19" t="s">
        <v>1254</v>
      </c>
      <c r="UR53" s="18">
        <f t="shared" ref="UR53" si="1227">IF(AND(UO53=UE53,UO47=UE47,UO42&lt;&gt;UE42),US52+1,IF(AND(UO53=UE53,UO47&lt;&gt;UE47),US52+1,IF(AND(UO53=UE53-1,UO47=UE47),UI56+(UM56*4)+1,US52+1)))</f>
        <v>54</v>
      </c>
      <c r="US53" s="18">
        <f t="shared" si="317"/>
        <v>56</v>
      </c>
      <c r="UT53" s="18">
        <v>3</v>
      </c>
      <c r="UU53" s="301" t="str">
        <f t="shared" si="318"/>
        <v/>
      </c>
      <c r="UV53" s="301"/>
      <c r="UW53" s="302" t="str">
        <f t="shared" si="1079"/>
        <v/>
      </c>
      <c r="UX53" s="349"/>
      <c r="UY53" s="61">
        <f t="shared" ref="UY53" si="1228">IF(UY42=0,0,IF(UO53&gt;1,UO53-1,VG52))</f>
        <v>0</v>
      </c>
      <c r="UZ53" s="18">
        <v>21</v>
      </c>
      <c r="VA53" s="19" t="s">
        <v>1254</v>
      </c>
      <c r="VB53" s="18">
        <f t="shared" ref="VB53" si="1229">IF(AND(UY53=UO53,UY47=UO47,UY42&lt;&gt;UO42),VC52+1,IF(AND(UY53=UO53,UY47&lt;&gt;UO47),VC52+1,IF(AND(UY53=UO53-1,UY47=UO47),US56+(UW56*4)+1,VC52+1)))</f>
        <v>54</v>
      </c>
      <c r="VC53" s="18">
        <f t="shared" si="321"/>
        <v>56</v>
      </c>
      <c r="VD53" s="18">
        <v>3</v>
      </c>
      <c r="VE53" s="301" t="str">
        <f t="shared" si="322"/>
        <v/>
      </c>
      <c r="VF53" s="301"/>
      <c r="VG53" s="302" t="str">
        <f t="shared" si="1080"/>
        <v/>
      </c>
      <c r="VH53" s="349"/>
      <c r="VI53" s="61">
        <f t="shared" ref="VI53" si="1230">IF(VI42=0,0,IF(UY53&gt;1,UY53-1,VQ52))</f>
        <v>0</v>
      </c>
      <c r="VJ53" s="18">
        <v>21</v>
      </c>
      <c r="VK53" s="19" t="s">
        <v>1254</v>
      </c>
      <c r="VL53" s="18">
        <f t="shared" ref="VL53" si="1231">IF(AND(VI53=UY53,VI47=UY47,VI42&lt;&gt;UY42),VM52+1,IF(AND(VI53=UY53,VI47&lt;&gt;UY47),VM52+1,IF(AND(VI53=UY53-1,VI47=UY47),VC56+(VG56*4)+1,VM52+1)))</f>
        <v>54</v>
      </c>
      <c r="VM53" s="18">
        <f t="shared" si="325"/>
        <v>56</v>
      </c>
      <c r="VN53" s="18">
        <v>3</v>
      </c>
      <c r="VO53" s="301" t="str">
        <f t="shared" si="326"/>
        <v/>
      </c>
      <c r="VP53" s="301"/>
      <c r="VQ53" s="302" t="str">
        <f t="shared" si="1081"/>
        <v/>
      </c>
      <c r="VR53" s="349"/>
      <c r="VS53" s="61">
        <f t="shared" ref="VS53" si="1232">IF(VS42=0,0,IF(VI53&gt;1,VI53-1,WA52))</f>
        <v>0</v>
      </c>
      <c r="VT53" s="18">
        <v>21</v>
      </c>
      <c r="VU53" s="19" t="s">
        <v>1254</v>
      </c>
      <c r="VV53" s="18">
        <f t="shared" ref="VV53" si="1233">IF(AND(VS53=VI53,VS47=VI47,VS42&lt;&gt;VI42),VW52+1,IF(AND(VS53=VI53,VS47&lt;&gt;VI47),VW52+1,IF(AND(VS53=VI53-1,VS47=VI47),VM56+(VQ56*4)+1,VW52+1)))</f>
        <v>54</v>
      </c>
      <c r="VW53" s="18">
        <f t="shared" si="329"/>
        <v>56</v>
      </c>
      <c r="VX53" s="18">
        <v>3</v>
      </c>
      <c r="VY53" s="301" t="str">
        <f t="shared" si="330"/>
        <v/>
      </c>
      <c r="VZ53" s="301"/>
      <c r="WA53" s="302" t="str">
        <f t="shared" si="1082"/>
        <v/>
      </c>
      <c r="WB53" s="349"/>
      <c r="WC53" s="61">
        <f t="shared" ref="WC53" si="1234">IF(WC42=0,0,IF(VS53&gt;1,VS53-1,WK52))</f>
        <v>0</v>
      </c>
      <c r="WD53" s="18">
        <v>21</v>
      </c>
      <c r="WE53" s="19" t="s">
        <v>1254</v>
      </c>
      <c r="WF53" s="18">
        <f t="shared" ref="WF53" si="1235">IF(AND(WC53=VS53,WC47=VS47,WC42&lt;&gt;VS42),WG52+1,IF(AND(WC53=VS53,WC47&lt;&gt;VS47),WG52+1,IF(AND(WC53=VS53-1,WC47=VS47),VW56+(WA56*4)+1,WG52+1)))</f>
        <v>54</v>
      </c>
      <c r="WG53" s="18">
        <f t="shared" si="333"/>
        <v>56</v>
      </c>
      <c r="WH53" s="18">
        <v>3</v>
      </c>
      <c r="WI53" s="301" t="str">
        <f t="shared" si="334"/>
        <v/>
      </c>
      <c r="WJ53" s="301"/>
      <c r="WK53" s="302" t="str">
        <f t="shared" si="1083"/>
        <v/>
      </c>
      <c r="WL53" s="349"/>
      <c r="WM53" s="61">
        <f t="shared" ref="WM53" si="1236">IF(WM42=0,0,IF(WC53&gt;1,WC53-1,WU52))</f>
        <v>0</v>
      </c>
      <c r="WN53" s="18">
        <v>21</v>
      </c>
      <c r="WO53" s="19" t="s">
        <v>1254</v>
      </c>
      <c r="WP53" s="18">
        <f t="shared" ref="WP53" si="1237">IF(AND(WM53=WC53,WM47=WC47,WM42&lt;&gt;WC42),WQ52+1,IF(AND(WM53=WC53,WM47&lt;&gt;WC47),WQ52+1,IF(AND(WM53=WC53-1,WM47=WC47),WG56+(WK56*4)+1,WQ52+1)))</f>
        <v>54</v>
      </c>
      <c r="WQ53" s="18">
        <f t="shared" si="337"/>
        <v>56</v>
      </c>
      <c r="WR53" s="18">
        <v>3</v>
      </c>
      <c r="WS53" s="301" t="str">
        <f t="shared" si="338"/>
        <v/>
      </c>
      <c r="WT53" s="301"/>
      <c r="WU53" s="302" t="str">
        <f t="shared" si="1084"/>
        <v/>
      </c>
      <c r="WV53" s="349"/>
      <c r="WW53" s="61">
        <f t="shared" ref="WW53" si="1238">IF(WW42=0,0,IF(WM53&gt;1,WM53-1,XE52))</f>
        <v>0</v>
      </c>
      <c r="WX53" s="18">
        <v>21</v>
      </c>
      <c r="WY53" s="19" t="s">
        <v>1254</v>
      </c>
      <c r="WZ53" s="18">
        <f t="shared" ref="WZ53" si="1239">IF(AND(WW53=WM53,WW47=WM47,WW42&lt;&gt;WM42),XA52+1,IF(AND(WW53=WM53,WW47&lt;&gt;WM47),XA52+1,IF(AND(WW53=WM53-1,WW47=WM47),WQ56+(WU56*4)+1,XA52+1)))</f>
        <v>54</v>
      </c>
      <c r="XA53" s="18">
        <f t="shared" si="341"/>
        <v>56</v>
      </c>
      <c r="XB53" s="18">
        <v>3</v>
      </c>
      <c r="XC53" s="301" t="str">
        <f t="shared" si="342"/>
        <v/>
      </c>
      <c r="XD53" s="301"/>
      <c r="XE53" s="302" t="str">
        <f t="shared" si="1085"/>
        <v/>
      </c>
      <c r="XF53" s="349"/>
      <c r="XG53" s="61">
        <f t="shared" ref="XG53" si="1240">IF(XG42=0,0,IF(WW53&gt;1,WW53-1,XO52))</f>
        <v>0</v>
      </c>
      <c r="XH53" s="18">
        <v>21</v>
      </c>
      <c r="XI53" s="19" t="s">
        <v>1254</v>
      </c>
      <c r="XJ53" s="18">
        <f t="shared" ref="XJ53" si="1241">IF(AND(XG53=WW53,XG47=WW47,XG42&lt;&gt;WW42),XK52+1,IF(AND(XG53=WW53,XG47&lt;&gt;WW47),XK52+1,IF(AND(XG53=WW53-1,XG47=WW47),XA56+(XE56*4)+1,XK52+1)))</f>
        <v>54</v>
      </c>
      <c r="XK53" s="18">
        <f t="shared" si="345"/>
        <v>56</v>
      </c>
      <c r="XL53" s="18">
        <v>3</v>
      </c>
      <c r="XM53" s="301" t="str">
        <f t="shared" si="346"/>
        <v/>
      </c>
      <c r="XN53" s="301"/>
      <c r="XO53" s="302" t="str">
        <f t="shared" si="1086"/>
        <v/>
      </c>
      <c r="XP53" s="349"/>
      <c r="XQ53" s="61">
        <f t="shared" ref="XQ53" si="1242">IF(XQ42=0,0,IF(XG53&gt;1,XG53-1,XY52))</f>
        <v>0</v>
      </c>
      <c r="XR53" s="18">
        <v>21</v>
      </c>
      <c r="XS53" s="19" t="s">
        <v>1254</v>
      </c>
      <c r="XT53" s="18">
        <f t="shared" ref="XT53" si="1243">IF(AND(XQ53=XG53,XQ47=XG47,XQ42&lt;&gt;XG42),XU52+1,IF(AND(XQ53=XG53,XQ47&lt;&gt;XG47),XU52+1,IF(AND(XQ53=XG53-1,XQ47=XG47),XK56+(XO56*4)+1,XU52+1)))</f>
        <v>54</v>
      </c>
      <c r="XU53" s="18">
        <f t="shared" si="349"/>
        <v>56</v>
      </c>
      <c r="XV53" s="18">
        <v>3</v>
      </c>
      <c r="XW53" s="301" t="str">
        <f t="shared" si="350"/>
        <v/>
      </c>
      <c r="XX53" s="301"/>
      <c r="XY53" s="302" t="str">
        <f t="shared" si="1087"/>
        <v/>
      </c>
      <c r="XZ53" s="349"/>
      <c r="YA53" s="61">
        <f t="shared" ref="YA53" si="1244">IF(YA42=0,0,IF(XQ53&gt;1,XQ53-1,YI52))</f>
        <v>0</v>
      </c>
      <c r="YB53" s="18">
        <v>21</v>
      </c>
      <c r="YC53" s="19" t="s">
        <v>1254</v>
      </c>
      <c r="YD53" s="18">
        <f t="shared" ref="YD53" si="1245">IF(AND(YA53=XQ53,YA47=XQ47,YA42&lt;&gt;XQ42),YE52+1,IF(AND(YA53=XQ53,YA47&lt;&gt;XQ47),YE52+1,IF(AND(YA53=XQ53-1,YA47=XQ47),XU56+(XY56*4)+1,YE52+1)))</f>
        <v>54</v>
      </c>
      <c r="YE53" s="18">
        <f t="shared" si="353"/>
        <v>56</v>
      </c>
      <c r="YF53" s="18">
        <v>3</v>
      </c>
      <c r="YG53" s="301" t="str">
        <f t="shared" si="354"/>
        <v/>
      </c>
      <c r="YH53" s="301"/>
      <c r="YI53" s="302" t="str">
        <f t="shared" si="1088"/>
        <v/>
      </c>
      <c r="YJ53" s="349"/>
      <c r="YK53" s="61">
        <f t="shared" ref="YK53" si="1246">IF(YK42=0,0,IF(YA53&gt;1,YA53-1,YS52))</f>
        <v>0</v>
      </c>
      <c r="YL53" s="18">
        <v>21</v>
      </c>
      <c r="YM53" s="19" t="s">
        <v>1254</v>
      </c>
      <c r="YN53" s="18">
        <f t="shared" ref="YN53" si="1247">IF(AND(YK53=YA53,YK47=YA47,YK42&lt;&gt;YA42),YO52+1,IF(AND(YK53=YA53,YK47&lt;&gt;YA47),YO52+1,IF(AND(YK53=YA53-1,YK47=YA47),YE56+(YI56*4)+1,YO52+1)))</f>
        <v>54</v>
      </c>
      <c r="YO53" s="18">
        <f t="shared" si="357"/>
        <v>56</v>
      </c>
      <c r="YP53" s="18">
        <v>3</v>
      </c>
      <c r="YQ53" s="301" t="str">
        <f t="shared" si="358"/>
        <v/>
      </c>
      <c r="YR53" s="301"/>
      <c r="YS53" s="302" t="str">
        <f t="shared" si="1089"/>
        <v/>
      </c>
      <c r="YT53" s="349"/>
      <c r="YU53" s="61">
        <f t="shared" ref="YU53" si="1248">IF(YU42=0,0,IF(YK53&gt;1,YK53-1,ZC52))</f>
        <v>0</v>
      </c>
      <c r="YV53" s="18">
        <v>21</v>
      </c>
      <c r="YW53" s="19" t="s">
        <v>1254</v>
      </c>
      <c r="YX53" s="18">
        <f t="shared" ref="YX53" si="1249">IF(AND(YU53=YK53,YU47=YK47,YU42&lt;&gt;YK42),YY52+1,IF(AND(YU53=YK53,YU47&lt;&gt;YK47),YY52+1,IF(AND(YU53=YK53-1,YU47=YK47),YO56+(YS56*4)+1,YY52+1)))</f>
        <v>54</v>
      </c>
      <c r="YY53" s="18">
        <f t="shared" si="361"/>
        <v>56</v>
      </c>
      <c r="YZ53" s="18">
        <v>3</v>
      </c>
      <c r="ZA53" s="301" t="str">
        <f t="shared" si="362"/>
        <v/>
      </c>
      <c r="ZB53" s="301"/>
      <c r="ZC53" s="302" t="str">
        <f t="shared" si="1090"/>
        <v/>
      </c>
      <c r="ZD53" s="349"/>
      <c r="ZE53" s="61">
        <f t="shared" ref="ZE53" si="1250">IF(ZE42=0,0,IF(YU53&gt;1,YU53-1,ZM52))</f>
        <v>0</v>
      </c>
      <c r="ZF53" s="18">
        <v>21</v>
      </c>
      <c r="ZG53" s="19" t="s">
        <v>1254</v>
      </c>
      <c r="ZH53" s="18">
        <f t="shared" ref="ZH53" si="1251">IF(AND(ZE53=YU53,ZE47=YU47,ZE42&lt;&gt;YU42),ZI52+1,IF(AND(ZE53=YU53,ZE47&lt;&gt;YU47),ZI52+1,IF(AND(ZE53=YU53-1,ZE47=YU47),YY56+(ZC56*4)+1,ZI52+1)))</f>
        <v>54</v>
      </c>
      <c r="ZI53" s="18">
        <f t="shared" si="365"/>
        <v>56</v>
      </c>
      <c r="ZJ53" s="18">
        <v>3</v>
      </c>
      <c r="ZK53" s="301" t="str">
        <f t="shared" si="366"/>
        <v/>
      </c>
      <c r="ZL53" s="301"/>
      <c r="ZM53" s="302" t="str">
        <f t="shared" si="1091"/>
        <v/>
      </c>
      <c r="ZN53" s="349"/>
      <c r="ZO53" s="61">
        <f t="shared" ref="ZO53" si="1252">IF(ZO42=0,0,IF(ZE53&gt;1,ZE53-1,ZW52))</f>
        <v>0</v>
      </c>
      <c r="ZP53" s="18">
        <v>21</v>
      </c>
      <c r="ZQ53" s="19" t="s">
        <v>1254</v>
      </c>
      <c r="ZR53" s="18">
        <f t="shared" ref="ZR53" si="1253">IF(AND(ZO53=ZE53,ZO47=ZE47,ZO42&lt;&gt;ZE42),ZS52+1,IF(AND(ZO53=ZE53,ZO47&lt;&gt;ZE47),ZS52+1,IF(AND(ZO53=ZE53-1,ZO47=ZE47),ZI56+(ZM56*4)+1,ZS52+1)))</f>
        <v>54</v>
      </c>
      <c r="ZS53" s="18">
        <f t="shared" si="369"/>
        <v>56</v>
      </c>
      <c r="ZT53" s="18">
        <v>3</v>
      </c>
      <c r="ZU53" s="301" t="str">
        <f t="shared" si="370"/>
        <v/>
      </c>
      <c r="ZV53" s="301"/>
      <c r="ZW53" s="302" t="str">
        <f t="shared" si="1092"/>
        <v/>
      </c>
      <c r="ZX53" s="349"/>
      <c r="ZY53" s="61">
        <f t="shared" ref="ZY53" si="1254">IF(ZY42=0,0,IF(ZO53&gt;1,ZO53-1,AAG52))</f>
        <v>0</v>
      </c>
      <c r="ZZ53" s="18">
        <v>21</v>
      </c>
      <c r="AAA53" s="19" t="s">
        <v>1254</v>
      </c>
      <c r="AAB53" s="18">
        <f t="shared" ref="AAB53" si="1255">IF(AND(ZY53=ZO53,ZY47=ZO47,ZY42&lt;&gt;ZO42),AAC52+1,IF(AND(ZY53=ZO53,ZY47&lt;&gt;ZO47),AAC52+1,IF(AND(ZY53=ZO53-1,ZY47=ZO47),ZS56+(ZW56*4)+1,AAC52+1)))</f>
        <v>54</v>
      </c>
      <c r="AAC53" s="18">
        <f t="shared" si="373"/>
        <v>56</v>
      </c>
      <c r="AAD53" s="18">
        <v>3</v>
      </c>
      <c r="AAE53" s="301" t="str">
        <f t="shared" si="374"/>
        <v/>
      </c>
      <c r="AAF53" s="301"/>
      <c r="AAG53" s="302" t="str">
        <f t="shared" si="1093"/>
        <v/>
      </c>
      <c r="AAH53" s="349"/>
      <c r="AAI53" s="61">
        <f t="shared" ref="AAI53" si="1256">IF(AAI42=0,0,IF(ZY53&gt;1,ZY53-1,AAQ52))</f>
        <v>0</v>
      </c>
      <c r="AAJ53" s="18">
        <v>21</v>
      </c>
      <c r="AAK53" s="19" t="s">
        <v>1254</v>
      </c>
      <c r="AAL53" s="18">
        <f t="shared" ref="AAL53" si="1257">IF(AND(AAI53=ZY53,AAI47=ZY47,AAI42&lt;&gt;ZY42),AAM52+1,IF(AND(AAI53=ZY53,AAI47&lt;&gt;ZY47),AAM52+1,IF(AND(AAI53=ZY53-1,AAI47=ZY47),AAC56+(AAG56*4)+1,AAM52+1)))</f>
        <v>54</v>
      </c>
      <c r="AAM53" s="18">
        <f t="shared" si="377"/>
        <v>56</v>
      </c>
      <c r="AAN53" s="18">
        <v>3</v>
      </c>
      <c r="AAO53" s="301" t="str">
        <f t="shared" si="378"/>
        <v/>
      </c>
      <c r="AAP53" s="301"/>
      <c r="AAQ53" s="302" t="str">
        <f t="shared" si="1094"/>
        <v/>
      </c>
      <c r="AAR53" s="349"/>
      <c r="AAS53" s="61">
        <f t="shared" ref="AAS53" si="1258">IF(AAS42=0,0,IF(AAI53&gt;1,AAI53-1,ABA52))</f>
        <v>0</v>
      </c>
      <c r="AAT53" s="18">
        <v>21</v>
      </c>
      <c r="AAU53" s="19" t="s">
        <v>1254</v>
      </c>
      <c r="AAV53" s="18">
        <f t="shared" ref="AAV53" si="1259">IF(AND(AAS53=AAI53,AAS47=AAI47,AAS42&lt;&gt;AAI42),AAW52+1,IF(AND(AAS53=AAI53,AAS47&lt;&gt;AAI47),AAW52+1,IF(AND(AAS53=AAI53-1,AAS47=AAI47),AAM56+(AAQ56*4)+1,AAW52+1)))</f>
        <v>54</v>
      </c>
      <c r="AAW53" s="18">
        <f t="shared" si="381"/>
        <v>56</v>
      </c>
      <c r="AAX53" s="18">
        <v>3</v>
      </c>
      <c r="AAY53" s="301" t="str">
        <f t="shared" si="382"/>
        <v/>
      </c>
      <c r="AAZ53" s="301"/>
      <c r="ABA53" s="302" t="str">
        <f t="shared" si="1095"/>
        <v/>
      </c>
      <c r="ABB53" s="349"/>
      <c r="ABC53" s="61">
        <f t="shared" ref="ABC53" si="1260">IF(ABC42=0,0,IF(AAS53&gt;1,AAS53-1,ABK52))</f>
        <v>0</v>
      </c>
      <c r="ABD53" s="18">
        <v>21</v>
      </c>
      <c r="ABE53" s="19" t="s">
        <v>1254</v>
      </c>
      <c r="ABF53" s="18">
        <f t="shared" ref="ABF53" si="1261">IF(AND(ABC53=AAS53,ABC47=AAS47,ABC42&lt;&gt;AAS42),ABG52+1,IF(AND(ABC53=AAS53,ABC47&lt;&gt;AAS47),ABG52+1,IF(AND(ABC53=AAS53-1,ABC47=AAS47),AAW56+(ABA56*4)+1,ABG52+1)))</f>
        <v>54</v>
      </c>
      <c r="ABG53" s="18">
        <f t="shared" si="385"/>
        <v>56</v>
      </c>
      <c r="ABH53" s="18">
        <v>3</v>
      </c>
      <c r="ABI53" s="301" t="str">
        <f t="shared" si="386"/>
        <v/>
      </c>
      <c r="ABJ53" s="301"/>
      <c r="ABK53" s="302" t="str">
        <f t="shared" si="1096"/>
        <v/>
      </c>
      <c r="ABL53" s="349"/>
      <c r="ABM53" s="61">
        <f t="shared" ref="ABM53" si="1262">IF(ABM42=0,0,IF(ABC53&gt;1,ABC53-1,ABU52))</f>
        <v>0</v>
      </c>
      <c r="ABN53" s="18">
        <v>21</v>
      </c>
      <c r="ABO53" s="19" t="s">
        <v>1254</v>
      </c>
      <c r="ABP53" s="18">
        <f t="shared" ref="ABP53" si="1263">IF(AND(ABM53=ABC53,ABM47=ABC47,ABM42&lt;&gt;ABC42),ABQ52+1,IF(AND(ABM53=ABC53,ABM47&lt;&gt;ABC47),ABQ52+1,IF(AND(ABM53=ABC53-1,ABM47=ABC47),ABG56+(ABK56*4)+1,ABQ52+1)))</f>
        <v>54</v>
      </c>
      <c r="ABQ53" s="18">
        <f t="shared" si="389"/>
        <v>56</v>
      </c>
      <c r="ABR53" s="18">
        <v>3</v>
      </c>
      <c r="ABS53" s="301" t="str">
        <f t="shared" si="390"/>
        <v/>
      </c>
      <c r="ABT53" s="301"/>
      <c r="ABU53" s="302" t="str">
        <f t="shared" si="1097"/>
        <v/>
      </c>
      <c r="ABV53" s="349"/>
      <c r="ABW53" s="61">
        <f t="shared" ref="ABW53" si="1264">IF(ABW42=0,0,IF(ABM53&gt;1,ABM53-1,ACE52))</f>
        <v>0</v>
      </c>
      <c r="ABX53" s="18">
        <v>21</v>
      </c>
      <c r="ABY53" s="19" t="s">
        <v>1254</v>
      </c>
      <c r="ABZ53" s="18">
        <f t="shared" ref="ABZ53" si="1265">IF(AND(ABW53=ABM53,ABW47=ABM47,ABW42&lt;&gt;ABM42),ACA52+1,IF(AND(ABW53=ABM53,ABW47&lt;&gt;ABM47),ACA52+1,IF(AND(ABW53=ABM53-1,ABW47=ABM47),ABQ56+(ABU56*4)+1,ACA52+1)))</f>
        <v>54</v>
      </c>
      <c r="ACA53" s="18">
        <f t="shared" si="393"/>
        <v>56</v>
      </c>
      <c r="ACB53" s="18">
        <v>3</v>
      </c>
      <c r="ACC53" s="301" t="str">
        <f t="shared" si="394"/>
        <v/>
      </c>
      <c r="ACD53" s="301"/>
      <c r="ACE53" s="302" t="str">
        <f t="shared" si="1098"/>
        <v/>
      </c>
      <c r="ACF53" s="349"/>
      <c r="ACG53" s="61">
        <f t="shared" ref="ACG53" si="1266">IF(ACG42=0,0,IF(ABW53&gt;1,ABW53-1,ACO52))</f>
        <v>0</v>
      </c>
      <c r="ACH53" s="18">
        <v>21</v>
      </c>
      <c r="ACI53" s="19" t="s">
        <v>1254</v>
      </c>
      <c r="ACJ53" s="18">
        <f t="shared" ref="ACJ53" si="1267">IF(AND(ACG53=ABW53,ACG47=ABW47,ACG42&lt;&gt;ABW42),ACK52+1,IF(AND(ACG53=ABW53,ACG47&lt;&gt;ABW47),ACK52+1,IF(AND(ACG53=ABW53-1,ACG47=ABW47),ACA56+(ACE56*4)+1,ACK52+1)))</f>
        <v>54</v>
      </c>
      <c r="ACK53" s="18">
        <f t="shared" si="397"/>
        <v>56</v>
      </c>
      <c r="ACL53" s="18">
        <v>3</v>
      </c>
      <c r="ACM53" s="301" t="str">
        <f t="shared" si="398"/>
        <v/>
      </c>
      <c r="ACN53" s="301"/>
      <c r="ACO53" s="302" t="str">
        <f t="shared" si="1099"/>
        <v/>
      </c>
      <c r="ACP53" s="349"/>
      <c r="ACQ53" s="61">
        <f t="shared" ref="ACQ53" si="1268">IF(ACQ42=0,0,IF(ACG53&gt;1,ACG53-1,ACY52))</f>
        <v>0</v>
      </c>
      <c r="ACR53" s="18">
        <v>21</v>
      </c>
      <c r="ACS53" s="19" t="s">
        <v>1254</v>
      </c>
      <c r="ACT53" s="18">
        <f t="shared" ref="ACT53" si="1269">IF(AND(ACQ53=ACG53,ACQ47=ACG47,ACQ42&lt;&gt;ACG42),ACU52+1,IF(AND(ACQ53=ACG53,ACQ47&lt;&gt;ACG47),ACU52+1,IF(AND(ACQ53=ACG53-1,ACQ47=ACG47),ACK56+(ACO56*4)+1,ACU52+1)))</f>
        <v>54</v>
      </c>
      <c r="ACU53" s="18">
        <f t="shared" si="401"/>
        <v>56</v>
      </c>
      <c r="ACV53" s="18">
        <v>3</v>
      </c>
      <c r="ACW53" s="301" t="str">
        <f t="shared" si="402"/>
        <v/>
      </c>
      <c r="ACX53" s="301"/>
      <c r="ACY53" s="302" t="str">
        <f t="shared" si="1100"/>
        <v/>
      </c>
      <c r="ACZ53" s="349"/>
      <c r="ADA53" s="61">
        <f t="shared" ref="ADA53" si="1270">IF(ADA42=0,0,IF(ACQ53&gt;1,ACQ53-1,ADI52))</f>
        <v>0</v>
      </c>
      <c r="ADB53" s="18">
        <v>21</v>
      </c>
      <c r="ADC53" s="19" t="s">
        <v>1254</v>
      </c>
      <c r="ADD53" s="18">
        <f t="shared" ref="ADD53" si="1271">IF(AND(ADA53=ACQ53,ADA47=ACQ47,ADA42&lt;&gt;ACQ42),ADE52+1,IF(AND(ADA53=ACQ53,ADA47&lt;&gt;ACQ47),ADE52+1,IF(AND(ADA53=ACQ53-1,ADA47=ACQ47),ACU56+(ACY56*4)+1,ADE52+1)))</f>
        <v>54</v>
      </c>
      <c r="ADE53" s="18">
        <f t="shared" si="405"/>
        <v>56</v>
      </c>
      <c r="ADF53" s="18">
        <v>3</v>
      </c>
      <c r="ADG53" s="301" t="str">
        <f t="shared" si="406"/>
        <v/>
      </c>
      <c r="ADH53" s="301"/>
      <c r="ADI53" s="302" t="str">
        <f t="shared" si="1101"/>
        <v/>
      </c>
      <c r="ADJ53" s="349"/>
      <c r="ADK53" s="61">
        <f t="shared" ref="ADK53" si="1272">IF(ADK42=0,0,IF(ADA53&gt;1,ADA53-1,ADS52))</f>
        <v>0</v>
      </c>
      <c r="ADL53" s="18">
        <v>21</v>
      </c>
      <c r="ADM53" s="19" t="s">
        <v>1254</v>
      </c>
      <c r="ADN53" s="18">
        <f t="shared" ref="ADN53" si="1273">IF(AND(ADK53=ADA53,ADK47=ADA47,ADK42&lt;&gt;ADA42),ADO52+1,IF(AND(ADK53=ADA53,ADK47&lt;&gt;ADA47),ADO52+1,IF(AND(ADK53=ADA53-1,ADK47=ADA47),ADE56+(ADI56*4)+1,ADO52+1)))</f>
        <v>54</v>
      </c>
      <c r="ADO53" s="18">
        <f t="shared" si="409"/>
        <v>56</v>
      </c>
      <c r="ADP53" s="18">
        <v>3</v>
      </c>
      <c r="ADQ53" s="301" t="str">
        <f t="shared" si="410"/>
        <v/>
      </c>
      <c r="ADR53" s="301"/>
      <c r="ADS53" s="302" t="str">
        <f t="shared" si="1102"/>
        <v/>
      </c>
      <c r="ADT53" s="349"/>
      <c r="ADU53" s="61">
        <f t="shared" ref="ADU53" si="1274">IF(ADU42=0,0,IF(ADK53&gt;1,ADK53-1,AEC52))</f>
        <v>0</v>
      </c>
      <c r="ADV53" s="18">
        <v>21</v>
      </c>
      <c r="ADW53" s="19" t="s">
        <v>1254</v>
      </c>
      <c r="ADX53" s="18">
        <f t="shared" ref="ADX53" si="1275">IF(AND(ADU53=ADK53,ADU47=ADK47,ADU42&lt;&gt;ADK42),ADY52+1,IF(AND(ADU53=ADK53,ADU47&lt;&gt;ADK47),ADY52+1,IF(AND(ADU53=ADK53-1,ADU47=ADK47),ADO56+(ADS56*4)+1,ADY52+1)))</f>
        <v>54</v>
      </c>
      <c r="ADY53" s="18">
        <f t="shared" si="413"/>
        <v>56</v>
      </c>
      <c r="ADZ53" s="18">
        <v>3</v>
      </c>
      <c r="AEA53" s="301" t="str">
        <f t="shared" si="414"/>
        <v/>
      </c>
      <c r="AEB53" s="301"/>
      <c r="AEC53" s="302" t="str">
        <f t="shared" si="1103"/>
        <v/>
      </c>
      <c r="AED53" s="349"/>
      <c r="AEE53" s="61">
        <f t="shared" ref="AEE53" si="1276">IF(AEE42=0,0,IF(ADU53&gt;1,ADU53-1,AEM52))</f>
        <v>0</v>
      </c>
      <c r="AEF53" s="18">
        <v>21</v>
      </c>
      <c r="AEG53" s="19" t="s">
        <v>1254</v>
      </c>
      <c r="AEH53" s="18">
        <f t="shared" ref="AEH53" si="1277">IF(AND(AEE53=ADU53,AEE47=ADU47,AEE42&lt;&gt;ADU42),AEI52+1,IF(AND(AEE53=ADU53,AEE47&lt;&gt;ADU47),AEI52+1,IF(AND(AEE53=ADU53-1,AEE47=ADU47),ADY56+(AEC56*4)+1,AEI52+1)))</f>
        <v>54</v>
      </c>
      <c r="AEI53" s="18">
        <f t="shared" si="417"/>
        <v>56</v>
      </c>
      <c r="AEJ53" s="18">
        <v>3</v>
      </c>
      <c r="AEK53" s="301" t="str">
        <f t="shared" si="418"/>
        <v/>
      </c>
      <c r="AEL53" s="301"/>
      <c r="AEM53" s="302" t="str">
        <f t="shared" si="1104"/>
        <v/>
      </c>
      <c r="AEN53" s="349"/>
      <c r="AEO53" s="61">
        <f t="shared" ref="AEO53" si="1278">IF(AEO42=0,0,IF(AEE53&gt;1,AEE53-1,AEW52))</f>
        <v>0</v>
      </c>
      <c r="AEP53" s="18">
        <v>21</v>
      </c>
      <c r="AEQ53" s="19" t="s">
        <v>1254</v>
      </c>
      <c r="AER53" s="18">
        <f t="shared" ref="AER53" si="1279">IF(AND(AEO53=AEE53,AEO47=AEE47,AEO42&lt;&gt;AEE42),AES52+1,IF(AND(AEO53=AEE53,AEO47&lt;&gt;AEE47),AES52+1,IF(AND(AEO53=AEE53-1,AEO47=AEE47),AEI56+(AEM56*4)+1,AES52+1)))</f>
        <v>54</v>
      </c>
      <c r="AES53" s="18">
        <f t="shared" si="421"/>
        <v>56</v>
      </c>
      <c r="AET53" s="18">
        <v>3</v>
      </c>
      <c r="AEU53" s="301" t="str">
        <f t="shared" si="422"/>
        <v/>
      </c>
      <c r="AEV53" s="301"/>
      <c r="AEW53" s="302" t="str">
        <f t="shared" si="1105"/>
        <v/>
      </c>
      <c r="AEX53" s="349"/>
      <c r="AEY53" s="61">
        <f t="shared" ref="AEY53" si="1280">IF(AEY42=0,0,IF(AEO53&gt;1,AEO53-1,AFG52))</f>
        <v>0</v>
      </c>
      <c r="AEZ53" s="18">
        <v>21</v>
      </c>
      <c r="AFA53" s="19" t="s">
        <v>1254</v>
      </c>
      <c r="AFB53" s="18">
        <f t="shared" ref="AFB53" si="1281">IF(AND(AEY53=AEO53,AEY47=AEO47,AEY42&lt;&gt;AEO42),AFC52+1,IF(AND(AEY53=AEO53,AEY47&lt;&gt;AEO47),AFC52+1,IF(AND(AEY53=AEO53-1,AEY47=AEO47),AES56+(AEW56*4)+1,AFC52+1)))</f>
        <v>54</v>
      </c>
      <c r="AFC53" s="18">
        <f t="shared" si="425"/>
        <v>56</v>
      </c>
      <c r="AFD53" s="18">
        <v>3</v>
      </c>
      <c r="AFE53" s="301" t="str">
        <f t="shared" si="426"/>
        <v/>
      </c>
      <c r="AFF53" s="301"/>
      <c r="AFG53" s="302" t="str">
        <f t="shared" si="1106"/>
        <v/>
      </c>
      <c r="AFH53" s="349"/>
      <c r="AFI53" s="61">
        <f t="shared" ref="AFI53" si="1282">IF(AFI42=0,0,IF(AEY53&gt;1,AEY53-1,AFQ52))</f>
        <v>0</v>
      </c>
      <c r="AFJ53" s="18">
        <v>21</v>
      </c>
      <c r="AFK53" s="19" t="s">
        <v>1254</v>
      </c>
      <c r="AFL53" s="18">
        <f t="shared" ref="AFL53" si="1283">IF(AND(AFI53=AEY53,AFI47=AEY47,AFI42&lt;&gt;AEY42),AFM52+1,IF(AND(AFI53=AEY53,AFI47&lt;&gt;AEY47),AFM52+1,IF(AND(AFI53=AEY53-1,AFI47=AEY47),AFC56+(AFG56*4)+1,AFM52+1)))</f>
        <v>54</v>
      </c>
      <c r="AFM53" s="18">
        <f t="shared" si="429"/>
        <v>56</v>
      </c>
      <c r="AFN53" s="18">
        <v>3</v>
      </c>
      <c r="AFO53" s="301" t="str">
        <f t="shared" si="430"/>
        <v/>
      </c>
      <c r="AFP53" s="301"/>
      <c r="AFQ53" s="302" t="str">
        <f t="shared" si="1107"/>
        <v/>
      </c>
      <c r="AFR53" s="349"/>
      <c r="AFS53" s="61">
        <f t="shared" ref="AFS53" si="1284">IF(AFS42=0,0,IF(AFI53&gt;1,AFI53-1,AGA52))</f>
        <v>0</v>
      </c>
      <c r="AFT53" s="18">
        <v>21</v>
      </c>
      <c r="AFU53" s="19" t="s">
        <v>1254</v>
      </c>
      <c r="AFV53" s="18">
        <f t="shared" ref="AFV53" si="1285">IF(AND(AFS53=AFI53,AFS47=AFI47,AFS42&lt;&gt;AFI42),AFW52+1,IF(AND(AFS53=AFI53,AFS47&lt;&gt;AFI47),AFW52+1,IF(AND(AFS53=AFI53-1,AFS47=AFI47),AFM56+(AFQ56*4)+1,AFW52+1)))</f>
        <v>54</v>
      </c>
      <c r="AFW53" s="18">
        <f t="shared" si="433"/>
        <v>56</v>
      </c>
      <c r="AFX53" s="18">
        <v>3</v>
      </c>
      <c r="AFY53" s="301" t="str">
        <f t="shared" si="434"/>
        <v/>
      </c>
      <c r="AFZ53" s="301"/>
      <c r="AGA53" s="302" t="str">
        <f t="shared" si="1108"/>
        <v/>
      </c>
      <c r="AGB53" s="349"/>
      <c r="AGC53" s="61">
        <f t="shared" ref="AGC53" si="1286">IF(AGC42=0,0,IF(AFS53&gt;1,AFS53-1,AGK52))</f>
        <v>0</v>
      </c>
      <c r="AGD53" s="18">
        <v>21</v>
      </c>
      <c r="AGE53" s="19" t="s">
        <v>1254</v>
      </c>
      <c r="AGF53" s="18">
        <f t="shared" ref="AGF53" si="1287">IF(AND(AGC53=AFS53,AGC47=AFS47,AGC42&lt;&gt;AFS42),AGG52+1,IF(AND(AGC53=AFS53,AGC47&lt;&gt;AFS47),AGG52+1,IF(AND(AGC53=AFS53-1,AGC47=AFS47),AFW56+(AGA56*4)+1,AGG52+1)))</f>
        <v>54</v>
      </c>
      <c r="AGG53" s="18">
        <f t="shared" si="437"/>
        <v>56</v>
      </c>
      <c r="AGH53" s="18">
        <v>3</v>
      </c>
      <c r="AGI53" s="301" t="str">
        <f t="shared" si="438"/>
        <v/>
      </c>
      <c r="AGJ53" s="301"/>
      <c r="AGK53" s="302" t="str">
        <f t="shared" si="1109"/>
        <v/>
      </c>
      <c r="AGL53" s="349"/>
      <c r="AGM53" s="61">
        <f t="shared" ref="AGM53" si="1288">IF(AGM42=0,0,IF(AGC53&gt;1,AGC53-1,AGU52))</f>
        <v>0</v>
      </c>
      <c r="AGN53" s="18">
        <v>21</v>
      </c>
      <c r="AGO53" s="19" t="s">
        <v>1254</v>
      </c>
      <c r="AGP53" s="18">
        <f t="shared" ref="AGP53" si="1289">IF(AND(AGM53=AGC53,AGM47=AGC47,AGM42&lt;&gt;AGC42),AGQ52+1,IF(AND(AGM53=AGC53,AGM47&lt;&gt;AGC47),AGQ52+1,IF(AND(AGM53=AGC53-1,AGM47=AGC47),AGG56+(AGK56*4)+1,AGQ52+1)))</f>
        <v>54</v>
      </c>
      <c r="AGQ53" s="18">
        <f t="shared" si="441"/>
        <v>56</v>
      </c>
      <c r="AGR53" s="18">
        <v>3</v>
      </c>
      <c r="AGS53" s="301" t="str">
        <f t="shared" si="442"/>
        <v/>
      </c>
      <c r="AGT53" s="301"/>
      <c r="AGU53" s="302" t="str">
        <f t="shared" si="1110"/>
        <v/>
      </c>
      <c r="AGV53" s="349"/>
      <c r="AGW53" s="61">
        <f t="shared" ref="AGW53" si="1290">IF(AGW42=0,0,IF(AGM53&gt;1,AGM53-1,AHE52))</f>
        <v>0</v>
      </c>
      <c r="AGX53" s="18">
        <v>21</v>
      </c>
      <c r="AGY53" s="19" t="s">
        <v>1254</v>
      </c>
      <c r="AGZ53" s="18">
        <f t="shared" ref="AGZ53" si="1291">IF(AND(AGW53=AGM53,AGW47=AGM47,AGW42&lt;&gt;AGM42),AHA52+1,IF(AND(AGW53=AGM53,AGW47&lt;&gt;AGM47),AHA52+1,IF(AND(AGW53=AGM53-1,AGW47=AGM47),AGQ56+(AGU56*4)+1,AHA52+1)))</f>
        <v>54</v>
      </c>
      <c r="AHA53" s="18">
        <f t="shared" si="445"/>
        <v>56</v>
      </c>
      <c r="AHB53" s="18">
        <v>3</v>
      </c>
      <c r="AHC53" s="301" t="str">
        <f t="shared" si="446"/>
        <v/>
      </c>
      <c r="AHD53" s="301"/>
      <c r="AHE53" s="302" t="str">
        <f t="shared" si="1111"/>
        <v/>
      </c>
      <c r="AHF53" s="349"/>
      <c r="AHG53" s="61">
        <f t="shared" ref="AHG53" si="1292">IF(AHG42=0,0,IF(AGW53&gt;1,AGW53-1,AHO52))</f>
        <v>0</v>
      </c>
      <c r="AHH53" s="18">
        <v>21</v>
      </c>
      <c r="AHI53" s="19" t="s">
        <v>1254</v>
      </c>
      <c r="AHJ53" s="18">
        <f t="shared" ref="AHJ53" si="1293">IF(AND(AHG53=AGW53,AHG47=AGW47,AHG42&lt;&gt;AGW42),AHK52+1,IF(AND(AHG53=AGW53,AHG47&lt;&gt;AGW47),AHK52+1,IF(AND(AHG53=AGW53-1,AHG47=AGW47),AHA56+(AHE56*4)+1,AHK52+1)))</f>
        <v>54</v>
      </c>
      <c r="AHK53" s="18">
        <f t="shared" si="449"/>
        <v>56</v>
      </c>
      <c r="AHL53" s="18">
        <v>3</v>
      </c>
      <c r="AHM53" s="301" t="str">
        <f t="shared" si="450"/>
        <v/>
      </c>
      <c r="AHN53" s="301"/>
      <c r="AHO53" s="302" t="str">
        <f t="shared" si="1112"/>
        <v/>
      </c>
      <c r="AHP53" s="349"/>
      <c r="AHQ53" s="61">
        <f t="shared" ref="AHQ53" si="1294">IF(AHQ42=0,0,IF(AHG53&gt;1,AHG53-1,AHY52))</f>
        <v>0</v>
      </c>
      <c r="AHR53" s="18">
        <v>21</v>
      </c>
      <c r="AHS53" s="19" t="s">
        <v>1254</v>
      </c>
      <c r="AHT53" s="18">
        <f t="shared" ref="AHT53" si="1295">IF(AND(AHQ53=AHG53,AHQ47=AHG47,AHQ42&lt;&gt;AHG42),AHU52+1,IF(AND(AHQ53=AHG53,AHQ47&lt;&gt;AHG47),AHU52+1,IF(AND(AHQ53=AHG53-1,AHQ47=AHG47),AHK56+(AHO56*4)+1,AHU52+1)))</f>
        <v>54</v>
      </c>
      <c r="AHU53" s="18">
        <f t="shared" si="453"/>
        <v>56</v>
      </c>
      <c r="AHV53" s="18">
        <v>3</v>
      </c>
      <c r="AHW53" s="301" t="str">
        <f t="shared" si="454"/>
        <v/>
      </c>
      <c r="AHX53" s="301"/>
      <c r="AHY53" s="302" t="str">
        <f t="shared" si="1113"/>
        <v/>
      </c>
      <c r="AHZ53" s="349"/>
      <c r="AIA53" s="61">
        <f t="shared" ref="AIA53" si="1296">IF(AIA42=0,0,IF(AHQ53&gt;1,AHQ53-1,AII52))</f>
        <v>0</v>
      </c>
      <c r="AIB53" s="18">
        <v>21</v>
      </c>
      <c r="AIC53" s="19" t="s">
        <v>1254</v>
      </c>
      <c r="AID53" s="18">
        <f t="shared" ref="AID53" si="1297">IF(AND(AIA53=AHQ53,AIA47=AHQ47,AIA42&lt;&gt;AHQ42),AIE52+1,IF(AND(AIA53=AHQ53,AIA47&lt;&gt;AHQ47),AIE52+1,IF(AND(AIA53=AHQ53-1,AIA47=AHQ47),AHU56+(AHY56*4)+1,AIE52+1)))</f>
        <v>54</v>
      </c>
      <c r="AIE53" s="18">
        <f t="shared" si="457"/>
        <v>56</v>
      </c>
      <c r="AIF53" s="18">
        <v>3</v>
      </c>
      <c r="AIG53" s="301" t="str">
        <f t="shared" si="458"/>
        <v/>
      </c>
      <c r="AIH53" s="301"/>
      <c r="AII53" s="302" t="str">
        <f t="shared" si="1114"/>
        <v/>
      </c>
      <c r="AIJ53" s="349"/>
      <c r="AIK53" s="61">
        <f t="shared" ref="AIK53" si="1298">IF(AIK42=0,0,IF(AIA53&gt;1,AIA53-1,AIS52))</f>
        <v>0</v>
      </c>
      <c r="AIL53" s="18">
        <v>21</v>
      </c>
      <c r="AIM53" s="19" t="s">
        <v>1254</v>
      </c>
      <c r="AIN53" s="18">
        <f t="shared" ref="AIN53" si="1299">IF(AND(AIK53=AIA53,AIK47=AIA47,AIK42&lt;&gt;AIA42),AIO52+1,IF(AND(AIK53=AIA53,AIK47&lt;&gt;AIA47),AIO52+1,IF(AND(AIK53=AIA53-1,AIK47=AIA47),AIE56+(AII56*4)+1,AIO52+1)))</f>
        <v>54</v>
      </c>
      <c r="AIO53" s="18">
        <f t="shared" si="461"/>
        <v>56</v>
      </c>
      <c r="AIP53" s="18">
        <v>3</v>
      </c>
      <c r="AIQ53" s="301" t="str">
        <f t="shared" si="462"/>
        <v/>
      </c>
      <c r="AIR53" s="301"/>
      <c r="AIS53" s="302" t="str">
        <f t="shared" si="1115"/>
        <v/>
      </c>
      <c r="AIT53" s="349"/>
      <c r="AIU53" s="61">
        <f t="shared" ref="AIU53" si="1300">IF(AIU42=0,0,IF(AIK53&gt;1,AIK53-1,AJC52))</f>
        <v>0</v>
      </c>
      <c r="AIV53" s="18">
        <v>21</v>
      </c>
      <c r="AIW53" s="19" t="s">
        <v>1254</v>
      </c>
      <c r="AIX53" s="18">
        <f t="shared" ref="AIX53" si="1301">IF(AND(AIU53=AIK53,AIU47=AIK47,AIU42&lt;&gt;AIK42),AIY52+1,IF(AND(AIU53=AIK53,AIU47&lt;&gt;AIK47),AIY52+1,IF(AND(AIU53=AIK53-1,AIU47=AIK47),AIO56+(AIS56*4)+1,AIY52+1)))</f>
        <v>54</v>
      </c>
      <c r="AIY53" s="18">
        <f t="shared" si="465"/>
        <v>56</v>
      </c>
      <c r="AIZ53" s="18">
        <v>3</v>
      </c>
      <c r="AJA53" s="301" t="str">
        <f t="shared" si="466"/>
        <v/>
      </c>
      <c r="AJB53" s="301"/>
      <c r="AJC53" s="302" t="str">
        <f t="shared" si="1116"/>
        <v/>
      </c>
      <c r="AJD53" s="349"/>
    </row>
    <row r="54" spans="1:940" ht="15" customHeight="1">
      <c r="A54" s="367" t="s">
        <v>1083</v>
      </c>
      <c r="B54" s="18">
        <v>23</v>
      </c>
      <c r="C54" s="19" t="s">
        <v>1255</v>
      </c>
      <c r="D54" s="18">
        <f t="shared" si="561"/>
        <v>57</v>
      </c>
      <c r="E54" s="18">
        <f t="shared" si="1117"/>
        <v>59</v>
      </c>
      <c r="F54" s="18">
        <v>3</v>
      </c>
      <c r="G54" s="301" t="str">
        <f t="shared" si="468"/>
        <v/>
      </c>
      <c r="H54" s="301"/>
      <c r="I54" s="302">
        <f t="shared" si="1024"/>
        <v>0</v>
      </c>
      <c r="J54" s="305"/>
      <c r="K54" s="350" t="s">
        <v>1083</v>
      </c>
      <c r="L54" s="18">
        <v>22</v>
      </c>
      <c r="M54" s="19" t="s">
        <v>1255</v>
      </c>
      <c r="N54" s="18">
        <f t="shared" si="562"/>
        <v>57</v>
      </c>
      <c r="O54" s="18">
        <f t="shared" si="97"/>
        <v>59</v>
      </c>
      <c r="P54" s="18">
        <v>3</v>
      </c>
      <c r="Q54" s="301" t="str">
        <f t="shared" si="98"/>
        <v/>
      </c>
      <c r="R54" s="301"/>
      <c r="S54" s="302" t="str">
        <f>IF(HEX2DEC(SUBSTITUTE(Q54," ",""))=0,"",HEX2DEC(SUBSTITUTE(Q54," ","")))</f>
        <v/>
      </c>
      <c r="T54" s="349"/>
      <c r="U54" s="350" t="s">
        <v>1083</v>
      </c>
      <c r="V54" s="18">
        <v>22</v>
      </c>
      <c r="W54" s="19" t="s">
        <v>1255</v>
      </c>
      <c r="X54" s="18">
        <f t="shared" ref="X54:X66" si="1302">Y53+1</f>
        <v>57</v>
      </c>
      <c r="Y54" s="18">
        <f t="shared" si="101"/>
        <v>59</v>
      </c>
      <c r="Z54" s="18">
        <v>3</v>
      </c>
      <c r="AA54" s="301" t="str">
        <f t="shared" si="102"/>
        <v/>
      </c>
      <c r="AB54" s="301"/>
      <c r="AC54" s="302" t="str">
        <f t="shared" si="1025"/>
        <v/>
      </c>
      <c r="AD54" s="349"/>
      <c r="AE54" s="350" t="s">
        <v>1083</v>
      </c>
      <c r="AF54" s="18">
        <v>22</v>
      </c>
      <c r="AG54" s="19" t="s">
        <v>1255</v>
      </c>
      <c r="AH54" s="18">
        <f t="shared" ref="AH54:AH66" si="1303">AI53+1</f>
        <v>57</v>
      </c>
      <c r="AI54" s="18">
        <f t="shared" si="105"/>
        <v>59</v>
      </c>
      <c r="AJ54" s="18">
        <v>3</v>
      </c>
      <c r="AK54" s="301" t="str">
        <f t="shared" si="106"/>
        <v/>
      </c>
      <c r="AL54" s="301"/>
      <c r="AM54" s="302" t="str">
        <f t="shared" si="1026"/>
        <v/>
      </c>
      <c r="AN54" s="349"/>
      <c r="AO54" s="350" t="s">
        <v>1083</v>
      </c>
      <c r="AP54" s="18">
        <v>22</v>
      </c>
      <c r="AQ54" s="19" t="s">
        <v>1255</v>
      </c>
      <c r="AR54" s="18">
        <f t="shared" ref="AR54:AR66" si="1304">AS53+1</f>
        <v>57</v>
      </c>
      <c r="AS54" s="18">
        <f t="shared" si="109"/>
        <v>59</v>
      </c>
      <c r="AT54" s="18">
        <v>3</v>
      </c>
      <c r="AU54" s="301" t="str">
        <f t="shared" si="110"/>
        <v/>
      </c>
      <c r="AV54" s="301"/>
      <c r="AW54" s="302" t="str">
        <f t="shared" si="1027"/>
        <v/>
      </c>
      <c r="AX54" s="349"/>
      <c r="AY54" s="350" t="s">
        <v>1083</v>
      </c>
      <c r="AZ54" s="18">
        <v>22</v>
      </c>
      <c r="BA54" s="19" t="s">
        <v>1255</v>
      </c>
      <c r="BB54" s="18">
        <f t="shared" ref="BB54:BB66" si="1305">BC53+1</f>
        <v>57</v>
      </c>
      <c r="BC54" s="18">
        <f t="shared" si="113"/>
        <v>59</v>
      </c>
      <c r="BD54" s="18">
        <v>3</v>
      </c>
      <c r="BE54" s="301" t="str">
        <f t="shared" si="114"/>
        <v/>
      </c>
      <c r="BF54" s="301"/>
      <c r="BG54" s="302" t="str">
        <f t="shared" si="1028"/>
        <v/>
      </c>
      <c r="BH54" s="349"/>
      <c r="BI54" s="350" t="s">
        <v>1083</v>
      </c>
      <c r="BJ54" s="18">
        <v>22</v>
      </c>
      <c r="BK54" s="19" t="s">
        <v>1255</v>
      </c>
      <c r="BL54" s="18">
        <f t="shared" ref="BL54:BL66" si="1306">BM53+1</f>
        <v>57</v>
      </c>
      <c r="BM54" s="18">
        <f t="shared" si="117"/>
        <v>59</v>
      </c>
      <c r="BN54" s="18">
        <v>3</v>
      </c>
      <c r="BO54" s="301" t="str">
        <f t="shared" si="118"/>
        <v/>
      </c>
      <c r="BP54" s="301"/>
      <c r="BQ54" s="302" t="str">
        <f t="shared" si="1029"/>
        <v/>
      </c>
      <c r="BR54" s="349"/>
      <c r="BS54" s="350" t="s">
        <v>1083</v>
      </c>
      <c r="BT54" s="18">
        <v>22</v>
      </c>
      <c r="BU54" s="19" t="s">
        <v>1255</v>
      </c>
      <c r="BV54" s="18">
        <f t="shared" ref="BV54:BV66" si="1307">BW53+1</f>
        <v>57</v>
      </c>
      <c r="BW54" s="18">
        <f t="shared" si="121"/>
        <v>59</v>
      </c>
      <c r="BX54" s="18">
        <v>3</v>
      </c>
      <c r="BY54" s="301" t="str">
        <f t="shared" si="122"/>
        <v/>
      </c>
      <c r="BZ54" s="301"/>
      <c r="CA54" s="302" t="str">
        <f t="shared" si="1030"/>
        <v/>
      </c>
      <c r="CB54" s="349"/>
      <c r="CC54" s="350" t="s">
        <v>1083</v>
      </c>
      <c r="CD54" s="18">
        <v>22</v>
      </c>
      <c r="CE54" s="19" t="s">
        <v>1255</v>
      </c>
      <c r="CF54" s="18">
        <f t="shared" ref="CF54:CF66" si="1308">CG53+1</f>
        <v>57</v>
      </c>
      <c r="CG54" s="18">
        <f t="shared" si="125"/>
        <v>59</v>
      </c>
      <c r="CH54" s="18">
        <v>3</v>
      </c>
      <c r="CI54" s="301" t="str">
        <f t="shared" si="126"/>
        <v/>
      </c>
      <c r="CJ54" s="301"/>
      <c r="CK54" s="302" t="str">
        <f t="shared" si="1031"/>
        <v/>
      </c>
      <c r="CL54" s="349"/>
      <c r="CM54" s="350" t="s">
        <v>1083</v>
      </c>
      <c r="CN54" s="18">
        <v>22</v>
      </c>
      <c r="CO54" s="19" t="s">
        <v>1255</v>
      </c>
      <c r="CP54" s="18">
        <f t="shared" ref="CP54:CP66" si="1309">CQ53+1</f>
        <v>57</v>
      </c>
      <c r="CQ54" s="18">
        <f t="shared" si="129"/>
        <v>59</v>
      </c>
      <c r="CR54" s="18">
        <v>3</v>
      </c>
      <c r="CS54" s="301" t="str">
        <f t="shared" si="130"/>
        <v/>
      </c>
      <c r="CT54" s="301"/>
      <c r="CU54" s="302" t="str">
        <f t="shared" si="1032"/>
        <v/>
      </c>
      <c r="CV54" s="349"/>
      <c r="CW54" s="350" t="s">
        <v>1083</v>
      </c>
      <c r="CX54" s="18">
        <v>22</v>
      </c>
      <c r="CY54" s="19" t="s">
        <v>1255</v>
      </c>
      <c r="CZ54" s="18">
        <f t="shared" ref="CZ54:CZ66" si="1310">DA53+1</f>
        <v>57</v>
      </c>
      <c r="DA54" s="18">
        <f t="shared" si="133"/>
        <v>59</v>
      </c>
      <c r="DB54" s="18">
        <v>3</v>
      </c>
      <c r="DC54" s="301" t="str">
        <f t="shared" si="134"/>
        <v/>
      </c>
      <c r="DD54" s="301"/>
      <c r="DE54" s="302" t="str">
        <f t="shared" si="1033"/>
        <v/>
      </c>
      <c r="DF54" s="349"/>
      <c r="DG54" s="350" t="s">
        <v>1083</v>
      </c>
      <c r="DH54" s="18">
        <v>22</v>
      </c>
      <c r="DI54" s="19" t="s">
        <v>1255</v>
      </c>
      <c r="DJ54" s="18">
        <f t="shared" ref="DJ54:DJ66" si="1311">DK53+1</f>
        <v>57</v>
      </c>
      <c r="DK54" s="18">
        <f t="shared" si="137"/>
        <v>59</v>
      </c>
      <c r="DL54" s="18">
        <v>3</v>
      </c>
      <c r="DM54" s="301" t="str">
        <f t="shared" si="138"/>
        <v/>
      </c>
      <c r="DN54" s="301"/>
      <c r="DO54" s="302" t="str">
        <f t="shared" si="1034"/>
        <v/>
      </c>
      <c r="DP54" s="349"/>
      <c r="DQ54" s="350" t="s">
        <v>1083</v>
      </c>
      <c r="DR54" s="18">
        <v>22</v>
      </c>
      <c r="DS54" s="19" t="s">
        <v>1255</v>
      </c>
      <c r="DT54" s="18">
        <f t="shared" ref="DT54:DT66" si="1312">DU53+1</f>
        <v>57</v>
      </c>
      <c r="DU54" s="18">
        <f t="shared" si="141"/>
        <v>59</v>
      </c>
      <c r="DV54" s="18">
        <v>3</v>
      </c>
      <c r="DW54" s="301" t="str">
        <f t="shared" si="142"/>
        <v/>
      </c>
      <c r="DX54" s="301"/>
      <c r="DY54" s="302" t="str">
        <f t="shared" si="1035"/>
        <v/>
      </c>
      <c r="DZ54" s="349"/>
      <c r="EA54" s="350" t="s">
        <v>1083</v>
      </c>
      <c r="EB54" s="18">
        <v>22</v>
      </c>
      <c r="EC54" s="19" t="s">
        <v>1255</v>
      </c>
      <c r="ED54" s="18">
        <f t="shared" ref="ED54:ED66" si="1313">EE53+1</f>
        <v>57</v>
      </c>
      <c r="EE54" s="18">
        <f t="shared" si="145"/>
        <v>59</v>
      </c>
      <c r="EF54" s="18">
        <v>3</v>
      </c>
      <c r="EG54" s="301" t="str">
        <f t="shared" si="146"/>
        <v/>
      </c>
      <c r="EH54" s="301"/>
      <c r="EI54" s="302" t="str">
        <f t="shared" si="1036"/>
        <v/>
      </c>
      <c r="EJ54" s="349"/>
      <c r="EK54" s="350" t="s">
        <v>1083</v>
      </c>
      <c r="EL54" s="18">
        <v>22</v>
      </c>
      <c r="EM54" s="19" t="s">
        <v>1255</v>
      </c>
      <c r="EN54" s="18">
        <f t="shared" ref="EN54:EN66" si="1314">EO53+1</f>
        <v>57</v>
      </c>
      <c r="EO54" s="18">
        <f t="shared" si="149"/>
        <v>59</v>
      </c>
      <c r="EP54" s="18">
        <v>3</v>
      </c>
      <c r="EQ54" s="301" t="str">
        <f t="shared" si="150"/>
        <v/>
      </c>
      <c r="ER54" s="301"/>
      <c r="ES54" s="302" t="str">
        <f t="shared" si="1037"/>
        <v/>
      </c>
      <c r="ET54" s="349"/>
      <c r="EU54" s="350" t="s">
        <v>1083</v>
      </c>
      <c r="EV54" s="18">
        <v>22</v>
      </c>
      <c r="EW54" s="19" t="s">
        <v>1255</v>
      </c>
      <c r="EX54" s="18">
        <f t="shared" ref="EX54:EX66" si="1315">EY53+1</f>
        <v>57</v>
      </c>
      <c r="EY54" s="18">
        <f t="shared" si="153"/>
        <v>59</v>
      </c>
      <c r="EZ54" s="18">
        <v>3</v>
      </c>
      <c r="FA54" s="301" t="str">
        <f t="shared" si="154"/>
        <v/>
      </c>
      <c r="FB54" s="301"/>
      <c r="FC54" s="302" t="str">
        <f t="shared" si="1038"/>
        <v/>
      </c>
      <c r="FD54" s="349"/>
      <c r="FE54" s="350" t="s">
        <v>1083</v>
      </c>
      <c r="FF54" s="18">
        <v>22</v>
      </c>
      <c r="FG54" s="19" t="s">
        <v>1255</v>
      </c>
      <c r="FH54" s="18">
        <f t="shared" ref="FH54:FH66" si="1316">FI53+1</f>
        <v>57</v>
      </c>
      <c r="FI54" s="18">
        <f t="shared" si="157"/>
        <v>59</v>
      </c>
      <c r="FJ54" s="18">
        <v>3</v>
      </c>
      <c r="FK54" s="301" t="str">
        <f t="shared" si="158"/>
        <v/>
      </c>
      <c r="FL54" s="301"/>
      <c r="FM54" s="302" t="str">
        <f t="shared" si="1039"/>
        <v/>
      </c>
      <c r="FN54" s="349"/>
      <c r="FO54" s="350" t="s">
        <v>1083</v>
      </c>
      <c r="FP54" s="18">
        <v>22</v>
      </c>
      <c r="FQ54" s="19" t="s">
        <v>1255</v>
      </c>
      <c r="FR54" s="18">
        <f t="shared" ref="FR54:FR66" si="1317">FS53+1</f>
        <v>57</v>
      </c>
      <c r="FS54" s="18">
        <f t="shared" si="161"/>
        <v>59</v>
      </c>
      <c r="FT54" s="18">
        <v>3</v>
      </c>
      <c r="FU54" s="301" t="str">
        <f t="shared" si="162"/>
        <v/>
      </c>
      <c r="FV54" s="301"/>
      <c r="FW54" s="302" t="str">
        <f t="shared" si="1040"/>
        <v/>
      </c>
      <c r="FX54" s="349"/>
      <c r="FY54" s="350" t="s">
        <v>1083</v>
      </c>
      <c r="FZ54" s="18">
        <v>22</v>
      </c>
      <c r="GA54" s="19" t="s">
        <v>1255</v>
      </c>
      <c r="GB54" s="18">
        <f t="shared" ref="GB54:GB66" si="1318">GC53+1</f>
        <v>57</v>
      </c>
      <c r="GC54" s="18">
        <f t="shared" si="165"/>
        <v>59</v>
      </c>
      <c r="GD54" s="18">
        <v>3</v>
      </c>
      <c r="GE54" s="301" t="str">
        <f t="shared" si="166"/>
        <v/>
      </c>
      <c r="GF54" s="301"/>
      <c r="GG54" s="302" t="str">
        <f t="shared" si="1041"/>
        <v/>
      </c>
      <c r="GH54" s="349"/>
      <c r="GI54" s="350" t="s">
        <v>1083</v>
      </c>
      <c r="GJ54" s="18">
        <v>22</v>
      </c>
      <c r="GK54" s="19" t="s">
        <v>1255</v>
      </c>
      <c r="GL54" s="18">
        <f t="shared" ref="GL54:GL66" si="1319">GM53+1</f>
        <v>57</v>
      </c>
      <c r="GM54" s="18">
        <f t="shared" si="169"/>
        <v>59</v>
      </c>
      <c r="GN54" s="18">
        <v>3</v>
      </c>
      <c r="GO54" s="301" t="str">
        <f t="shared" si="170"/>
        <v/>
      </c>
      <c r="GP54" s="301"/>
      <c r="GQ54" s="302" t="str">
        <f t="shared" si="1042"/>
        <v/>
      </c>
      <c r="GR54" s="349"/>
      <c r="GS54" s="350" t="s">
        <v>1083</v>
      </c>
      <c r="GT54" s="18">
        <v>22</v>
      </c>
      <c r="GU54" s="19" t="s">
        <v>1255</v>
      </c>
      <c r="GV54" s="18">
        <f t="shared" ref="GV54:GV66" si="1320">GW53+1</f>
        <v>57</v>
      </c>
      <c r="GW54" s="18">
        <f t="shared" si="173"/>
        <v>59</v>
      </c>
      <c r="GX54" s="18">
        <v>3</v>
      </c>
      <c r="GY54" s="301" t="str">
        <f t="shared" si="174"/>
        <v/>
      </c>
      <c r="GZ54" s="301"/>
      <c r="HA54" s="302" t="str">
        <f t="shared" si="1043"/>
        <v/>
      </c>
      <c r="HB54" s="349"/>
      <c r="HC54" s="350" t="s">
        <v>1083</v>
      </c>
      <c r="HD54" s="18">
        <v>22</v>
      </c>
      <c r="HE54" s="19" t="s">
        <v>1255</v>
      </c>
      <c r="HF54" s="18">
        <f t="shared" ref="HF54:HF66" si="1321">HG53+1</f>
        <v>57</v>
      </c>
      <c r="HG54" s="18">
        <f t="shared" si="177"/>
        <v>59</v>
      </c>
      <c r="HH54" s="18">
        <v>3</v>
      </c>
      <c r="HI54" s="301" t="str">
        <f t="shared" si="178"/>
        <v/>
      </c>
      <c r="HJ54" s="301"/>
      <c r="HK54" s="302" t="str">
        <f t="shared" si="1044"/>
        <v/>
      </c>
      <c r="HL54" s="349"/>
      <c r="HM54" s="350" t="s">
        <v>1083</v>
      </c>
      <c r="HN54" s="18">
        <v>22</v>
      </c>
      <c r="HO54" s="19" t="s">
        <v>1255</v>
      </c>
      <c r="HP54" s="18">
        <f t="shared" ref="HP54:HP66" si="1322">HQ53+1</f>
        <v>57</v>
      </c>
      <c r="HQ54" s="18">
        <f t="shared" si="181"/>
        <v>59</v>
      </c>
      <c r="HR54" s="18">
        <v>3</v>
      </c>
      <c r="HS54" s="301" t="str">
        <f t="shared" si="182"/>
        <v/>
      </c>
      <c r="HT54" s="301"/>
      <c r="HU54" s="302" t="str">
        <f t="shared" si="1045"/>
        <v/>
      </c>
      <c r="HV54" s="349"/>
      <c r="HW54" s="350" t="s">
        <v>1083</v>
      </c>
      <c r="HX54" s="18">
        <v>22</v>
      </c>
      <c r="HY54" s="19" t="s">
        <v>1255</v>
      </c>
      <c r="HZ54" s="18">
        <f t="shared" ref="HZ54:HZ66" si="1323">IA53+1</f>
        <v>57</v>
      </c>
      <c r="IA54" s="18">
        <f t="shared" si="185"/>
        <v>59</v>
      </c>
      <c r="IB54" s="18">
        <v>3</v>
      </c>
      <c r="IC54" s="301" t="str">
        <f t="shared" si="186"/>
        <v/>
      </c>
      <c r="ID54" s="301"/>
      <c r="IE54" s="302" t="str">
        <f t="shared" si="1046"/>
        <v/>
      </c>
      <c r="IF54" s="349"/>
      <c r="IG54" s="350" t="s">
        <v>1083</v>
      </c>
      <c r="IH54" s="18">
        <v>22</v>
      </c>
      <c r="II54" s="19" t="s">
        <v>1255</v>
      </c>
      <c r="IJ54" s="18">
        <f t="shared" ref="IJ54:IJ66" si="1324">IK53+1</f>
        <v>57</v>
      </c>
      <c r="IK54" s="18">
        <f t="shared" si="189"/>
        <v>59</v>
      </c>
      <c r="IL54" s="18">
        <v>3</v>
      </c>
      <c r="IM54" s="301" t="str">
        <f t="shared" si="190"/>
        <v/>
      </c>
      <c r="IN54" s="301"/>
      <c r="IO54" s="302" t="str">
        <f t="shared" si="1047"/>
        <v/>
      </c>
      <c r="IP54" s="349"/>
      <c r="IQ54" s="350" t="s">
        <v>1083</v>
      </c>
      <c r="IR54" s="18">
        <v>22</v>
      </c>
      <c r="IS54" s="19" t="s">
        <v>1255</v>
      </c>
      <c r="IT54" s="18">
        <f t="shared" ref="IT54:IT66" si="1325">IU53+1</f>
        <v>57</v>
      </c>
      <c r="IU54" s="18">
        <f t="shared" si="193"/>
        <v>59</v>
      </c>
      <c r="IV54" s="18">
        <v>3</v>
      </c>
      <c r="IW54" s="301" t="str">
        <f t="shared" si="194"/>
        <v/>
      </c>
      <c r="IX54" s="301"/>
      <c r="IY54" s="302" t="str">
        <f t="shared" si="1048"/>
        <v/>
      </c>
      <c r="IZ54" s="349"/>
      <c r="JA54" s="350" t="s">
        <v>1083</v>
      </c>
      <c r="JB54" s="18">
        <v>22</v>
      </c>
      <c r="JC54" s="19" t="s">
        <v>1255</v>
      </c>
      <c r="JD54" s="18">
        <f t="shared" ref="JD54:JD66" si="1326">JE53+1</f>
        <v>57</v>
      </c>
      <c r="JE54" s="18">
        <f t="shared" si="197"/>
        <v>59</v>
      </c>
      <c r="JF54" s="18">
        <v>3</v>
      </c>
      <c r="JG54" s="301" t="str">
        <f t="shared" si="198"/>
        <v/>
      </c>
      <c r="JH54" s="301"/>
      <c r="JI54" s="302" t="str">
        <f t="shared" si="1049"/>
        <v/>
      </c>
      <c r="JJ54" s="349"/>
      <c r="JK54" s="350" t="s">
        <v>1083</v>
      </c>
      <c r="JL54" s="18">
        <v>22</v>
      </c>
      <c r="JM54" s="19" t="s">
        <v>1255</v>
      </c>
      <c r="JN54" s="18">
        <f t="shared" ref="JN54:JN66" si="1327">JO53+1</f>
        <v>57</v>
      </c>
      <c r="JO54" s="18">
        <f t="shared" si="201"/>
        <v>59</v>
      </c>
      <c r="JP54" s="18">
        <v>3</v>
      </c>
      <c r="JQ54" s="301" t="str">
        <f t="shared" si="202"/>
        <v/>
      </c>
      <c r="JR54" s="301"/>
      <c r="JS54" s="302" t="str">
        <f t="shared" si="1050"/>
        <v/>
      </c>
      <c r="JT54" s="349"/>
      <c r="JU54" s="350" t="s">
        <v>1083</v>
      </c>
      <c r="JV54" s="18">
        <v>22</v>
      </c>
      <c r="JW54" s="19" t="s">
        <v>1255</v>
      </c>
      <c r="JX54" s="18">
        <f t="shared" ref="JX54:JX66" si="1328">JY53+1</f>
        <v>57</v>
      </c>
      <c r="JY54" s="18">
        <f t="shared" si="205"/>
        <v>59</v>
      </c>
      <c r="JZ54" s="18">
        <v>3</v>
      </c>
      <c r="KA54" s="301" t="str">
        <f t="shared" si="206"/>
        <v/>
      </c>
      <c r="KB54" s="301"/>
      <c r="KC54" s="302" t="str">
        <f t="shared" si="1051"/>
        <v/>
      </c>
      <c r="KD54" s="349"/>
      <c r="KE54" s="350" t="s">
        <v>1083</v>
      </c>
      <c r="KF54" s="18">
        <v>22</v>
      </c>
      <c r="KG54" s="19" t="s">
        <v>1255</v>
      </c>
      <c r="KH54" s="18">
        <f t="shared" ref="KH54:KH66" si="1329">KI53+1</f>
        <v>57</v>
      </c>
      <c r="KI54" s="18">
        <f t="shared" si="209"/>
        <v>59</v>
      </c>
      <c r="KJ54" s="18">
        <v>3</v>
      </c>
      <c r="KK54" s="301" t="str">
        <f t="shared" si="210"/>
        <v/>
      </c>
      <c r="KL54" s="301"/>
      <c r="KM54" s="302" t="str">
        <f t="shared" si="1052"/>
        <v/>
      </c>
      <c r="KN54" s="349"/>
      <c r="KO54" s="350" t="s">
        <v>1083</v>
      </c>
      <c r="KP54" s="18">
        <v>22</v>
      </c>
      <c r="KQ54" s="19" t="s">
        <v>1255</v>
      </c>
      <c r="KR54" s="18">
        <f t="shared" ref="KR54:KR66" si="1330">KS53+1</f>
        <v>57</v>
      </c>
      <c r="KS54" s="18">
        <f t="shared" si="213"/>
        <v>59</v>
      </c>
      <c r="KT54" s="18">
        <v>3</v>
      </c>
      <c r="KU54" s="301" t="str">
        <f t="shared" si="214"/>
        <v/>
      </c>
      <c r="KV54" s="301"/>
      <c r="KW54" s="302" t="str">
        <f t="shared" si="1053"/>
        <v/>
      </c>
      <c r="KX54" s="349"/>
      <c r="KY54" s="350" t="s">
        <v>1083</v>
      </c>
      <c r="KZ54" s="18">
        <v>22</v>
      </c>
      <c r="LA54" s="19" t="s">
        <v>1255</v>
      </c>
      <c r="LB54" s="18">
        <f t="shared" ref="LB54:LB66" si="1331">LC53+1</f>
        <v>57</v>
      </c>
      <c r="LC54" s="18">
        <f t="shared" si="217"/>
        <v>59</v>
      </c>
      <c r="LD54" s="18">
        <v>3</v>
      </c>
      <c r="LE54" s="301" t="str">
        <f t="shared" si="218"/>
        <v/>
      </c>
      <c r="LF54" s="301"/>
      <c r="LG54" s="302" t="str">
        <f t="shared" si="1054"/>
        <v/>
      </c>
      <c r="LH54" s="349"/>
      <c r="LI54" s="350" t="s">
        <v>1083</v>
      </c>
      <c r="LJ54" s="18">
        <v>22</v>
      </c>
      <c r="LK54" s="19" t="s">
        <v>1255</v>
      </c>
      <c r="LL54" s="18">
        <f t="shared" ref="LL54:LL66" si="1332">LM53+1</f>
        <v>57</v>
      </c>
      <c r="LM54" s="18">
        <f t="shared" si="221"/>
        <v>59</v>
      </c>
      <c r="LN54" s="18">
        <v>3</v>
      </c>
      <c r="LO54" s="301" t="str">
        <f t="shared" si="222"/>
        <v/>
      </c>
      <c r="LP54" s="301"/>
      <c r="LQ54" s="302" t="str">
        <f t="shared" si="1055"/>
        <v/>
      </c>
      <c r="LR54" s="349"/>
      <c r="LS54" s="350" t="s">
        <v>1083</v>
      </c>
      <c r="LT54" s="18">
        <v>22</v>
      </c>
      <c r="LU54" s="19" t="s">
        <v>1255</v>
      </c>
      <c r="LV54" s="18">
        <f t="shared" ref="LV54:LV66" si="1333">LW53+1</f>
        <v>57</v>
      </c>
      <c r="LW54" s="18">
        <f t="shared" si="225"/>
        <v>59</v>
      </c>
      <c r="LX54" s="18">
        <v>3</v>
      </c>
      <c r="LY54" s="301" t="str">
        <f t="shared" si="226"/>
        <v/>
      </c>
      <c r="LZ54" s="301"/>
      <c r="MA54" s="302" t="str">
        <f t="shared" si="1056"/>
        <v/>
      </c>
      <c r="MB54" s="349"/>
      <c r="MC54" s="350" t="s">
        <v>1083</v>
      </c>
      <c r="MD54" s="18">
        <v>22</v>
      </c>
      <c r="ME54" s="19" t="s">
        <v>1255</v>
      </c>
      <c r="MF54" s="18">
        <f t="shared" ref="MF54:MF66" si="1334">MG53+1</f>
        <v>57</v>
      </c>
      <c r="MG54" s="18">
        <f t="shared" si="229"/>
        <v>59</v>
      </c>
      <c r="MH54" s="18">
        <v>3</v>
      </c>
      <c r="MI54" s="301" t="str">
        <f t="shared" si="230"/>
        <v/>
      </c>
      <c r="MJ54" s="301"/>
      <c r="MK54" s="302" t="str">
        <f t="shared" si="1057"/>
        <v/>
      </c>
      <c r="ML54" s="349"/>
      <c r="MM54" s="350" t="s">
        <v>1083</v>
      </c>
      <c r="MN54" s="18">
        <v>22</v>
      </c>
      <c r="MO54" s="19" t="s">
        <v>1255</v>
      </c>
      <c r="MP54" s="18">
        <f t="shared" ref="MP54:MP66" si="1335">MQ53+1</f>
        <v>57</v>
      </c>
      <c r="MQ54" s="18">
        <f t="shared" si="233"/>
        <v>59</v>
      </c>
      <c r="MR54" s="18">
        <v>3</v>
      </c>
      <c r="MS54" s="301" t="str">
        <f t="shared" si="234"/>
        <v/>
      </c>
      <c r="MT54" s="301"/>
      <c r="MU54" s="302" t="str">
        <f t="shared" si="1058"/>
        <v/>
      </c>
      <c r="MV54" s="349"/>
      <c r="MW54" s="350" t="s">
        <v>1083</v>
      </c>
      <c r="MX54" s="18">
        <v>22</v>
      </c>
      <c r="MY54" s="19" t="s">
        <v>1255</v>
      </c>
      <c r="MZ54" s="18">
        <f t="shared" ref="MZ54:MZ66" si="1336">NA53+1</f>
        <v>57</v>
      </c>
      <c r="NA54" s="18">
        <f t="shared" si="237"/>
        <v>59</v>
      </c>
      <c r="NB54" s="18">
        <v>3</v>
      </c>
      <c r="NC54" s="301" t="str">
        <f t="shared" si="238"/>
        <v/>
      </c>
      <c r="ND54" s="301"/>
      <c r="NE54" s="302" t="str">
        <f t="shared" si="1059"/>
        <v/>
      </c>
      <c r="NF54" s="349"/>
      <c r="NG54" s="350" t="s">
        <v>1083</v>
      </c>
      <c r="NH54" s="18">
        <v>22</v>
      </c>
      <c r="NI54" s="19" t="s">
        <v>1255</v>
      </c>
      <c r="NJ54" s="18">
        <f t="shared" ref="NJ54:NJ66" si="1337">NK53+1</f>
        <v>57</v>
      </c>
      <c r="NK54" s="18">
        <f t="shared" si="241"/>
        <v>59</v>
      </c>
      <c r="NL54" s="18">
        <v>3</v>
      </c>
      <c r="NM54" s="301" t="str">
        <f t="shared" si="242"/>
        <v/>
      </c>
      <c r="NN54" s="301"/>
      <c r="NO54" s="302" t="str">
        <f t="shared" si="1060"/>
        <v/>
      </c>
      <c r="NP54" s="349"/>
      <c r="NQ54" s="350" t="s">
        <v>1083</v>
      </c>
      <c r="NR54" s="18">
        <v>22</v>
      </c>
      <c r="NS54" s="19" t="s">
        <v>1255</v>
      </c>
      <c r="NT54" s="18">
        <f t="shared" ref="NT54:NT66" si="1338">NU53+1</f>
        <v>57</v>
      </c>
      <c r="NU54" s="18">
        <f t="shared" si="245"/>
        <v>59</v>
      </c>
      <c r="NV54" s="18">
        <v>3</v>
      </c>
      <c r="NW54" s="301" t="str">
        <f t="shared" si="246"/>
        <v/>
      </c>
      <c r="NX54" s="301"/>
      <c r="NY54" s="302" t="str">
        <f t="shared" si="1061"/>
        <v/>
      </c>
      <c r="NZ54" s="349"/>
      <c r="OA54" s="350" t="s">
        <v>1083</v>
      </c>
      <c r="OB54" s="18">
        <v>22</v>
      </c>
      <c r="OC54" s="19" t="s">
        <v>1255</v>
      </c>
      <c r="OD54" s="18">
        <f t="shared" ref="OD54:OD66" si="1339">OE53+1</f>
        <v>57</v>
      </c>
      <c r="OE54" s="18">
        <f t="shared" si="249"/>
        <v>59</v>
      </c>
      <c r="OF54" s="18">
        <v>3</v>
      </c>
      <c r="OG54" s="301" t="str">
        <f t="shared" si="250"/>
        <v/>
      </c>
      <c r="OH54" s="301"/>
      <c r="OI54" s="302" t="str">
        <f t="shared" si="1062"/>
        <v/>
      </c>
      <c r="OJ54" s="349"/>
      <c r="OK54" s="350" t="s">
        <v>1083</v>
      </c>
      <c r="OL54" s="18">
        <v>22</v>
      </c>
      <c r="OM54" s="19" t="s">
        <v>1255</v>
      </c>
      <c r="ON54" s="18">
        <f t="shared" ref="ON54:ON66" si="1340">OO53+1</f>
        <v>57</v>
      </c>
      <c r="OO54" s="18">
        <f t="shared" si="253"/>
        <v>59</v>
      </c>
      <c r="OP54" s="18">
        <v>3</v>
      </c>
      <c r="OQ54" s="301" t="str">
        <f t="shared" si="254"/>
        <v/>
      </c>
      <c r="OR54" s="301"/>
      <c r="OS54" s="302" t="str">
        <f t="shared" si="1063"/>
        <v/>
      </c>
      <c r="OT54" s="349"/>
      <c r="OU54" s="350" t="s">
        <v>1083</v>
      </c>
      <c r="OV54" s="18">
        <v>22</v>
      </c>
      <c r="OW54" s="19" t="s">
        <v>1255</v>
      </c>
      <c r="OX54" s="18">
        <f t="shared" ref="OX54:OX66" si="1341">OY53+1</f>
        <v>57</v>
      </c>
      <c r="OY54" s="18">
        <f t="shared" si="257"/>
        <v>59</v>
      </c>
      <c r="OZ54" s="18">
        <v>3</v>
      </c>
      <c r="PA54" s="301" t="str">
        <f t="shared" si="258"/>
        <v/>
      </c>
      <c r="PB54" s="301"/>
      <c r="PC54" s="302" t="str">
        <f t="shared" si="1064"/>
        <v/>
      </c>
      <c r="PD54" s="349"/>
      <c r="PE54" s="350" t="s">
        <v>1083</v>
      </c>
      <c r="PF54" s="18">
        <v>22</v>
      </c>
      <c r="PG54" s="19" t="s">
        <v>1255</v>
      </c>
      <c r="PH54" s="18">
        <f t="shared" ref="PH54:PH66" si="1342">PI53+1</f>
        <v>57</v>
      </c>
      <c r="PI54" s="18">
        <f t="shared" si="261"/>
        <v>59</v>
      </c>
      <c r="PJ54" s="18">
        <v>3</v>
      </c>
      <c r="PK54" s="301" t="str">
        <f t="shared" si="262"/>
        <v/>
      </c>
      <c r="PL54" s="301"/>
      <c r="PM54" s="302" t="str">
        <f t="shared" si="1065"/>
        <v/>
      </c>
      <c r="PN54" s="349"/>
      <c r="PO54" s="350" t="s">
        <v>1083</v>
      </c>
      <c r="PP54" s="18">
        <v>22</v>
      </c>
      <c r="PQ54" s="19" t="s">
        <v>1255</v>
      </c>
      <c r="PR54" s="18">
        <f t="shared" ref="PR54:PR66" si="1343">PS53+1</f>
        <v>57</v>
      </c>
      <c r="PS54" s="18">
        <f t="shared" si="265"/>
        <v>59</v>
      </c>
      <c r="PT54" s="18">
        <v>3</v>
      </c>
      <c r="PU54" s="301" t="str">
        <f t="shared" si="266"/>
        <v/>
      </c>
      <c r="PV54" s="301"/>
      <c r="PW54" s="302" t="str">
        <f t="shared" si="1066"/>
        <v/>
      </c>
      <c r="PX54" s="349"/>
      <c r="PY54" s="350" t="s">
        <v>1083</v>
      </c>
      <c r="PZ54" s="18">
        <v>22</v>
      </c>
      <c r="QA54" s="19" t="s">
        <v>1255</v>
      </c>
      <c r="QB54" s="18">
        <f t="shared" ref="QB54:QB66" si="1344">QC53+1</f>
        <v>57</v>
      </c>
      <c r="QC54" s="18">
        <f t="shared" si="269"/>
        <v>59</v>
      </c>
      <c r="QD54" s="18">
        <v>3</v>
      </c>
      <c r="QE54" s="301" t="str">
        <f t="shared" si="270"/>
        <v/>
      </c>
      <c r="QF54" s="301"/>
      <c r="QG54" s="302" t="str">
        <f t="shared" si="1067"/>
        <v/>
      </c>
      <c r="QH54" s="349"/>
      <c r="QI54" s="350" t="s">
        <v>1083</v>
      </c>
      <c r="QJ54" s="18">
        <v>22</v>
      </c>
      <c r="QK54" s="19" t="s">
        <v>1255</v>
      </c>
      <c r="QL54" s="18">
        <f t="shared" ref="QL54:QL66" si="1345">QM53+1</f>
        <v>57</v>
      </c>
      <c r="QM54" s="18">
        <f t="shared" si="273"/>
        <v>59</v>
      </c>
      <c r="QN54" s="18">
        <v>3</v>
      </c>
      <c r="QO54" s="301" t="str">
        <f t="shared" si="274"/>
        <v/>
      </c>
      <c r="QP54" s="301"/>
      <c r="QQ54" s="302" t="str">
        <f t="shared" si="1068"/>
        <v/>
      </c>
      <c r="QR54" s="349"/>
      <c r="QS54" s="350" t="s">
        <v>1083</v>
      </c>
      <c r="QT54" s="18">
        <v>22</v>
      </c>
      <c r="QU54" s="19" t="s">
        <v>1255</v>
      </c>
      <c r="QV54" s="18">
        <f t="shared" ref="QV54:QV66" si="1346">QW53+1</f>
        <v>57</v>
      </c>
      <c r="QW54" s="18">
        <f t="shared" si="277"/>
        <v>59</v>
      </c>
      <c r="QX54" s="18">
        <v>3</v>
      </c>
      <c r="QY54" s="301" t="str">
        <f t="shared" si="278"/>
        <v/>
      </c>
      <c r="QZ54" s="301"/>
      <c r="RA54" s="302" t="str">
        <f t="shared" si="1069"/>
        <v/>
      </c>
      <c r="RB54" s="349"/>
      <c r="RC54" s="350" t="s">
        <v>1083</v>
      </c>
      <c r="RD54" s="18">
        <v>22</v>
      </c>
      <c r="RE54" s="19" t="s">
        <v>1255</v>
      </c>
      <c r="RF54" s="18">
        <f t="shared" ref="RF54:RF66" si="1347">RG53+1</f>
        <v>57</v>
      </c>
      <c r="RG54" s="18">
        <f t="shared" si="281"/>
        <v>59</v>
      </c>
      <c r="RH54" s="18">
        <v>3</v>
      </c>
      <c r="RI54" s="301" t="str">
        <f t="shared" si="282"/>
        <v/>
      </c>
      <c r="RJ54" s="301"/>
      <c r="RK54" s="302" t="str">
        <f t="shared" si="1070"/>
        <v/>
      </c>
      <c r="RL54" s="349"/>
      <c r="RM54" s="350" t="s">
        <v>1083</v>
      </c>
      <c r="RN54" s="18">
        <v>22</v>
      </c>
      <c r="RO54" s="19" t="s">
        <v>1255</v>
      </c>
      <c r="RP54" s="18">
        <f t="shared" ref="RP54:RP66" si="1348">RQ53+1</f>
        <v>57</v>
      </c>
      <c r="RQ54" s="18">
        <f t="shared" si="285"/>
        <v>59</v>
      </c>
      <c r="RR54" s="18">
        <v>3</v>
      </c>
      <c r="RS54" s="301" t="str">
        <f t="shared" si="286"/>
        <v/>
      </c>
      <c r="RT54" s="301"/>
      <c r="RU54" s="302" t="str">
        <f t="shared" si="1071"/>
        <v/>
      </c>
      <c r="RV54" s="349"/>
      <c r="RW54" s="350" t="s">
        <v>1083</v>
      </c>
      <c r="RX54" s="18">
        <v>22</v>
      </c>
      <c r="RY54" s="19" t="s">
        <v>1255</v>
      </c>
      <c r="RZ54" s="18">
        <f t="shared" ref="RZ54:RZ66" si="1349">SA53+1</f>
        <v>57</v>
      </c>
      <c r="SA54" s="18">
        <f t="shared" si="289"/>
        <v>59</v>
      </c>
      <c r="SB54" s="18">
        <v>3</v>
      </c>
      <c r="SC54" s="301" t="str">
        <f t="shared" si="290"/>
        <v/>
      </c>
      <c r="SD54" s="301"/>
      <c r="SE54" s="302" t="str">
        <f t="shared" si="1072"/>
        <v/>
      </c>
      <c r="SF54" s="349"/>
      <c r="SG54" s="350" t="s">
        <v>1083</v>
      </c>
      <c r="SH54" s="18">
        <v>22</v>
      </c>
      <c r="SI54" s="19" t="s">
        <v>1255</v>
      </c>
      <c r="SJ54" s="18">
        <f t="shared" ref="SJ54:SJ66" si="1350">SK53+1</f>
        <v>57</v>
      </c>
      <c r="SK54" s="18">
        <f t="shared" si="293"/>
        <v>59</v>
      </c>
      <c r="SL54" s="18">
        <v>3</v>
      </c>
      <c r="SM54" s="301" t="str">
        <f t="shared" si="294"/>
        <v/>
      </c>
      <c r="SN54" s="301"/>
      <c r="SO54" s="302" t="str">
        <f t="shared" si="1073"/>
        <v/>
      </c>
      <c r="SP54" s="349"/>
      <c r="SQ54" s="350" t="s">
        <v>1083</v>
      </c>
      <c r="SR54" s="18">
        <v>22</v>
      </c>
      <c r="SS54" s="19" t="s">
        <v>1255</v>
      </c>
      <c r="ST54" s="18">
        <f t="shared" ref="ST54:ST66" si="1351">SU53+1</f>
        <v>57</v>
      </c>
      <c r="SU54" s="18">
        <f t="shared" si="297"/>
        <v>59</v>
      </c>
      <c r="SV54" s="18">
        <v>3</v>
      </c>
      <c r="SW54" s="301" t="str">
        <f t="shared" si="298"/>
        <v/>
      </c>
      <c r="SX54" s="301"/>
      <c r="SY54" s="302" t="str">
        <f t="shared" si="1074"/>
        <v/>
      </c>
      <c r="SZ54" s="349"/>
      <c r="TA54" s="350" t="s">
        <v>1083</v>
      </c>
      <c r="TB54" s="18">
        <v>22</v>
      </c>
      <c r="TC54" s="19" t="s">
        <v>1255</v>
      </c>
      <c r="TD54" s="18">
        <f t="shared" ref="TD54:TD66" si="1352">TE53+1</f>
        <v>57</v>
      </c>
      <c r="TE54" s="18">
        <f t="shared" si="301"/>
        <v>59</v>
      </c>
      <c r="TF54" s="18">
        <v>3</v>
      </c>
      <c r="TG54" s="301" t="str">
        <f t="shared" si="302"/>
        <v/>
      </c>
      <c r="TH54" s="301"/>
      <c r="TI54" s="302" t="str">
        <f t="shared" si="1075"/>
        <v/>
      </c>
      <c r="TJ54" s="349"/>
      <c r="TK54" s="350" t="s">
        <v>1083</v>
      </c>
      <c r="TL54" s="18">
        <v>22</v>
      </c>
      <c r="TM54" s="19" t="s">
        <v>1255</v>
      </c>
      <c r="TN54" s="18">
        <f t="shared" ref="TN54:TN66" si="1353">TO53+1</f>
        <v>57</v>
      </c>
      <c r="TO54" s="18">
        <f t="shared" si="305"/>
        <v>59</v>
      </c>
      <c r="TP54" s="18">
        <v>3</v>
      </c>
      <c r="TQ54" s="301" t="str">
        <f t="shared" si="306"/>
        <v/>
      </c>
      <c r="TR54" s="301"/>
      <c r="TS54" s="302" t="str">
        <f t="shared" si="1076"/>
        <v/>
      </c>
      <c r="TT54" s="349"/>
      <c r="TU54" s="350" t="s">
        <v>1083</v>
      </c>
      <c r="TV54" s="18">
        <v>22</v>
      </c>
      <c r="TW54" s="19" t="s">
        <v>1255</v>
      </c>
      <c r="TX54" s="18">
        <f t="shared" ref="TX54:TX66" si="1354">TY53+1</f>
        <v>57</v>
      </c>
      <c r="TY54" s="18">
        <f t="shared" si="309"/>
        <v>59</v>
      </c>
      <c r="TZ54" s="18">
        <v>3</v>
      </c>
      <c r="UA54" s="301" t="str">
        <f t="shared" si="310"/>
        <v/>
      </c>
      <c r="UB54" s="301"/>
      <c r="UC54" s="302" t="str">
        <f t="shared" si="1077"/>
        <v/>
      </c>
      <c r="UD54" s="349"/>
      <c r="UE54" s="350" t="s">
        <v>1083</v>
      </c>
      <c r="UF54" s="18">
        <v>22</v>
      </c>
      <c r="UG54" s="19" t="s">
        <v>1255</v>
      </c>
      <c r="UH54" s="18">
        <f t="shared" ref="UH54:UH66" si="1355">UI53+1</f>
        <v>57</v>
      </c>
      <c r="UI54" s="18">
        <f t="shared" si="313"/>
        <v>59</v>
      </c>
      <c r="UJ54" s="18">
        <v>3</v>
      </c>
      <c r="UK54" s="301" t="str">
        <f t="shared" si="314"/>
        <v/>
      </c>
      <c r="UL54" s="301"/>
      <c r="UM54" s="302" t="str">
        <f t="shared" si="1078"/>
        <v/>
      </c>
      <c r="UN54" s="349"/>
      <c r="UO54" s="350" t="s">
        <v>1083</v>
      </c>
      <c r="UP54" s="18">
        <v>22</v>
      </c>
      <c r="UQ54" s="19" t="s">
        <v>1255</v>
      </c>
      <c r="UR54" s="18">
        <f t="shared" ref="UR54:UR66" si="1356">US53+1</f>
        <v>57</v>
      </c>
      <c r="US54" s="18">
        <f t="shared" si="317"/>
        <v>59</v>
      </c>
      <c r="UT54" s="18">
        <v>3</v>
      </c>
      <c r="UU54" s="301" t="str">
        <f t="shared" si="318"/>
        <v/>
      </c>
      <c r="UV54" s="301"/>
      <c r="UW54" s="302" t="str">
        <f t="shared" si="1079"/>
        <v/>
      </c>
      <c r="UX54" s="349"/>
      <c r="UY54" s="350" t="s">
        <v>1083</v>
      </c>
      <c r="UZ54" s="18">
        <v>22</v>
      </c>
      <c r="VA54" s="19" t="s">
        <v>1255</v>
      </c>
      <c r="VB54" s="18">
        <f t="shared" ref="VB54:VB66" si="1357">VC53+1</f>
        <v>57</v>
      </c>
      <c r="VC54" s="18">
        <f t="shared" si="321"/>
        <v>59</v>
      </c>
      <c r="VD54" s="18">
        <v>3</v>
      </c>
      <c r="VE54" s="301" t="str">
        <f t="shared" si="322"/>
        <v/>
      </c>
      <c r="VF54" s="301"/>
      <c r="VG54" s="302" t="str">
        <f t="shared" si="1080"/>
        <v/>
      </c>
      <c r="VH54" s="349"/>
      <c r="VI54" s="350" t="s">
        <v>1083</v>
      </c>
      <c r="VJ54" s="18">
        <v>22</v>
      </c>
      <c r="VK54" s="19" t="s">
        <v>1255</v>
      </c>
      <c r="VL54" s="18">
        <f t="shared" ref="VL54:VL66" si="1358">VM53+1</f>
        <v>57</v>
      </c>
      <c r="VM54" s="18">
        <f t="shared" si="325"/>
        <v>59</v>
      </c>
      <c r="VN54" s="18">
        <v>3</v>
      </c>
      <c r="VO54" s="301" t="str">
        <f t="shared" si="326"/>
        <v/>
      </c>
      <c r="VP54" s="301"/>
      <c r="VQ54" s="302" t="str">
        <f t="shared" si="1081"/>
        <v/>
      </c>
      <c r="VR54" s="349"/>
      <c r="VS54" s="350" t="s">
        <v>1083</v>
      </c>
      <c r="VT54" s="18">
        <v>22</v>
      </c>
      <c r="VU54" s="19" t="s">
        <v>1255</v>
      </c>
      <c r="VV54" s="18">
        <f t="shared" ref="VV54:VV66" si="1359">VW53+1</f>
        <v>57</v>
      </c>
      <c r="VW54" s="18">
        <f t="shared" si="329"/>
        <v>59</v>
      </c>
      <c r="VX54" s="18">
        <v>3</v>
      </c>
      <c r="VY54" s="301" t="str">
        <f t="shared" si="330"/>
        <v/>
      </c>
      <c r="VZ54" s="301"/>
      <c r="WA54" s="302" t="str">
        <f t="shared" si="1082"/>
        <v/>
      </c>
      <c r="WB54" s="349"/>
      <c r="WC54" s="350" t="s">
        <v>1083</v>
      </c>
      <c r="WD54" s="18">
        <v>22</v>
      </c>
      <c r="WE54" s="19" t="s">
        <v>1255</v>
      </c>
      <c r="WF54" s="18">
        <f t="shared" ref="WF54:WF66" si="1360">WG53+1</f>
        <v>57</v>
      </c>
      <c r="WG54" s="18">
        <f t="shared" si="333"/>
        <v>59</v>
      </c>
      <c r="WH54" s="18">
        <v>3</v>
      </c>
      <c r="WI54" s="301" t="str">
        <f t="shared" si="334"/>
        <v/>
      </c>
      <c r="WJ54" s="301"/>
      <c r="WK54" s="302" t="str">
        <f t="shared" si="1083"/>
        <v/>
      </c>
      <c r="WL54" s="349"/>
      <c r="WM54" s="350" t="s">
        <v>1083</v>
      </c>
      <c r="WN54" s="18">
        <v>22</v>
      </c>
      <c r="WO54" s="19" t="s">
        <v>1255</v>
      </c>
      <c r="WP54" s="18">
        <f t="shared" ref="WP54:WP66" si="1361">WQ53+1</f>
        <v>57</v>
      </c>
      <c r="WQ54" s="18">
        <f t="shared" si="337"/>
        <v>59</v>
      </c>
      <c r="WR54" s="18">
        <v>3</v>
      </c>
      <c r="WS54" s="301" t="str">
        <f t="shared" si="338"/>
        <v/>
      </c>
      <c r="WT54" s="301"/>
      <c r="WU54" s="302" t="str">
        <f t="shared" si="1084"/>
        <v/>
      </c>
      <c r="WV54" s="349"/>
      <c r="WW54" s="350" t="s">
        <v>1083</v>
      </c>
      <c r="WX54" s="18">
        <v>22</v>
      </c>
      <c r="WY54" s="19" t="s">
        <v>1255</v>
      </c>
      <c r="WZ54" s="18">
        <f t="shared" ref="WZ54:WZ66" si="1362">XA53+1</f>
        <v>57</v>
      </c>
      <c r="XA54" s="18">
        <f t="shared" si="341"/>
        <v>59</v>
      </c>
      <c r="XB54" s="18">
        <v>3</v>
      </c>
      <c r="XC54" s="301" t="str">
        <f t="shared" si="342"/>
        <v/>
      </c>
      <c r="XD54" s="301"/>
      <c r="XE54" s="302" t="str">
        <f t="shared" si="1085"/>
        <v/>
      </c>
      <c r="XF54" s="349"/>
      <c r="XG54" s="350" t="s">
        <v>1083</v>
      </c>
      <c r="XH54" s="18">
        <v>22</v>
      </c>
      <c r="XI54" s="19" t="s">
        <v>1255</v>
      </c>
      <c r="XJ54" s="18">
        <f t="shared" ref="XJ54:XJ66" si="1363">XK53+1</f>
        <v>57</v>
      </c>
      <c r="XK54" s="18">
        <f t="shared" si="345"/>
        <v>59</v>
      </c>
      <c r="XL54" s="18">
        <v>3</v>
      </c>
      <c r="XM54" s="301" t="str">
        <f t="shared" si="346"/>
        <v/>
      </c>
      <c r="XN54" s="301"/>
      <c r="XO54" s="302" t="str">
        <f t="shared" si="1086"/>
        <v/>
      </c>
      <c r="XP54" s="349"/>
      <c r="XQ54" s="350" t="s">
        <v>1083</v>
      </c>
      <c r="XR54" s="18">
        <v>22</v>
      </c>
      <c r="XS54" s="19" t="s">
        <v>1255</v>
      </c>
      <c r="XT54" s="18">
        <f t="shared" ref="XT54:XT66" si="1364">XU53+1</f>
        <v>57</v>
      </c>
      <c r="XU54" s="18">
        <f t="shared" si="349"/>
        <v>59</v>
      </c>
      <c r="XV54" s="18">
        <v>3</v>
      </c>
      <c r="XW54" s="301" t="str">
        <f t="shared" si="350"/>
        <v/>
      </c>
      <c r="XX54" s="301"/>
      <c r="XY54" s="302" t="str">
        <f t="shared" si="1087"/>
        <v/>
      </c>
      <c r="XZ54" s="349"/>
      <c r="YA54" s="350" t="s">
        <v>1083</v>
      </c>
      <c r="YB54" s="18">
        <v>22</v>
      </c>
      <c r="YC54" s="19" t="s">
        <v>1255</v>
      </c>
      <c r="YD54" s="18">
        <f t="shared" ref="YD54:YD66" si="1365">YE53+1</f>
        <v>57</v>
      </c>
      <c r="YE54" s="18">
        <f t="shared" si="353"/>
        <v>59</v>
      </c>
      <c r="YF54" s="18">
        <v>3</v>
      </c>
      <c r="YG54" s="301" t="str">
        <f t="shared" si="354"/>
        <v/>
      </c>
      <c r="YH54" s="301"/>
      <c r="YI54" s="302" t="str">
        <f t="shared" si="1088"/>
        <v/>
      </c>
      <c r="YJ54" s="349"/>
      <c r="YK54" s="350" t="s">
        <v>1083</v>
      </c>
      <c r="YL54" s="18">
        <v>22</v>
      </c>
      <c r="YM54" s="19" t="s">
        <v>1255</v>
      </c>
      <c r="YN54" s="18">
        <f t="shared" ref="YN54:YN66" si="1366">YO53+1</f>
        <v>57</v>
      </c>
      <c r="YO54" s="18">
        <f t="shared" si="357"/>
        <v>59</v>
      </c>
      <c r="YP54" s="18">
        <v>3</v>
      </c>
      <c r="YQ54" s="301" t="str">
        <f t="shared" si="358"/>
        <v/>
      </c>
      <c r="YR54" s="301"/>
      <c r="YS54" s="302" t="str">
        <f t="shared" si="1089"/>
        <v/>
      </c>
      <c r="YT54" s="349"/>
      <c r="YU54" s="350" t="s">
        <v>1083</v>
      </c>
      <c r="YV54" s="18">
        <v>22</v>
      </c>
      <c r="YW54" s="19" t="s">
        <v>1255</v>
      </c>
      <c r="YX54" s="18">
        <f t="shared" ref="YX54:YX66" si="1367">YY53+1</f>
        <v>57</v>
      </c>
      <c r="YY54" s="18">
        <f t="shared" si="361"/>
        <v>59</v>
      </c>
      <c r="YZ54" s="18">
        <v>3</v>
      </c>
      <c r="ZA54" s="301" t="str">
        <f t="shared" si="362"/>
        <v/>
      </c>
      <c r="ZB54" s="301"/>
      <c r="ZC54" s="302" t="str">
        <f t="shared" si="1090"/>
        <v/>
      </c>
      <c r="ZD54" s="349"/>
      <c r="ZE54" s="350" t="s">
        <v>1083</v>
      </c>
      <c r="ZF54" s="18">
        <v>22</v>
      </c>
      <c r="ZG54" s="19" t="s">
        <v>1255</v>
      </c>
      <c r="ZH54" s="18">
        <f t="shared" ref="ZH54:ZH66" si="1368">ZI53+1</f>
        <v>57</v>
      </c>
      <c r="ZI54" s="18">
        <f t="shared" si="365"/>
        <v>59</v>
      </c>
      <c r="ZJ54" s="18">
        <v>3</v>
      </c>
      <c r="ZK54" s="301" t="str">
        <f t="shared" si="366"/>
        <v/>
      </c>
      <c r="ZL54" s="301"/>
      <c r="ZM54" s="302" t="str">
        <f t="shared" si="1091"/>
        <v/>
      </c>
      <c r="ZN54" s="349"/>
      <c r="ZO54" s="350" t="s">
        <v>1083</v>
      </c>
      <c r="ZP54" s="18">
        <v>22</v>
      </c>
      <c r="ZQ54" s="19" t="s">
        <v>1255</v>
      </c>
      <c r="ZR54" s="18">
        <f t="shared" ref="ZR54:ZR66" si="1369">ZS53+1</f>
        <v>57</v>
      </c>
      <c r="ZS54" s="18">
        <f t="shared" si="369"/>
        <v>59</v>
      </c>
      <c r="ZT54" s="18">
        <v>3</v>
      </c>
      <c r="ZU54" s="301" t="str">
        <f t="shared" si="370"/>
        <v/>
      </c>
      <c r="ZV54" s="301"/>
      <c r="ZW54" s="302" t="str">
        <f t="shared" si="1092"/>
        <v/>
      </c>
      <c r="ZX54" s="349"/>
      <c r="ZY54" s="350" t="s">
        <v>1083</v>
      </c>
      <c r="ZZ54" s="18">
        <v>22</v>
      </c>
      <c r="AAA54" s="19" t="s">
        <v>1255</v>
      </c>
      <c r="AAB54" s="18">
        <f t="shared" ref="AAB54:AAB66" si="1370">AAC53+1</f>
        <v>57</v>
      </c>
      <c r="AAC54" s="18">
        <f t="shared" si="373"/>
        <v>59</v>
      </c>
      <c r="AAD54" s="18">
        <v>3</v>
      </c>
      <c r="AAE54" s="301" t="str">
        <f t="shared" si="374"/>
        <v/>
      </c>
      <c r="AAF54" s="301"/>
      <c r="AAG54" s="302" t="str">
        <f t="shared" si="1093"/>
        <v/>
      </c>
      <c r="AAH54" s="349"/>
      <c r="AAI54" s="350" t="s">
        <v>1083</v>
      </c>
      <c r="AAJ54" s="18">
        <v>22</v>
      </c>
      <c r="AAK54" s="19" t="s">
        <v>1255</v>
      </c>
      <c r="AAL54" s="18">
        <f t="shared" ref="AAL54:AAL66" si="1371">AAM53+1</f>
        <v>57</v>
      </c>
      <c r="AAM54" s="18">
        <f t="shared" si="377"/>
        <v>59</v>
      </c>
      <c r="AAN54" s="18">
        <v>3</v>
      </c>
      <c r="AAO54" s="301" t="str">
        <f t="shared" si="378"/>
        <v/>
      </c>
      <c r="AAP54" s="301"/>
      <c r="AAQ54" s="302" t="str">
        <f t="shared" si="1094"/>
        <v/>
      </c>
      <c r="AAR54" s="349"/>
      <c r="AAS54" s="350" t="s">
        <v>1083</v>
      </c>
      <c r="AAT54" s="18">
        <v>22</v>
      </c>
      <c r="AAU54" s="19" t="s">
        <v>1255</v>
      </c>
      <c r="AAV54" s="18">
        <f t="shared" ref="AAV54:AAV66" si="1372">AAW53+1</f>
        <v>57</v>
      </c>
      <c r="AAW54" s="18">
        <f t="shared" si="381"/>
        <v>59</v>
      </c>
      <c r="AAX54" s="18">
        <v>3</v>
      </c>
      <c r="AAY54" s="301" t="str">
        <f t="shared" si="382"/>
        <v/>
      </c>
      <c r="AAZ54" s="301"/>
      <c r="ABA54" s="302" t="str">
        <f t="shared" si="1095"/>
        <v/>
      </c>
      <c r="ABB54" s="349"/>
      <c r="ABC54" s="350" t="s">
        <v>1083</v>
      </c>
      <c r="ABD54" s="18">
        <v>22</v>
      </c>
      <c r="ABE54" s="19" t="s">
        <v>1255</v>
      </c>
      <c r="ABF54" s="18">
        <f t="shared" ref="ABF54:ABF66" si="1373">ABG53+1</f>
        <v>57</v>
      </c>
      <c r="ABG54" s="18">
        <f t="shared" si="385"/>
        <v>59</v>
      </c>
      <c r="ABH54" s="18">
        <v>3</v>
      </c>
      <c r="ABI54" s="301" t="str">
        <f t="shared" si="386"/>
        <v/>
      </c>
      <c r="ABJ54" s="301"/>
      <c r="ABK54" s="302" t="str">
        <f t="shared" si="1096"/>
        <v/>
      </c>
      <c r="ABL54" s="349"/>
      <c r="ABM54" s="350" t="s">
        <v>1083</v>
      </c>
      <c r="ABN54" s="18">
        <v>22</v>
      </c>
      <c r="ABO54" s="19" t="s">
        <v>1255</v>
      </c>
      <c r="ABP54" s="18">
        <f t="shared" ref="ABP54:ABP66" si="1374">ABQ53+1</f>
        <v>57</v>
      </c>
      <c r="ABQ54" s="18">
        <f t="shared" si="389"/>
        <v>59</v>
      </c>
      <c r="ABR54" s="18">
        <v>3</v>
      </c>
      <c r="ABS54" s="301" t="str">
        <f t="shared" si="390"/>
        <v/>
      </c>
      <c r="ABT54" s="301"/>
      <c r="ABU54" s="302" t="str">
        <f t="shared" si="1097"/>
        <v/>
      </c>
      <c r="ABV54" s="349"/>
      <c r="ABW54" s="350" t="s">
        <v>1083</v>
      </c>
      <c r="ABX54" s="18">
        <v>22</v>
      </c>
      <c r="ABY54" s="19" t="s">
        <v>1255</v>
      </c>
      <c r="ABZ54" s="18">
        <f t="shared" ref="ABZ54:ABZ66" si="1375">ACA53+1</f>
        <v>57</v>
      </c>
      <c r="ACA54" s="18">
        <f t="shared" si="393"/>
        <v>59</v>
      </c>
      <c r="ACB54" s="18">
        <v>3</v>
      </c>
      <c r="ACC54" s="301" t="str">
        <f t="shared" si="394"/>
        <v/>
      </c>
      <c r="ACD54" s="301"/>
      <c r="ACE54" s="302" t="str">
        <f t="shared" si="1098"/>
        <v/>
      </c>
      <c r="ACF54" s="349"/>
      <c r="ACG54" s="350" t="s">
        <v>1083</v>
      </c>
      <c r="ACH54" s="18">
        <v>22</v>
      </c>
      <c r="ACI54" s="19" t="s">
        <v>1255</v>
      </c>
      <c r="ACJ54" s="18">
        <f t="shared" ref="ACJ54:ACJ66" si="1376">ACK53+1</f>
        <v>57</v>
      </c>
      <c r="ACK54" s="18">
        <f t="shared" si="397"/>
        <v>59</v>
      </c>
      <c r="ACL54" s="18">
        <v>3</v>
      </c>
      <c r="ACM54" s="301" t="str">
        <f t="shared" si="398"/>
        <v/>
      </c>
      <c r="ACN54" s="301"/>
      <c r="ACO54" s="302" t="str">
        <f t="shared" si="1099"/>
        <v/>
      </c>
      <c r="ACP54" s="349"/>
      <c r="ACQ54" s="350" t="s">
        <v>1083</v>
      </c>
      <c r="ACR54" s="18">
        <v>22</v>
      </c>
      <c r="ACS54" s="19" t="s">
        <v>1255</v>
      </c>
      <c r="ACT54" s="18">
        <f t="shared" ref="ACT54:ACT66" si="1377">ACU53+1</f>
        <v>57</v>
      </c>
      <c r="ACU54" s="18">
        <f t="shared" si="401"/>
        <v>59</v>
      </c>
      <c r="ACV54" s="18">
        <v>3</v>
      </c>
      <c r="ACW54" s="301" t="str">
        <f t="shared" si="402"/>
        <v/>
      </c>
      <c r="ACX54" s="301"/>
      <c r="ACY54" s="302" t="str">
        <f t="shared" si="1100"/>
        <v/>
      </c>
      <c r="ACZ54" s="349"/>
      <c r="ADA54" s="350" t="s">
        <v>1083</v>
      </c>
      <c r="ADB54" s="18">
        <v>22</v>
      </c>
      <c r="ADC54" s="19" t="s">
        <v>1255</v>
      </c>
      <c r="ADD54" s="18">
        <f t="shared" ref="ADD54:ADD66" si="1378">ADE53+1</f>
        <v>57</v>
      </c>
      <c r="ADE54" s="18">
        <f t="shared" si="405"/>
        <v>59</v>
      </c>
      <c r="ADF54" s="18">
        <v>3</v>
      </c>
      <c r="ADG54" s="301" t="str">
        <f t="shared" si="406"/>
        <v/>
      </c>
      <c r="ADH54" s="301"/>
      <c r="ADI54" s="302" t="str">
        <f t="shared" si="1101"/>
        <v/>
      </c>
      <c r="ADJ54" s="349"/>
      <c r="ADK54" s="350" t="s">
        <v>1083</v>
      </c>
      <c r="ADL54" s="18">
        <v>22</v>
      </c>
      <c r="ADM54" s="19" t="s">
        <v>1255</v>
      </c>
      <c r="ADN54" s="18">
        <f t="shared" ref="ADN54:ADN66" si="1379">ADO53+1</f>
        <v>57</v>
      </c>
      <c r="ADO54" s="18">
        <f t="shared" si="409"/>
        <v>59</v>
      </c>
      <c r="ADP54" s="18">
        <v>3</v>
      </c>
      <c r="ADQ54" s="301" t="str">
        <f t="shared" si="410"/>
        <v/>
      </c>
      <c r="ADR54" s="301"/>
      <c r="ADS54" s="302" t="str">
        <f t="shared" si="1102"/>
        <v/>
      </c>
      <c r="ADT54" s="349"/>
      <c r="ADU54" s="350" t="s">
        <v>1083</v>
      </c>
      <c r="ADV54" s="18">
        <v>22</v>
      </c>
      <c r="ADW54" s="19" t="s">
        <v>1255</v>
      </c>
      <c r="ADX54" s="18">
        <f t="shared" ref="ADX54:ADX66" si="1380">ADY53+1</f>
        <v>57</v>
      </c>
      <c r="ADY54" s="18">
        <f t="shared" si="413"/>
        <v>59</v>
      </c>
      <c r="ADZ54" s="18">
        <v>3</v>
      </c>
      <c r="AEA54" s="301" t="str">
        <f t="shared" si="414"/>
        <v/>
      </c>
      <c r="AEB54" s="301"/>
      <c r="AEC54" s="302" t="str">
        <f t="shared" si="1103"/>
        <v/>
      </c>
      <c r="AED54" s="349"/>
      <c r="AEE54" s="350" t="s">
        <v>1083</v>
      </c>
      <c r="AEF54" s="18">
        <v>22</v>
      </c>
      <c r="AEG54" s="19" t="s">
        <v>1255</v>
      </c>
      <c r="AEH54" s="18">
        <f t="shared" ref="AEH54:AEH66" si="1381">AEI53+1</f>
        <v>57</v>
      </c>
      <c r="AEI54" s="18">
        <f t="shared" si="417"/>
        <v>59</v>
      </c>
      <c r="AEJ54" s="18">
        <v>3</v>
      </c>
      <c r="AEK54" s="301" t="str">
        <f t="shared" si="418"/>
        <v/>
      </c>
      <c r="AEL54" s="301"/>
      <c r="AEM54" s="302" t="str">
        <f t="shared" si="1104"/>
        <v/>
      </c>
      <c r="AEN54" s="349"/>
      <c r="AEO54" s="350" t="s">
        <v>1083</v>
      </c>
      <c r="AEP54" s="18">
        <v>22</v>
      </c>
      <c r="AEQ54" s="19" t="s">
        <v>1255</v>
      </c>
      <c r="AER54" s="18">
        <f t="shared" ref="AER54:AER66" si="1382">AES53+1</f>
        <v>57</v>
      </c>
      <c r="AES54" s="18">
        <f t="shared" si="421"/>
        <v>59</v>
      </c>
      <c r="AET54" s="18">
        <v>3</v>
      </c>
      <c r="AEU54" s="301" t="str">
        <f t="shared" si="422"/>
        <v/>
      </c>
      <c r="AEV54" s="301"/>
      <c r="AEW54" s="302" t="str">
        <f t="shared" si="1105"/>
        <v/>
      </c>
      <c r="AEX54" s="349"/>
      <c r="AEY54" s="350" t="s">
        <v>1083</v>
      </c>
      <c r="AEZ54" s="18">
        <v>22</v>
      </c>
      <c r="AFA54" s="19" t="s">
        <v>1255</v>
      </c>
      <c r="AFB54" s="18">
        <f t="shared" ref="AFB54:AFB66" si="1383">AFC53+1</f>
        <v>57</v>
      </c>
      <c r="AFC54" s="18">
        <f t="shared" si="425"/>
        <v>59</v>
      </c>
      <c r="AFD54" s="18">
        <v>3</v>
      </c>
      <c r="AFE54" s="301" t="str">
        <f t="shared" si="426"/>
        <v/>
      </c>
      <c r="AFF54" s="301"/>
      <c r="AFG54" s="302" t="str">
        <f t="shared" si="1106"/>
        <v/>
      </c>
      <c r="AFH54" s="349"/>
      <c r="AFI54" s="350" t="s">
        <v>1083</v>
      </c>
      <c r="AFJ54" s="18">
        <v>22</v>
      </c>
      <c r="AFK54" s="19" t="s">
        <v>1255</v>
      </c>
      <c r="AFL54" s="18">
        <f t="shared" ref="AFL54:AFL66" si="1384">AFM53+1</f>
        <v>57</v>
      </c>
      <c r="AFM54" s="18">
        <f t="shared" si="429"/>
        <v>59</v>
      </c>
      <c r="AFN54" s="18">
        <v>3</v>
      </c>
      <c r="AFO54" s="301" t="str">
        <f t="shared" si="430"/>
        <v/>
      </c>
      <c r="AFP54" s="301"/>
      <c r="AFQ54" s="302" t="str">
        <f t="shared" si="1107"/>
        <v/>
      </c>
      <c r="AFR54" s="349"/>
      <c r="AFS54" s="350" t="s">
        <v>1083</v>
      </c>
      <c r="AFT54" s="18">
        <v>22</v>
      </c>
      <c r="AFU54" s="19" t="s">
        <v>1255</v>
      </c>
      <c r="AFV54" s="18">
        <f t="shared" ref="AFV54:AFV66" si="1385">AFW53+1</f>
        <v>57</v>
      </c>
      <c r="AFW54" s="18">
        <f t="shared" si="433"/>
        <v>59</v>
      </c>
      <c r="AFX54" s="18">
        <v>3</v>
      </c>
      <c r="AFY54" s="301" t="str">
        <f t="shared" si="434"/>
        <v/>
      </c>
      <c r="AFZ54" s="301"/>
      <c r="AGA54" s="302" t="str">
        <f t="shared" si="1108"/>
        <v/>
      </c>
      <c r="AGB54" s="349"/>
      <c r="AGC54" s="350" t="s">
        <v>1083</v>
      </c>
      <c r="AGD54" s="18">
        <v>22</v>
      </c>
      <c r="AGE54" s="19" t="s">
        <v>1255</v>
      </c>
      <c r="AGF54" s="18">
        <f t="shared" ref="AGF54:AGF66" si="1386">AGG53+1</f>
        <v>57</v>
      </c>
      <c r="AGG54" s="18">
        <f t="shared" si="437"/>
        <v>59</v>
      </c>
      <c r="AGH54" s="18">
        <v>3</v>
      </c>
      <c r="AGI54" s="301" t="str">
        <f t="shared" si="438"/>
        <v/>
      </c>
      <c r="AGJ54" s="301"/>
      <c r="AGK54" s="302" t="str">
        <f t="shared" si="1109"/>
        <v/>
      </c>
      <c r="AGL54" s="349"/>
      <c r="AGM54" s="350" t="s">
        <v>1083</v>
      </c>
      <c r="AGN54" s="18">
        <v>22</v>
      </c>
      <c r="AGO54" s="19" t="s">
        <v>1255</v>
      </c>
      <c r="AGP54" s="18">
        <f t="shared" ref="AGP54:AGP66" si="1387">AGQ53+1</f>
        <v>57</v>
      </c>
      <c r="AGQ54" s="18">
        <f t="shared" si="441"/>
        <v>59</v>
      </c>
      <c r="AGR54" s="18">
        <v>3</v>
      </c>
      <c r="AGS54" s="301" t="str">
        <f t="shared" si="442"/>
        <v/>
      </c>
      <c r="AGT54" s="301"/>
      <c r="AGU54" s="302" t="str">
        <f t="shared" si="1110"/>
        <v/>
      </c>
      <c r="AGV54" s="349"/>
      <c r="AGW54" s="350" t="s">
        <v>1083</v>
      </c>
      <c r="AGX54" s="18">
        <v>22</v>
      </c>
      <c r="AGY54" s="19" t="s">
        <v>1255</v>
      </c>
      <c r="AGZ54" s="18">
        <f t="shared" ref="AGZ54:AGZ66" si="1388">AHA53+1</f>
        <v>57</v>
      </c>
      <c r="AHA54" s="18">
        <f t="shared" si="445"/>
        <v>59</v>
      </c>
      <c r="AHB54" s="18">
        <v>3</v>
      </c>
      <c r="AHC54" s="301" t="str">
        <f t="shared" si="446"/>
        <v/>
      </c>
      <c r="AHD54" s="301"/>
      <c r="AHE54" s="302" t="str">
        <f t="shared" si="1111"/>
        <v/>
      </c>
      <c r="AHF54" s="349"/>
      <c r="AHG54" s="350" t="s">
        <v>1083</v>
      </c>
      <c r="AHH54" s="18">
        <v>22</v>
      </c>
      <c r="AHI54" s="19" t="s">
        <v>1255</v>
      </c>
      <c r="AHJ54" s="18">
        <f t="shared" ref="AHJ54:AHJ66" si="1389">AHK53+1</f>
        <v>57</v>
      </c>
      <c r="AHK54" s="18">
        <f t="shared" si="449"/>
        <v>59</v>
      </c>
      <c r="AHL54" s="18">
        <v>3</v>
      </c>
      <c r="AHM54" s="301" t="str">
        <f t="shared" si="450"/>
        <v/>
      </c>
      <c r="AHN54" s="301"/>
      <c r="AHO54" s="302" t="str">
        <f t="shared" si="1112"/>
        <v/>
      </c>
      <c r="AHP54" s="349"/>
      <c r="AHQ54" s="350" t="s">
        <v>1083</v>
      </c>
      <c r="AHR54" s="18">
        <v>22</v>
      </c>
      <c r="AHS54" s="19" t="s">
        <v>1255</v>
      </c>
      <c r="AHT54" s="18">
        <f t="shared" ref="AHT54:AHT66" si="1390">AHU53+1</f>
        <v>57</v>
      </c>
      <c r="AHU54" s="18">
        <f t="shared" si="453"/>
        <v>59</v>
      </c>
      <c r="AHV54" s="18">
        <v>3</v>
      </c>
      <c r="AHW54" s="301" t="str">
        <f t="shared" si="454"/>
        <v/>
      </c>
      <c r="AHX54" s="301"/>
      <c r="AHY54" s="302" t="str">
        <f t="shared" si="1113"/>
        <v/>
      </c>
      <c r="AHZ54" s="349"/>
      <c r="AIA54" s="350" t="s">
        <v>1083</v>
      </c>
      <c r="AIB54" s="18">
        <v>22</v>
      </c>
      <c r="AIC54" s="19" t="s">
        <v>1255</v>
      </c>
      <c r="AID54" s="18">
        <f t="shared" ref="AID54:AID66" si="1391">AIE53+1</f>
        <v>57</v>
      </c>
      <c r="AIE54" s="18">
        <f t="shared" si="457"/>
        <v>59</v>
      </c>
      <c r="AIF54" s="18">
        <v>3</v>
      </c>
      <c r="AIG54" s="301" t="str">
        <f t="shared" si="458"/>
        <v/>
      </c>
      <c r="AIH54" s="301"/>
      <c r="AII54" s="302" t="str">
        <f t="shared" si="1114"/>
        <v/>
      </c>
      <c r="AIJ54" s="349"/>
      <c r="AIK54" s="350" t="s">
        <v>1083</v>
      </c>
      <c r="AIL54" s="18">
        <v>22</v>
      </c>
      <c r="AIM54" s="19" t="s">
        <v>1255</v>
      </c>
      <c r="AIN54" s="18">
        <f t="shared" ref="AIN54:AIN66" si="1392">AIO53+1</f>
        <v>57</v>
      </c>
      <c r="AIO54" s="18">
        <f t="shared" si="461"/>
        <v>59</v>
      </c>
      <c r="AIP54" s="18">
        <v>3</v>
      </c>
      <c r="AIQ54" s="301" t="str">
        <f t="shared" si="462"/>
        <v/>
      </c>
      <c r="AIR54" s="301"/>
      <c r="AIS54" s="302" t="str">
        <f t="shared" si="1115"/>
        <v/>
      </c>
      <c r="AIT54" s="349"/>
      <c r="AIU54" s="350" t="s">
        <v>1083</v>
      </c>
      <c r="AIV54" s="18">
        <v>22</v>
      </c>
      <c r="AIW54" s="19" t="s">
        <v>1255</v>
      </c>
      <c r="AIX54" s="18">
        <f t="shared" ref="AIX54:AIX66" si="1393">AIY53+1</f>
        <v>57</v>
      </c>
      <c r="AIY54" s="18">
        <f t="shared" si="465"/>
        <v>59</v>
      </c>
      <c r="AIZ54" s="18">
        <v>3</v>
      </c>
      <c r="AJA54" s="301" t="str">
        <f t="shared" si="466"/>
        <v/>
      </c>
      <c r="AJB54" s="301"/>
      <c r="AJC54" s="302" t="str">
        <f t="shared" si="1116"/>
        <v/>
      </c>
      <c r="AJD54" s="349"/>
    </row>
    <row r="55" spans="1:940">
      <c r="A55" s="367"/>
      <c r="B55" s="18">
        <v>24</v>
      </c>
      <c r="C55" s="19" t="s">
        <v>1256</v>
      </c>
      <c r="D55" s="18">
        <f t="shared" si="561"/>
        <v>60</v>
      </c>
      <c r="E55" s="18">
        <f t="shared" si="1117"/>
        <v>61</v>
      </c>
      <c r="F55" s="18">
        <v>2</v>
      </c>
      <c r="G55" s="301" t="str">
        <f t="shared" si="468"/>
        <v/>
      </c>
      <c r="H55" s="301"/>
      <c r="I55" s="302">
        <f>IF(HEX2DEC(SUBSTITUTE(MID(G55,1,6)," ",""))&gt;32768,CONCATENATE(HEX2DEC(CONCATENATE("FFFFFF",SUBSTITUTE(MID(G55,1,6)," ","")))),HEX2DEC(SUBSTITUTE(MID(G55,1,6)," ","")))</f>
        <v>0</v>
      </c>
      <c r="J55" s="305"/>
      <c r="K55" s="350"/>
      <c r="L55" s="18">
        <v>23</v>
      </c>
      <c r="M55" s="19" t="s">
        <v>1256</v>
      </c>
      <c r="N55" s="18">
        <f t="shared" si="562"/>
        <v>60</v>
      </c>
      <c r="O55" s="18">
        <f t="shared" si="97"/>
        <v>61</v>
      </c>
      <c r="P55" s="18">
        <v>2</v>
      </c>
      <c r="Q55" s="301" t="str">
        <f t="shared" si="98"/>
        <v/>
      </c>
      <c r="R55" s="301"/>
      <c r="S55" s="302">
        <f>IF(HEX2DEC(SUBSTITUTE(MID(Q55,1,6)," ",""))&gt;32768,CONCATENATE(HEX2DEC(CONCATENATE("FFFFFF",SUBSTITUTE(MID(Q55,1,6)," ","")))),HEX2DEC(SUBSTITUTE(MID(Q55,1,6)," ","")))</f>
        <v>0</v>
      </c>
      <c r="T55" s="349"/>
      <c r="U55" s="350"/>
      <c r="V55" s="18">
        <v>23</v>
      </c>
      <c r="W55" s="19" t="s">
        <v>1256</v>
      </c>
      <c r="X55" s="18">
        <f t="shared" si="1302"/>
        <v>60</v>
      </c>
      <c r="Y55" s="18">
        <f t="shared" si="101"/>
        <v>61</v>
      </c>
      <c r="Z55" s="18">
        <v>2</v>
      </c>
      <c r="AA55" s="301" t="str">
        <f t="shared" si="102"/>
        <v/>
      </c>
      <c r="AB55" s="301"/>
      <c r="AC55" s="302">
        <f t="shared" ref="AC55" si="1394">IF(HEX2DEC(SUBSTITUTE(MID(AA55,1,6)," ",""))&gt;32768,CONCATENATE(HEX2DEC(CONCATENATE("FFFFFF",SUBSTITUTE(MID(AA55,1,6)," ","")))),HEX2DEC(SUBSTITUTE(MID(AA55,1,6)," ","")))</f>
        <v>0</v>
      </c>
      <c r="AD55" s="349"/>
      <c r="AE55" s="350"/>
      <c r="AF55" s="18">
        <v>23</v>
      </c>
      <c r="AG55" s="19" t="s">
        <v>1256</v>
      </c>
      <c r="AH55" s="18">
        <f t="shared" si="1303"/>
        <v>60</v>
      </c>
      <c r="AI55" s="18">
        <f t="shared" si="105"/>
        <v>61</v>
      </c>
      <c r="AJ55" s="18">
        <v>2</v>
      </c>
      <c r="AK55" s="301" t="str">
        <f t="shared" si="106"/>
        <v/>
      </c>
      <c r="AL55" s="301"/>
      <c r="AM55" s="302">
        <f t="shared" ref="AM55" si="1395">IF(HEX2DEC(SUBSTITUTE(MID(AK55,1,6)," ",""))&gt;32768,CONCATENATE(HEX2DEC(CONCATENATE("FFFFFF",SUBSTITUTE(MID(AK55,1,6)," ","")))),HEX2DEC(SUBSTITUTE(MID(AK55,1,6)," ","")))</f>
        <v>0</v>
      </c>
      <c r="AN55" s="349"/>
      <c r="AO55" s="350"/>
      <c r="AP55" s="18">
        <v>23</v>
      </c>
      <c r="AQ55" s="19" t="s">
        <v>1256</v>
      </c>
      <c r="AR55" s="18">
        <f t="shared" si="1304"/>
        <v>60</v>
      </c>
      <c r="AS55" s="18">
        <f t="shared" si="109"/>
        <v>61</v>
      </c>
      <c r="AT55" s="18">
        <v>2</v>
      </c>
      <c r="AU55" s="301" t="str">
        <f t="shared" si="110"/>
        <v/>
      </c>
      <c r="AV55" s="301"/>
      <c r="AW55" s="302">
        <f t="shared" ref="AW55" si="1396">IF(HEX2DEC(SUBSTITUTE(MID(AU55,1,6)," ",""))&gt;32768,CONCATENATE(HEX2DEC(CONCATENATE("FFFFFF",SUBSTITUTE(MID(AU55,1,6)," ","")))),HEX2DEC(SUBSTITUTE(MID(AU55,1,6)," ","")))</f>
        <v>0</v>
      </c>
      <c r="AX55" s="349"/>
      <c r="AY55" s="350"/>
      <c r="AZ55" s="18">
        <v>23</v>
      </c>
      <c r="BA55" s="19" t="s">
        <v>1256</v>
      </c>
      <c r="BB55" s="18">
        <f t="shared" si="1305"/>
        <v>60</v>
      </c>
      <c r="BC55" s="18">
        <f t="shared" si="113"/>
        <v>61</v>
      </c>
      <c r="BD55" s="18">
        <v>2</v>
      </c>
      <c r="BE55" s="301" t="str">
        <f t="shared" si="114"/>
        <v/>
      </c>
      <c r="BF55" s="301"/>
      <c r="BG55" s="302">
        <f t="shared" ref="BG55" si="1397">IF(HEX2DEC(SUBSTITUTE(MID(BE55,1,6)," ",""))&gt;32768,CONCATENATE(HEX2DEC(CONCATENATE("FFFFFF",SUBSTITUTE(MID(BE55,1,6)," ","")))),HEX2DEC(SUBSTITUTE(MID(BE55,1,6)," ","")))</f>
        <v>0</v>
      </c>
      <c r="BH55" s="349"/>
      <c r="BI55" s="350"/>
      <c r="BJ55" s="18">
        <v>23</v>
      </c>
      <c r="BK55" s="19" t="s">
        <v>1256</v>
      </c>
      <c r="BL55" s="18">
        <f t="shared" si="1306"/>
        <v>60</v>
      </c>
      <c r="BM55" s="18">
        <f t="shared" si="117"/>
        <v>61</v>
      </c>
      <c r="BN55" s="18">
        <v>2</v>
      </c>
      <c r="BO55" s="301" t="str">
        <f t="shared" si="118"/>
        <v/>
      </c>
      <c r="BP55" s="301"/>
      <c r="BQ55" s="302">
        <f t="shared" ref="BQ55" si="1398">IF(HEX2DEC(SUBSTITUTE(MID(BO55,1,6)," ",""))&gt;32768,CONCATENATE(HEX2DEC(CONCATENATE("FFFFFF",SUBSTITUTE(MID(BO55,1,6)," ","")))),HEX2DEC(SUBSTITUTE(MID(BO55,1,6)," ","")))</f>
        <v>0</v>
      </c>
      <c r="BR55" s="349"/>
      <c r="BS55" s="350"/>
      <c r="BT55" s="18">
        <v>23</v>
      </c>
      <c r="BU55" s="19" t="s">
        <v>1256</v>
      </c>
      <c r="BV55" s="18">
        <f t="shared" si="1307"/>
        <v>60</v>
      </c>
      <c r="BW55" s="18">
        <f t="shared" si="121"/>
        <v>61</v>
      </c>
      <c r="BX55" s="18">
        <v>2</v>
      </c>
      <c r="BY55" s="301" t="str">
        <f t="shared" si="122"/>
        <v/>
      </c>
      <c r="BZ55" s="301"/>
      <c r="CA55" s="302">
        <f t="shared" ref="CA55" si="1399">IF(HEX2DEC(SUBSTITUTE(MID(BY55,1,6)," ",""))&gt;32768,CONCATENATE(HEX2DEC(CONCATENATE("FFFFFF",SUBSTITUTE(MID(BY55,1,6)," ","")))),HEX2DEC(SUBSTITUTE(MID(BY55,1,6)," ","")))</f>
        <v>0</v>
      </c>
      <c r="CB55" s="349"/>
      <c r="CC55" s="350"/>
      <c r="CD55" s="18">
        <v>23</v>
      </c>
      <c r="CE55" s="19" t="s">
        <v>1256</v>
      </c>
      <c r="CF55" s="18">
        <f t="shared" si="1308"/>
        <v>60</v>
      </c>
      <c r="CG55" s="18">
        <f t="shared" si="125"/>
        <v>61</v>
      </c>
      <c r="CH55" s="18">
        <v>2</v>
      </c>
      <c r="CI55" s="301" t="str">
        <f t="shared" si="126"/>
        <v/>
      </c>
      <c r="CJ55" s="301"/>
      <c r="CK55" s="302">
        <f t="shared" ref="CK55" si="1400">IF(HEX2DEC(SUBSTITUTE(MID(CI55,1,6)," ",""))&gt;32768,CONCATENATE(HEX2DEC(CONCATENATE("FFFFFF",SUBSTITUTE(MID(CI55,1,6)," ","")))),HEX2DEC(SUBSTITUTE(MID(CI55,1,6)," ","")))</f>
        <v>0</v>
      </c>
      <c r="CL55" s="349"/>
      <c r="CM55" s="350"/>
      <c r="CN55" s="18">
        <v>23</v>
      </c>
      <c r="CO55" s="19" t="s">
        <v>1256</v>
      </c>
      <c r="CP55" s="18">
        <f t="shared" si="1309"/>
        <v>60</v>
      </c>
      <c r="CQ55" s="18">
        <f t="shared" si="129"/>
        <v>61</v>
      </c>
      <c r="CR55" s="18">
        <v>2</v>
      </c>
      <c r="CS55" s="301" t="str">
        <f t="shared" si="130"/>
        <v/>
      </c>
      <c r="CT55" s="301"/>
      <c r="CU55" s="302">
        <f t="shared" ref="CU55" si="1401">IF(HEX2DEC(SUBSTITUTE(MID(CS55,1,6)," ",""))&gt;32768,CONCATENATE(HEX2DEC(CONCATENATE("FFFFFF",SUBSTITUTE(MID(CS55,1,6)," ","")))),HEX2DEC(SUBSTITUTE(MID(CS55,1,6)," ","")))</f>
        <v>0</v>
      </c>
      <c r="CV55" s="349"/>
      <c r="CW55" s="350"/>
      <c r="CX55" s="18">
        <v>23</v>
      </c>
      <c r="CY55" s="19" t="s">
        <v>1256</v>
      </c>
      <c r="CZ55" s="18">
        <f t="shared" si="1310"/>
        <v>60</v>
      </c>
      <c r="DA55" s="18">
        <f t="shared" si="133"/>
        <v>61</v>
      </c>
      <c r="DB55" s="18">
        <v>2</v>
      </c>
      <c r="DC55" s="301" t="str">
        <f t="shared" si="134"/>
        <v/>
      </c>
      <c r="DD55" s="301"/>
      <c r="DE55" s="302">
        <f t="shared" ref="DE55" si="1402">IF(HEX2DEC(SUBSTITUTE(MID(DC55,1,6)," ",""))&gt;32768,CONCATENATE(HEX2DEC(CONCATENATE("FFFFFF",SUBSTITUTE(MID(DC55,1,6)," ","")))),HEX2DEC(SUBSTITUTE(MID(DC55,1,6)," ","")))</f>
        <v>0</v>
      </c>
      <c r="DF55" s="349"/>
      <c r="DG55" s="350"/>
      <c r="DH55" s="18">
        <v>23</v>
      </c>
      <c r="DI55" s="19" t="s">
        <v>1256</v>
      </c>
      <c r="DJ55" s="18">
        <f t="shared" si="1311"/>
        <v>60</v>
      </c>
      <c r="DK55" s="18">
        <f t="shared" si="137"/>
        <v>61</v>
      </c>
      <c r="DL55" s="18">
        <v>2</v>
      </c>
      <c r="DM55" s="301" t="str">
        <f t="shared" si="138"/>
        <v/>
      </c>
      <c r="DN55" s="301"/>
      <c r="DO55" s="302">
        <f t="shared" ref="DO55" si="1403">IF(HEX2DEC(SUBSTITUTE(MID(DM55,1,6)," ",""))&gt;32768,CONCATENATE(HEX2DEC(CONCATENATE("FFFFFF",SUBSTITUTE(MID(DM55,1,6)," ","")))),HEX2DEC(SUBSTITUTE(MID(DM55,1,6)," ","")))</f>
        <v>0</v>
      </c>
      <c r="DP55" s="349"/>
      <c r="DQ55" s="350"/>
      <c r="DR55" s="18">
        <v>23</v>
      </c>
      <c r="DS55" s="19" t="s">
        <v>1256</v>
      </c>
      <c r="DT55" s="18">
        <f t="shared" si="1312"/>
        <v>60</v>
      </c>
      <c r="DU55" s="18">
        <f t="shared" si="141"/>
        <v>61</v>
      </c>
      <c r="DV55" s="18">
        <v>2</v>
      </c>
      <c r="DW55" s="301" t="str">
        <f t="shared" si="142"/>
        <v/>
      </c>
      <c r="DX55" s="301"/>
      <c r="DY55" s="302">
        <f t="shared" ref="DY55" si="1404">IF(HEX2DEC(SUBSTITUTE(MID(DW55,1,6)," ",""))&gt;32768,CONCATENATE(HEX2DEC(CONCATENATE("FFFFFF",SUBSTITUTE(MID(DW55,1,6)," ","")))),HEX2DEC(SUBSTITUTE(MID(DW55,1,6)," ","")))</f>
        <v>0</v>
      </c>
      <c r="DZ55" s="349"/>
      <c r="EA55" s="350"/>
      <c r="EB55" s="18">
        <v>23</v>
      </c>
      <c r="EC55" s="19" t="s">
        <v>1256</v>
      </c>
      <c r="ED55" s="18">
        <f t="shared" si="1313"/>
        <v>60</v>
      </c>
      <c r="EE55" s="18">
        <f t="shared" si="145"/>
        <v>61</v>
      </c>
      <c r="EF55" s="18">
        <v>2</v>
      </c>
      <c r="EG55" s="301" t="str">
        <f t="shared" si="146"/>
        <v/>
      </c>
      <c r="EH55" s="301"/>
      <c r="EI55" s="302">
        <f t="shared" ref="EI55" si="1405">IF(HEX2DEC(SUBSTITUTE(MID(EG55,1,6)," ",""))&gt;32768,CONCATENATE(HEX2DEC(CONCATENATE("FFFFFF",SUBSTITUTE(MID(EG55,1,6)," ","")))),HEX2DEC(SUBSTITUTE(MID(EG55,1,6)," ","")))</f>
        <v>0</v>
      </c>
      <c r="EJ55" s="349"/>
      <c r="EK55" s="350"/>
      <c r="EL55" s="18">
        <v>23</v>
      </c>
      <c r="EM55" s="19" t="s">
        <v>1256</v>
      </c>
      <c r="EN55" s="18">
        <f t="shared" si="1314"/>
        <v>60</v>
      </c>
      <c r="EO55" s="18">
        <f t="shared" si="149"/>
        <v>61</v>
      </c>
      <c r="EP55" s="18">
        <v>2</v>
      </c>
      <c r="EQ55" s="301" t="str">
        <f t="shared" si="150"/>
        <v/>
      </c>
      <c r="ER55" s="301"/>
      <c r="ES55" s="302">
        <f t="shared" ref="ES55" si="1406">IF(HEX2DEC(SUBSTITUTE(MID(EQ55,1,6)," ",""))&gt;32768,CONCATENATE(HEX2DEC(CONCATENATE("FFFFFF",SUBSTITUTE(MID(EQ55,1,6)," ","")))),HEX2DEC(SUBSTITUTE(MID(EQ55,1,6)," ","")))</f>
        <v>0</v>
      </c>
      <c r="ET55" s="349"/>
      <c r="EU55" s="350"/>
      <c r="EV55" s="18">
        <v>23</v>
      </c>
      <c r="EW55" s="19" t="s">
        <v>1256</v>
      </c>
      <c r="EX55" s="18">
        <f t="shared" si="1315"/>
        <v>60</v>
      </c>
      <c r="EY55" s="18">
        <f t="shared" si="153"/>
        <v>61</v>
      </c>
      <c r="EZ55" s="18">
        <v>2</v>
      </c>
      <c r="FA55" s="301" t="str">
        <f t="shared" si="154"/>
        <v/>
      </c>
      <c r="FB55" s="301"/>
      <c r="FC55" s="302">
        <f t="shared" ref="FC55" si="1407">IF(HEX2DEC(SUBSTITUTE(MID(FA55,1,6)," ",""))&gt;32768,CONCATENATE(HEX2DEC(CONCATENATE("FFFFFF",SUBSTITUTE(MID(FA55,1,6)," ","")))),HEX2DEC(SUBSTITUTE(MID(FA55,1,6)," ","")))</f>
        <v>0</v>
      </c>
      <c r="FD55" s="349"/>
      <c r="FE55" s="350"/>
      <c r="FF55" s="18">
        <v>23</v>
      </c>
      <c r="FG55" s="19" t="s">
        <v>1256</v>
      </c>
      <c r="FH55" s="18">
        <f t="shared" si="1316"/>
        <v>60</v>
      </c>
      <c r="FI55" s="18">
        <f t="shared" si="157"/>
        <v>61</v>
      </c>
      <c r="FJ55" s="18">
        <v>2</v>
      </c>
      <c r="FK55" s="301" t="str">
        <f t="shared" si="158"/>
        <v/>
      </c>
      <c r="FL55" s="301"/>
      <c r="FM55" s="302">
        <f t="shared" ref="FM55" si="1408">IF(HEX2DEC(SUBSTITUTE(MID(FK55,1,6)," ",""))&gt;32768,CONCATENATE(HEX2DEC(CONCATENATE("FFFFFF",SUBSTITUTE(MID(FK55,1,6)," ","")))),HEX2DEC(SUBSTITUTE(MID(FK55,1,6)," ","")))</f>
        <v>0</v>
      </c>
      <c r="FN55" s="349"/>
      <c r="FO55" s="350"/>
      <c r="FP55" s="18">
        <v>23</v>
      </c>
      <c r="FQ55" s="19" t="s">
        <v>1256</v>
      </c>
      <c r="FR55" s="18">
        <f t="shared" si="1317"/>
        <v>60</v>
      </c>
      <c r="FS55" s="18">
        <f t="shared" si="161"/>
        <v>61</v>
      </c>
      <c r="FT55" s="18">
        <v>2</v>
      </c>
      <c r="FU55" s="301" t="str">
        <f t="shared" si="162"/>
        <v/>
      </c>
      <c r="FV55" s="301"/>
      <c r="FW55" s="302">
        <f t="shared" ref="FW55" si="1409">IF(HEX2DEC(SUBSTITUTE(MID(FU55,1,6)," ",""))&gt;32768,CONCATENATE(HEX2DEC(CONCATENATE("FFFFFF",SUBSTITUTE(MID(FU55,1,6)," ","")))),HEX2DEC(SUBSTITUTE(MID(FU55,1,6)," ","")))</f>
        <v>0</v>
      </c>
      <c r="FX55" s="349"/>
      <c r="FY55" s="350"/>
      <c r="FZ55" s="18">
        <v>23</v>
      </c>
      <c r="GA55" s="19" t="s">
        <v>1256</v>
      </c>
      <c r="GB55" s="18">
        <f t="shared" si="1318"/>
        <v>60</v>
      </c>
      <c r="GC55" s="18">
        <f t="shared" si="165"/>
        <v>61</v>
      </c>
      <c r="GD55" s="18">
        <v>2</v>
      </c>
      <c r="GE55" s="301" t="str">
        <f t="shared" si="166"/>
        <v/>
      </c>
      <c r="GF55" s="301"/>
      <c r="GG55" s="302">
        <f t="shared" ref="GG55" si="1410">IF(HEX2DEC(SUBSTITUTE(MID(GE55,1,6)," ",""))&gt;32768,CONCATENATE(HEX2DEC(CONCATENATE("FFFFFF",SUBSTITUTE(MID(GE55,1,6)," ","")))),HEX2DEC(SUBSTITUTE(MID(GE55,1,6)," ","")))</f>
        <v>0</v>
      </c>
      <c r="GH55" s="349"/>
      <c r="GI55" s="350"/>
      <c r="GJ55" s="18">
        <v>23</v>
      </c>
      <c r="GK55" s="19" t="s">
        <v>1256</v>
      </c>
      <c r="GL55" s="18">
        <f t="shared" si="1319"/>
        <v>60</v>
      </c>
      <c r="GM55" s="18">
        <f t="shared" si="169"/>
        <v>61</v>
      </c>
      <c r="GN55" s="18">
        <v>2</v>
      </c>
      <c r="GO55" s="301" t="str">
        <f t="shared" si="170"/>
        <v/>
      </c>
      <c r="GP55" s="301"/>
      <c r="GQ55" s="302">
        <f t="shared" ref="GQ55" si="1411">IF(HEX2DEC(SUBSTITUTE(MID(GO55,1,6)," ",""))&gt;32768,CONCATENATE(HEX2DEC(CONCATENATE("FFFFFF",SUBSTITUTE(MID(GO55,1,6)," ","")))),HEX2DEC(SUBSTITUTE(MID(GO55,1,6)," ","")))</f>
        <v>0</v>
      </c>
      <c r="GR55" s="349"/>
      <c r="GS55" s="350"/>
      <c r="GT55" s="18">
        <v>23</v>
      </c>
      <c r="GU55" s="19" t="s">
        <v>1256</v>
      </c>
      <c r="GV55" s="18">
        <f t="shared" si="1320"/>
        <v>60</v>
      </c>
      <c r="GW55" s="18">
        <f t="shared" si="173"/>
        <v>61</v>
      </c>
      <c r="GX55" s="18">
        <v>2</v>
      </c>
      <c r="GY55" s="301" t="str">
        <f t="shared" si="174"/>
        <v/>
      </c>
      <c r="GZ55" s="301"/>
      <c r="HA55" s="302">
        <f t="shared" ref="HA55" si="1412">IF(HEX2DEC(SUBSTITUTE(MID(GY55,1,6)," ",""))&gt;32768,CONCATENATE(HEX2DEC(CONCATENATE("FFFFFF",SUBSTITUTE(MID(GY55,1,6)," ","")))),HEX2DEC(SUBSTITUTE(MID(GY55,1,6)," ","")))</f>
        <v>0</v>
      </c>
      <c r="HB55" s="349"/>
      <c r="HC55" s="350"/>
      <c r="HD55" s="18">
        <v>23</v>
      </c>
      <c r="HE55" s="19" t="s">
        <v>1256</v>
      </c>
      <c r="HF55" s="18">
        <f t="shared" si="1321"/>
        <v>60</v>
      </c>
      <c r="HG55" s="18">
        <f t="shared" si="177"/>
        <v>61</v>
      </c>
      <c r="HH55" s="18">
        <v>2</v>
      </c>
      <c r="HI55" s="301" t="str">
        <f t="shared" si="178"/>
        <v/>
      </c>
      <c r="HJ55" s="301"/>
      <c r="HK55" s="302">
        <f t="shared" ref="HK55" si="1413">IF(HEX2DEC(SUBSTITUTE(MID(HI55,1,6)," ",""))&gt;32768,CONCATENATE(HEX2DEC(CONCATENATE("FFFFFF",SUBSTITUTE(MID(HI55,1,6)," ","")))),HEX2DEC(SUBSTITUTE(MID(HI55,1,6)," ","")))</f>
        <v>0</v>
      </c>
      <c r="HL55" s="349"/>
      <c r="HM55" s="350"/>
      <c r="HN55" s="18">
        <v>23</v>
      </c>
      <c r="HO55" s="19" t="s">
        <v>1256</v>
      </c>
      <c r="HP55" s="18">
        <f t="shared" si="1322"/>
        <v>60</v>
      </c>
      <c r="HQ55" s="18">
        <f t="shared" si="181"/>
        <v>61</v>
      </c>
      <c r="HR55" s="18">
        <v>2</v>
      </c>
      <c r="HS55" s="301" t="str">
        <f t="shared" si="182"/>
        <v/>
      </c>
      <c r="HT55" s="301"/>
      <c r="HU55" s="302">
        <f t="shared" ref="HU55" si="1414">IF(HEX2DEC(SUBSTITUTE(MID(HS55,1,6)," ",""))&gt;32768,CONCATENATE(HEX2DEC(CONCATENATE("FFFFFF",SUBSTITUTE(MID(HS55,1,6)," ","")))),HEX2DEC(SUBSTITUTE(MID(HS55,1,6)," ","")))</f>
        <v>0</v>
      </c>
      <c r="HV55" s="349"/>
      <c r="HW55" s="350"/>
      <c r="HX55" s="18">
        <v>23</v>
      </c>
      <c r="HY55" s="19" t="s">
        <v>1256</v>
      </c>
      <c r="HZ55" s="18">
        <f t="shared" si="1323"/>
        <v>60</v>
      </c>
      <c r="IA55" s="18">
        <f t="shared" si="185"/>
        <v>61</v>
      </c>
      <c r="IB55" s="18">
        <v>2</v>
      </c>
      <c r="IC55" s="301" t="str">
        <f t="shared" si="186"/>
        <v/>
      </c>
      <c r="ID55" s="301"/>
      <c r="IE55" s="302">
        <f t="shared" ref="IE55" si="1415">IF(HEX2DEC(SUBSTITUTE(MID(IC55,1,6)," ",""))&gt;32768,CONCATENATE(HEX2DEC(CONCATENATE("FFFFFF",SUBSTITUTE(MID(IC55,1,6)," ","")))),HEX2DEC(SUBSTITUTE(MID(IC55,1,6)," ","")))</f>
        <v>0</v>
      </c>
      <c r="IF55" s="349"/>
      <c r="IG55" s="350"/>
      <c r="IH55" s="18">
        <v>23</v>
      </c>
      <c r="II55" s="19" t="s">
        <v>1256</v>
      </c>
      <c r="IJ55" s="18">
        <f t="shared" si="1324"/>
        <v>60</v>
      </c>
      <c r="IK55" s="18">
        <f t="shared" si="189"/>
        <v>61</v>
      </c>
      <c r="IL55" s="18">
        <v>2</v>
      </c>
      <c r="IM55" s="301" t="str">
        <f t="shared" si="190"/>
        <v/>
      </c>
      <c r="IN55" s="301"/>
      <c r="IO55" s="302">
        <f t="shared" ref="IO55" si="1416">IF(HEX2DEC(SUBSTITUTE(MID(IM55,1,6)," ",""))&gt;32768,CONCATENATE(HEX2DEC(CONCATENATE("FFFFFF",SUBSTITUTE(MID(IM55,1,6)," ","")))),HEX2DEC(SUBSTITUTE(MID(IM55,1,6)," ","")))</f>
        <v>0</v>
      </c>
      <c r="IP55" s="349"/>
      <c r="IQ55" s="350"/>
      <c r="IR55" s="18">
        <v>23</v>
      </c>
      <c r="IS55" s="19" t="s">
        <v>1256</v>
      </c>
      <c r="IT55" s="18">
        <f t="shared" si="1325"/>
        <v>60</v>
      </c>
      <c r="IU55" s="18">
        <f t="shared" si="193"/>
        <v>61</v>
      </c>
      <c r="IV55" s="18">
        <v>2</v>
      </c>
      <c r="IW55" s="301" t="str">
        <f t="shared" si="194"/>
        <v/>
      </c>
      <c r="IX55" s="301"/>
      <c r="IY55" s="302">
        <f t="shared" ref="IY55" si="1417">IF(HEX2DEC(SUBSTITUTE(MID(IW55,1,6)," ",""))&gt;32768,CONCATENATE(HEX2DEC(CONCATENATE("FFFFFF",SUBSTITUTE(MID(IW55,1,6)," ","")))),HEX2DEC(SUBSTITUTE(MID(IW55,1,6)," ","")))</f>
        <v>0</v>
      </c>
      <c r="IZ55" s="349"/>
      <c r="JA55" s="350"/>
      <c r="JB55" s="18">
        <v>23</v>
      </c>
      <c r="JC55" s="19" t="s">
        <v>1256</v>
      </c>
      <c r="JD55" s="18">
        <f t="shared" si="1326"/>
        <v>60</v>
      </c>
      <c r="JE55" s="18">
        <f t="shared" si="197"/>
        <v>61</v>
      </c>
      <c r="JF55" s="18">
        <v>2</v>
      </c>
      <c r="JG55" s="301" t="str">
        <f t="shared" si="198"/>
        <v/>
      </c>
      <c r="JH55" s="301"/>
      <c r="JI55" s="302">
        <f t="shared" ref="JI55" si="1418">IF(HEX2DEC(SUBSTITUTE(MID(JG55,1,6)," ",""))&gt;32768,CONCATENATE(HEX2DEC(CONCATENATE("FFFFFF",SUBSTITUTE(MID(JG55,1,6)," ","")))),HEX2DEC(SUBSTITUTE(MID(JG55,1,6)," ","")))</f>
        <v>0</v>
      </c>
      <c r="JJ55" s="349"/>
      <c r="JK55" s="350"/>
      <c r="JL55" s="18">
        <v>23</v>
      </c>
      <c r="JM55" s="19" t="s">
        <v>1256</v>
      </c>
      <c r="JN55" s="18">
        <f t="shared" si="1327"/>
        <v>60</v>
      </c>
      <c r="JO55" s="18">
        <f t="shared" si="201"/>
        <v>61</v>
      </c>
      <c r="JP55" s="18">
        <v>2</v>
      </c>
      <c r="JQ55" s="301" t="str">
        <f t="shared" si="202"/>
        <v/>
      </c>
      <c r="JR55" s="301"/>
      <c r="JS55" s="302">
        <f t="shared" ref="JS55" si="1419">IF(HEX2DEC(SUBSTITUTE(MID(JQ55,1,6)," ",""))&gt;32768,CONCATENATE(HEX2DEC(CONCATENATE("FFFFFF",SUBSTITUTE(MID(JQ55,1,6)," ","")))),HEX2DEC(SUBSTITUTE(MID(JQ55,1,6)," ","")))</f>
        <v>0</v>
      </c>
      <c r="JT55" s="349"/>
      <c r="JU55" s="350"/>
      <c r="JV55" s="18">
        <v>23</v>
      </c>
      <c r="JW55" s="19" t="s">
        <v>1256</v>
      </c>
      <c r="JX55" s="18">
        <f t="shared" si="1328"/>
        <v>60</v>
      </c>
      <c r="JY55" s="18">
        <f t="shared" si="205"/>
        <v>61</v>
      </c>
      <c r="JZ55" s="18">
        <v>2</v>
      </c>
      <c r="KA55" s="301" t="str">
        <f t="shared" si="206"/>
        <v/>
      </c>
      <c r="KB55" s="301"/>
      <c r="KC55" s="302">
        <f t="shared" ref="KC55" si="1420">IF(HEX2DEC(SUBSTITUTE(MID(KA55,1,6)," ",""))&gt;32768,CONCATENATE(HEX2DEC(CONCATENATE("FFFFFF",SUBSTITUTE(MID(KA55,1,6)," ","")))),HEX2DEC(SUBSTITUTE(MID(KA55,1,6)," ","")))</f>
        <v>0</v>
      </c>
      <c r="KD55" s="349"/>
      <c r="KE55" s="350"/>
      <c r="KF55" s="18">
        <v>23</v>
      </c>
      <c r="KG55" s="19" t="s">
        <v>1256</v>
      </c>
      <c r="KH55" s="18">
        <f t="shared" si="1329"/>
        <v>60</v>
      </c>
      <c r="KI55" s="18">
        <f t="shared" si="209"/>
        <v>61</v>
      </c>
      <c r="KJ55" s="18">
        <v>2</v>
      </c>
      <c r="KK55" s="301" t="str">
        <f t="shared" si="210"/>
        <v/>
      </c>
      <c r="KL55" s="301"/>
      <c r="KM55" s="302">
        <f t="shared" ref="KM55" si="1421">IF(HEX2DEC(SUBSTITUTE(MID(KK55,1,6)," ",""))&gt;32768,CONCATENATE(HEX2DEC(CONCATENATE("FFFFFF",SUBSTITUTE(MID(KK55,1,6)," ","")))),HEX2DEC(SUBSTITUTE(MID(KK55,1,6)," ","")))</f>
        <v>0</v>
      </c>
      <c r="KN55" s="349"/>
      <c r="KO55" s="350"/>
      <c r="KP55" s="18">
        <v>23</v>
      </c>
      <c r="KQ55" s="19" t="s">
        <v>1256</v>
      </c>
      <c r="KR55" s="18">
        <f t="shared" si="1330"/>
        <v>60</v>
      </c>
      <c r="KS55" s="18">
        <f t="shared" si="213"/>
        <v>61</v>
      </c>
      <c r="KT55" s="18">
        <v>2</v>
      </c>
      <c r="KU55" s="301" t="str">
        <f t="shared" si="214"/>
        <v/>
      </c>
      <c r="KV55" s="301"/>
      <c r="KW55" s="302">
        <f t="shared" ref="KW55" si="1422">IF(HEX2DEC(SUBSTITUTE(MID(KU55,1,6)," ",""))&gt;32768,CONCATENATE(HEX2DEC(CONCATENATE("FFFFFF",SUBSTITUTE(MID(KU55,1,6)," ","")))),HEX2DEC(SUBSTITUTE(MID(KU55,1,6)," ","")))</f>
        <v>0</v>
      </c>
      <c r="KX55" s="349"/>
      <c r="KY55" s="350"/>
      <c r="KZ55" s="18">
        <v>23</v>
      </c>
      <c r="LA55" s="19" t="s">
        <v>1256</v>
      </c>
      <c r="LB55" s="18">
        <f t="shared" si="1331"/>
        <v>60</v>
      </c>
      <c r="LC55" s="18">
        <f t="shared" si="217"/>
        <v>61</v>
      </c>
      <c r="LD55" s="18">
        <v>2</v>
      </c>
      <c r="LE55" s="301" t="str">
        <f t="shared" si="218"/>
        <v/>
      </c>
      <c r="LF55" s="301"/>
      <c r="LG55" s="302">
        <f t="shared" ref="LG55" si="1423">IF(HEX2DEC(SUBSTITUTE(MID(LE55,1,6)," ",""))&gt;32768,CONCATENATE(HEX2DEC(CONCATENATE("FFFFFF",SUBSTITUTE(MID(LE55,1,6)," ","")))),HEX2DEC(SUBSTITUTE(MID(LE55,1,6)," ","")))</f>
        <v>0</v>
      </c>
      <c r="LH55" s="349"/>
      <c r="LI55" s="350"/>
      <c r="LJ55" s="18">
        <v>23</v>
      </c>
      <c r="LK55" s="19" t="s">
        <v>1256</v>
      </c>
      <c r="LL55" s="18">
        <f t="shared" si="1332"/>
        <v>60</v>
      </c>
      <c r="LM55" s="18">
        <f t="shared" si="221"/>
        <v>61</v>
      </c>
      <c r="LN55" s="18">
        <v>2</v>
      </c>
      <c r="LO55" s="301" t="str">
        <f t="shared" si="222"/>
        <v/>
      </c>
      <c r="LP55" s="301"/>
      <c r="LQ55" s="302">
        <f t="shared" ref="LQ55" si="1424">IF(HEX2DEC(SUBSTITUTE(MID(LO55,1,6)," ",""))&gt;32768,CONCATENATE(HEX2DEC(CONCATENATE("FFFFFF",SUBSTITUTE(MID(LO55,1,6)," ","")))),HEX2DEC(SUBSTITUTE(MID(LO55,1,6)," ","")))</f>
        <v>0</v>
      </c>
      <c r="LR55" s="349"/>
      <c r="LS55" s="350"/>
      <c r="LT55" s="18">
        <v>23</v>
      </c>
      <c r="LU55" s="19" t="s">
        <v>1256</v>
      </c>
      <c r="LV55" s="18">
        <f t="shared" si="1333"/>
        <v>60</v>
      </c>
      <c r="LW55" s="18">
        <f t="shared" si="225"/>
        <v>61</v>
      </c>
      <c r="LX55" s="18">
        <v>2</v>
      </c>
      <c r="LY55" s="301" t="str">
        <f t="shared" si="226"/>
        <v/>
      </c>
      <c r="LZ55" s="301"/>
      <c r="MA55" s="302">
        <f t="shared" ref="MA55" si="1425">IF(HEX2DEC(SUBSTITUTE(MID(LY55,1,6)," ",""))&gt;32768,CONCATENATE(HEX2DEC(CONCATENATE("FFFFFF",SUBSTITUTE(MID(LY55,1,6)," ","")))),HEX2DEC(SUBSTITUTE(MID(LY55,1,6)," ","")))</f>
        <v>0</v>
      </c>
      <c r="MB55" s="349"/>
      <c r="MC55" s="350"/>
      <c r="MD55" s="18">
        <v>23</v>
      </c>
      <c r="ME55" s="19" t="s">
        <v>1256</v>
      </c>
      <c r="MF55" s="18">
        <f t="shared" si="1334"/>
        <v>60</v>
      </c>
      <c r="MG55" s="18">
        <f t="shared" si="229"/>
        <v>61</v>
      </c>
      <c r="MH55" s="18">
        <v>2</v>
      </c>
      <c r="MI55" s="301" t="str">
        <f t="shared" si="230"/>
        <v/>
      </c>
      <c r="MJ55" s="301"/>
      <c r="MK55" s="302">
        <f t="shared" ref="MK55" si="1426">IF(HEX2DEC(SUBSTITUTE(MID(MI55,1,6)," ",""))&gt;32768,CONCATENATE(HEX2DEC(CONCATENATE("FFFFFF",SUBSTITUTE(MID(MI55,1,6)," ","")))),HEX2DEC(SUBSTITUTE(MID(MI55,1,6)," ","")))</f>
        <v>0</v>
      </c>
      <c r="ML55" s="349"/>
      <c r="MM55" s="350"/>
      <c r="MN55" s="18">
        <v>23</v>
      </c>
      <c r="MO55" s="19" t="s">
        <v>1256</v>
      </c>
      <c r="MP55" s="18">
        <f t="shared" si="1335"/>
        <v>60</v>
      </c>
      <c r="MQ55" s="18">
        <f t="shared" si="233"/>
        <v>61</v>
      </c>
      <c r="MR55" s="18">
        <v>2</v>
      </c>
      <c r="MS55" s="301" t="str">
        <f t="shared" si="234"/>
        <v/>
      </c>
      <c r="MT55" s="301"/>
      <c r="MU55" s="302">
        <f t="shared" ref="MU55" si="1427">IF(HEX2DEC(SUBSTITUTE(MID(MS55,1,6)," ",""))&gt;32768,CONCATENATE(HEX2DEC(CONCATENATE("FFFFFF",SUBSTITUTE(MID(MS55,1,6)," ","")))),HEX2DEC(SUBSTITUTE(MID(MS55,1,6)," ","")))</f>
        <v>0</v>
      </c>
      <c r="MV55" s="349"/>
      <c r="MW55" s="350"/>
      <c r="MX55" s="18">
        <v>23</v>
      </c>
      <c r="MY55" s="19" t="s">
        <v>1256</v>
      </c>
      <c r="MZ55" s="18">
        <f t="shared" si="1336"/>
        <v>60</v>
      </c>
      <c r="NA55" s="18">
        <f t="shared" si="237"/>
        <v>61</v>
      </c>
      <c r="NB55" s="18">
        <v>2</v>
      </c>
      <c r="NC55" s="301" t="str">
        <f t="shared" si="238"/>
        <v/>
      </c>
      <c r="ND55" s="301"/>
      <c r="NE55" s="302">
        <f t="shared" ref="NE55" si="1428">IF(HEX2DEC(SUBSTITUTE(MID(NC55,1,6)," ",""))&gt;32768,CONCATENATE(HEX2DEC(CONCATENATE("FFFFFF",SUBSTITUTE(MID(NC55,1,6)," ","")))),HEX2DEC(SUBSTITUTE(MID(NC55,1,6)," ","")))</f>
        <v>0</v>
      </c>
      <c r="NF55" s="349"/>
      <c r="NG55" s="350"/>
      <c r="NH55" s="18">
        <v>23</v>
      </c>
      <c r="NI55" s="19" t="s">
        <v>1256</v>
      </c>
      <c r="NJ55" s="18">
        <f t="shared" si="1337"/>
        <v>60</v>
      </c>
      <c r="NK55" s="18">
        <f t="shared" si="241"/>
        <v>61</v>
      </c>
      <c r="NL55" s="18">
        <v>2</v>
      </c>
      <c r="NM55" s="301" t="str">
        <f t="shared" si="242"/>
        <v/>
      </c>
      <c r="NN55" s="301"/>
      <c r="NO55" s="302">
        <f t="shared" ref="NO55" si="1429">IF(HEX2DEC(SUBSTITUTE(MID(NM55,1,6)," ",""))&gt;32768,CONCATENATE(HEX2DEC(CONCATENATE("FFFFFF",SUBSTITUTE(MID(NM55,1,6)," ","")))),HEX2DEC(SUBSTITUTE(MID(NM55,1,6)," ","")))</f>
        <v>0</v>
      </c>
      <c r="NP55" s="349"/>
      <c r="NQ55" s="350"/>
      <c r="NR55" s="18">
        <v>23</v>
      </c>
      <c r="NS55" s="19" t="s">
        <v>1256</v>
      </c>
      <c r="NT55" s="18">
        <f t="shared" si="1338"/>
        <v>60</v>
      </c>
      <c r="NU55" s="18">
        <f t="shared" si="245"/>
        <v>61</v>
      </c>
      <c r="NV55" s="18">
        <v>2</v>
      </c>
      <c r="NW55" s="301" t="str">
        <f t="shared" si="246"/>
        <v/>
      </c>
      <c r="NX55" s="301"/>
      <c r="NY55" s="302">
        <f t="shared" ref="NY55" si="1430">IF(HEX2DEC(SUBSTITUTE(MID(NW55,1,6)," ",""))&gt;32768,CONCATENATE(HEX2DEC(CONCATENATE("FFFFFF",SUBSTITUTE(MID(NW55,1,6)," ","")))),HEX2DEC(SUBSTITUTE(MID(NW55,1,6)," ","")))</f>
        <v>0</v>
      </c>
      <c r="NZ55" s="349"/>
      <c r="OA55" s="350"/>
      <c r="OB55" s="18">
        <v>23</v>
      </c>
      <c r="OC55" s="19" t="s">
        <v>1256</v>
      </c>
      <c r="OD55" s="18">
        <f t="shared" si="1339"/>
        <v>60</v>
      </c>
      <c r="OE55" s="18">
        <f t="shared" si="249"/>
        <v>61</v>
      </c>
      <c r="OF55" s="18">
        <v>2</v>
      </c>
      <c r="OG55" s="301" t="str">
        <f t="shared" si="250"/>
        <v/>
      </c>
      <c r="OH55" s="301"/>
      <c r="OI55" s="302">
        <f t="shared" ref="OI55" si="1431">IF(HEX2DEC(SUBSTITUTE(MID(OG55,1,6)," ",""))&gt;32768,CONCATENATE(HEX2DEC(CONCATENATE("FFFFFF",SUBSTITUTE(MID(OG55,1,6)," ","")))),HEX2DEC(SUBSTITUTE(MID(OG55,1,6)," ","")))</f>
        <v>0</v>
      </c>
      <c r="OJ55" s="349"/>
      <c r="OK55" s="350"/>
      <c r="OL55" s="18">
        <v>23</v>
      </c>
      <c r="OM55" s="19" t="s">
        <v>1256</v>
      </c>
      <c r="ON55" s="18">
        <f t="shared" si="1340"/>
        <v>60</v>
      </c>
      <c r="OO55" s="18">
        <f t="shared" si="253"/>
        <v>61</v>
      </c>
      <c r="OP55" s="18">
        <v>2</v>
      </c>
      <c r="OQ55" s="301" t="str">
        <f t="shared" si="254"/>
        <v/>
      </c>
      <c r="OR55" s="301"/>
      <c r="OS55" s="302">
        <f t="shared" ref="OS55" si="1432">IF(HEX2DEC(SUBSTITUTE(MID(OQ55,1,6)," ",""))&gt;32768,CONCATENATE(HEX2DEC(CONCATENATE("FFFFFF",SUBSTITUTE(MID(OQ55,1,6)," ","")))),HEX2DEC(SUBSTITUTE(MID(OQ55,1,6)," ","")))</f>
        <v>0</v>
      </c>
      <c r="OT55" s="349"/>
      <c r="OU55" s="350"/>
      <c r="OV55" s="18">
        <v>23</v>
      </c>
      <c r="OW55" s="19" t="s">
        <v>1256</v>
      </c>
      <c r="OX55" s="18">
        <f t="shared" si="1341"/>
        <v>60</v>
      </c>
      <c r="OY55" s="18">
        <f t="shared" si="257"/>
        <v>61</v>
      </c>
      <c r="OZ55" s="18">
        <v>2</v>
      </c>
      <c r="PA55" s="301" t="str">
        <f t="shared" si="258"/>
        <v/>
      </c>
      <c r="PB55" s="301"/>
      <c r="PC55" s="302">
        <f t="shared" ref="PC55" si="1433">IF(HEX2DEC(SUBSTITUTE(MID(PA55,1,6)," ",""))&gt;32768,CONCATENATE(HEX2DEC(CONCATENATE("FFFFFF",SUBSTITUTE(MID(PA55,1,6)," ","")))),HEX2DEC(SUBSTITUTE(MID(PA55,1,6)," ","")))</f>
        <v>0</v>
      </c>
      <c r="PD55" s="349"/>
      <c r="PE55" s="350"/>
      <c r="PF55" s="18">
        <v>23</v>
      </c>
      <c r="PG55" s="19" t="s">
        <v>1256</v>
      </c>
      <c r="PH55" s="18">
        <f t="shared" si="1342"/>
        <v>60</v>
      </c>
      <c r="PI55" s="18">
        <f t="shared" si="261"/>
        <v>61</v>
      </c>
      <c r="PJ55" s="18">
        <v>2</v>
      </c>
      <c r="PK55" s="301" t="str">
        <f t="shared" si="262"/>
        <v/>
      </c>
      <c r="PL55" s="301"/>
      <c r="PM55" s="302">
        <f t="shared" ref="PM55" si="1434">IF(HEX2DEC(SUBSTITUTE(MID(PK55,1,6)," ",""))&gt;32768,CONCATENATE(HEX2DEC(CONCATENATE("FFFFFF",SUBSTITUTE(MID(PK55,1,6)," ","")))),HEX2DEC(SUBSTITUTE(MID(PK55,1,6)," ","")))</f>
        <v>0</v>
      </c>
      <c r="PN55" s="349"/>
      <c r="PO55" s="350"/>
      <c r="PP55" s="18">
        <v>23</v>
      </c>
      <c r="PQ55" s="19" t="s">
        <v>1256</v>
      </c>
      <c r="PR55" s="18">
        <f t="shared" si="1343"/>
        <v>60</v>
      </c>
      <c r="PS55" s="18">
        <f t="shared" si="265"/>
        <v>61</v>
      </c>
      <c r="PT55" s="18">
        <v>2</v>
      </c>
      <c r="PU55" s="301" t="str">
        <f t="shared" si="266"/>
        <v/>
      </c>
      <c r="PV55" s="301"/>
      <c r="PW55" s="302">
        <f t="shared" ref="PW55" si="1435">IF(HEX2DEC(SUBSTITUTE(MID(PU55,1,6)," ",""))&gt;32768,CONCATENATE(HEX2DEC(CONCATENATE("FFFFFF",SUBSTITUTE(MID(PU55,1,6)," ","")))),HEX2DEC(SUBSTITUTE(MID(PU55,1,6)," ","")))</f>
        <v>0</v>
      </c>
      <c r="PX55" s="349"/>
      <c r="PY55" s="350"/>
      <c r="PZ55" s="18">
        <v>23</v>
      </c>
      <c r="QA55" s="19" t="s">
        <v>1256</v>
      </c>
      <c r="QB55" s="18">
        <f t="shared" si="1344"/>
        <v>60</v>
      </c>
      <c r="QC55" s="18">
        <f t="shared" si="269"/>
        <v>61</v>
      </c>
      <c r="QD55" s="18">
        <v>2</v>
      </c>
      <c r="QE55" s="301" t="str">
        <f t="shared" si="270"/>
        <v/>
      </c>
      <c r="QF55" s="301"/>
      <c r="QG55" s="302">
        <f t="shared" ref="QG55" si="1436">IF(HEX2DEC(SUBSTITUTE(MID(QE55,1,6)," ",""))&gt;32768,CONCATENATE(HEX2DEC(CONCATENATE("FFFFFF",SUBSTITUTE(MID(QE55,1,6)," ","")))),HEX2DEC(SUBSTITUTE(MID(QE55,1,6)," ","")))</f>
        <v>0</v>
      </c>
      <c r="QH55" s="349"/>
      <c r="QI55" s="350"/>
      <c r="QJ55" s="18">
        <v>23</v>
      </c>
      <c r="QK55" s="19" t="s">
        <v>1256</v>
      </c>
      <c r="QL55" s="18">
        <f t="shared" si="1345"/>
        <v>60</v>
      </c>
      <c r="QM55" s="18">
        <f t="shared" si="273"/>
        <v>61</v>
      </c>
      <c r="QN55" s="18">
        <v>2</v>
      </c>
      <c r="QO55" s="301" t="str">
        <f t="shared" si="274"/>
        <v/>
      </c>
      <c r="QP55" s="301"/>
      <c r="QQ55" s="302">
        <f t="shared" ref="QQ55" si="1437">IF(HEX2DEC(SUBSTITUTE(MID(QO55,1,6)," ",""))&gt;32768,CONCATENATE(HEX2DEC(CONCATENATE("FFFFFF",SUBSTITUTE(MID(QO55,1,6)," ","")))),HEX2DEC(SUBSTITUTE(MID(QO55,1,6)," ","")))</f>
        <v>0</v>
      </c>
      <c r="QR55" s="349"/>
      <c r="QS55" s="350"/>
      <c r="QT55" s="18">
        <v>23</v>
      </c>
      <c r="QU55" s="19" t="s">
        <v>1256</v>
      </c>
      <c r="QV55" s="18">
        <f t="shared" si="1346"/>
        <v>60</v>
      </c>
      <c r="QW55" s="18">
        <f t="shared" si="277"/>
        <v>61</v>
      </c>
      <c r="QX55" s="18">
        <v>2</v>
      </c>
      <c r="QY55" s="301" t="str">
        <f t="shared" si="278"/>
        <v/>
      </c>
      <c r="QZ55" s="301"/>
      <c r="RA55" s="302">
        <f t="shared" ref="RA55" si="1438">IF(HEX2DEC(SUBSTITUTE(MID(QY55,1,6)," ",""))&gt;32768,CONCATENATE(HEX2DEC(CONCATENATE("FFFFFF",SUBSTITUTE(MID(QY55,1,6)," ","")))),HEX2DEC(SUBSTITUTE(MID(QY55,1,6)," ","")))</f>
        <v>0</v>
      </c>
      <c r="RB55" s="349"/>
      <c r="RC55" s="350"/>
      <c r="RD55" s="18">
        <v>23</v>
      </c>
      <c r="RE55" s="19" t="s">
        <v>1256</v>
      </c>
      <c r="RF55" s="18">
        <f t="shared" si="1347"/>
        <v>60</v>
      </c>
      <c r="RG55" s="18">
        <f t="shared" si="281"/>
        <v>61</v>
      </c>
      <c r="RH55" s="18">
        <v>2</v>
      </c>
      <c r="RI55" s="301" t="str">
        <f t="shared" si="282"/>
        <v/>
      </c>
      <c r="RJ55" s="301"/>
      <c r="RK55" s="302">
        <f t="shared" ref="RK55" si="1439">IF(HEX2DEC(SUBSTITUTE(MID(RI55,1,6)," ",""))&gt;32768,CONCATENATE(HEX2DEC(CONCATENATE("FFFFFF",SUBSTITUTE(MID(RI55,1,6)," ","")))),HEX2DEC(SUBSTITUTE(MID(RI55,1,6)," ","")))</f>
        <v>0</v>
      </c>
      <c r="RL55" s="349"/>
      <c r="RM55" s="350"/>
      <c r="RN55" s="18">
        <v>23</v>
      </c>
      <c r="RO55" s="19" t="s">
        <v>1256</v>
      </c>
      <c r="RP55" s="18">
        <f t="shared" si="1348"/>
        <v>60</v>
      </c>
      <c r="RQ55" s="18">
        <f t="shared" si="285"/>
        <v>61</v>
      </c>
      <c r="RR55" s="18">
        <v>2</v>
      </c>
      <c r="RS55" s="301" t="str">
        <f t="shared" si="286"/>
        <v/>
      </c>
      <c r="RT55" s="301"/>
      <c r="RU55" s="302">
        <f t="shared" ref="RU55" si="1440">IF(HEX2DEC(SUBSTITUTE(MID(RS55,1,6)," ",""))&gt;32768,CONCATENATE(HEX2DEC(CONCATENATE("FFFFFF",SUBSTITUTE(MID(RS55,1,6)," ","")))),HEX2DEC(SUBSTITUTE(MID(RS55,1,6)," ","")))</f>
        <v>0</v>
      </c>
      <c r="RV55" s="349"/>
      <c r="RW55" s="350"/>
      <c r="RX55" s="18">
        <v>23</v>
      </c>
      <c r="RY55" s="19" t="s">
        <v>1256</v>
      </c>
      <c r="RZ55" s="18">
        <f t="shared" si="1349"/>
        <v>60</v>
      </c>
      <c r="SA55" s="18">
        <f t="shared" si="289"/>
        <v>61</v>
      </c>
      <c r="SB55" s="18">
        <v>2</v>
      </c>
      <c r="SC55" s="301" t="str">
        <f t="shared" si="290"/>
        <v/>
      </c>
      <c r="SD55" s="301"/>
      <c r="SE55" s="302">
        <f t="shared" ref="SE55" si="1441">IF(HEX2DEC(SUBSTITUTE(MID(SC55,1,6)," ",""))&gt;32768,CONCATENATE(HEX2DEC(CONCATENATE("FFFFFF",SUBSTITUTE(MID(SC55,1,6)," ","")))),HEX2DEC(SUBSTITUTE(MID(SC55,1,6)," ","")))</f>
        <v>0</v>
      </c>
      <c r="SF55" s="349"/>
      <c r="SG55" s="350"/>
      <c r="SH55" s="18">
        <v>23</v>
      </c>
      <c r="SI55" s="19" t="s">
        <v>1256</v>
      </c>
      <c r="SJ55" s="18">
        <f t="shared" si="1350"/>
        <v>60</v>
      </c>
      <c r="SK55" s="18">
        <f t="shared" si="293"/>
        <v>61</v>
      </c>
      <c r="SL55" s="18">
        <v>2</v>
      </c>
      <c r="SM55" s="301" t="str">
        <f t="shared" si="294"/>
        <v/>
      </c>
      <c r="SN55" s="301"/>
      <c r="SO55" s="302">
        <f t="shared" ref="SO55" si="1442">IF(HEX2DEC(SUBSTITUTE(MID(SM55,1,6)," ",""))&gt;32768,CONCATENATE(HEX2DEC(CONCATENATE("FFFFFF",SUBSTITUTE(MID(SM55,1,6)," ","")))),HEX2DEC(SUBSTITUTE(MID(SM55,1,6)," ","")))</f>
        <v>0</v>
      </c>
      <c r="SP55" s="349"/>
      <c r="SQ55" s="350"/>
      <c r="SR55" s="18">
        <v>23</v>
      </c>
      <c r="SS55" s="19" t="s">
        <v>1256</v>
      </c>
      <c r="ST55" s="18">
        <f t="shared" si="1351"/>
        <v>60</v>
      </c>
      <c r="SU55" s="18">
        <f t="shared" si="297"/>
        <v>61</v>
      </c>
      <c r="SV55" s="18">
        <v>2</v>
      </c>
      <c r="SW55" s="301" t="str">
        <f t="shared" si="298"/>
        <v/>
      </c>
      <c r="SX55" s="301"/>
      <c r="SY55" s="302">
        <f t="shared" ref="SY55" si="1443">IF(HEX2DEC(SUBSTITUTE(MID(SW55,1,6)," ",""))&gt;32768,CONCATENATE(HEX2DEC(CONCATENATE("FFFFFF",SUBSTITUTE(MID(SW55,1,6)," ","")))),HEX2DEC(SUBSTITUTE(MID(SW55,1,6)," ","")))</f>
        <v>0</v>
      </c>
      <c r="SZ55" s="349"/>
      <c r="TA55" s="350"/>
      <c r="TB55" s="18">
        <v>23</v>
      </c>
      <c r="TC55" s="19" t="s">
        <v>1256</v>
      </c>
      <c r="TD55" s="18">
        <f t="shared" si="1352"/>
        <v>60</v>
      </c>
      <c r="TE55" s="18">
        <f t="shared" si="301"/>
        <v>61</v>
      </c>
      <c r="TF55" s="18">
        <v>2</v>
      </c>
      <c r="TG55" s="301" t="str">
        <f t="shared" si="302"/>
        <v/>
      </c>
      <c r="TH55" s="301"/>
      <c r="TI55" s="302">
        <f t="shared" ref="TI55" si="1444">IF(HEX2DEC(SUBSTITUTE(MID(TG55,1,6)," ",""))&gt;32768,CONCATENATE(HEX2DEC(CONCATENATE("FFFFFF",SUBSTITUTE(MID(TG55,1,6)," ","")))),HEX2DEC(SUBSTITUTE(MID(TG55,1,6)," ","")))</f>
        <v>0</v>
      </c>
      <c r="TJ55" s="349"/>
      <c r="TK55" s="350"/>
      <c r="TL55" s="18">
        <v>23</v>
      </c>
      <c r="TM55" s="19" t="s">
        <v>1256</v>
      </c>
      <c r="TN55" s="18">
        <f t="shared" si="1353"/>
        <v>60</v>
      </c>
      <c r="TO55" s="18">
        <f t="shared" si="305"/>
        <v>61</v>
      </c>
      <c r="TP55" s="18">
        <v>2</v>
      </c>
      <c r="TQ55" s="301" t="str">
        <f t="shared" si="306"/>
        <v/>
      </c>
      <c r="TR55" s="301"/>
      <c r="TS55" s="302">
        <f t="shared" ref="TS55" si="1445">IF(HEX2DEC(SUBSTITUTE(MID(TQ55,1,6)," ",""))&gt;32768,CONCATENATE(HEX2DEC(CONCATENATE("FFFFFF",SUBSTITUTE(MID(TQ55,1,6)," ","")))),HEX2DEC(SUBSTITUTE(MID(TQ55,1,6)," ","")))</f>
        <v>0</v>
      </c>
      <c r="TT55" s="349"/>
      <c r="TU55" s="350"/>
      <c r="TV55" s="18">
        <v>23</v>
      </c>
      <c r="TW55" s="19" t="s">
        <v>1256</v>
      </c>
      <c r="TX55" s="18">
        <f t="shared" si="1354"/>
        <v>60</v>
      </c>
      <c r="TY55" s="18">
        <f t="shared" si="309"/>
        <v>61</v>
      </c>
      <c r="TZ55" s="18">
        <v>2</v>
      </c>
      <c r="UA55" s="301" t="str">
        <f t="shared" si="310"/>
        <v/>
      </c>
      <c r="UB55" s="301"/>
      <c r="UC55" s="302">
        <f t="shared" ref="UC55" si="1446">IF(HEX2DEC(SUBSTITUTE(MID(UA55,1,6)," ",""))&gt;32768,CONCATENATE(HEX2DEC(CONCATENATE("FFFFFF",SUBSTITUTE(MID(UA55,1,6)," ","")))),HEX2DEC(SUBSTITUTE(MID(UA55,1,6)," ","")))</f>
        <v>0</v>
      </c>
      <c r="UD55" s="349"/>
      <c r="UE55" s="350"/>
      <c r="UF55" s="18">
        <v>23</v>
      </c>
      <c r="UG55" s="19" t="s">
        <v>1256</v>
      </c>
      <c r="UH55" s="18">
        <f t="shared" si="1355"/>
        <v>60</v>
      </c>
      <c r="UI55" s="18">
        <f t="shared" si="313"/>
        <v>61</v>
      </c>
      <c r="UJ55" s="18">
        <v>2</v>
      </c>
      <c r="UK55" s="301" t="str">
        <f t="shared" si="314"/>
        <v/>
      </c>
      <c r="UL55" s="301"/>
      <c r="UM55" s="302">
        <f t="shared" ref="UM55" si="1447">IF(HEX2DEC(SUBSTITUTE(MID(UK55,1,6)," ",""))&gt;32768,CONCATENATE(HEX2DEC(CONCATENATE("FFFFFF",SUBSTITUTE(MID(UK55,1,6)," ","")))),HEX2DEC(SUBSTITUTE(MID(UK55,1,6)," ","")))</f>
        <v>0</v>
      </c>
      <c r="UN55" s="349"/>
      <c r="UO55" s="350"/>
      <c r="UP55" s="18">
        <v>23</v>
      </c>
      <c r="UQ55" s="19" t="s">
        <v>1256</v>
      </c>
      <c r="UR55" s="18">
        <f t="shared" si="1356"/>
        <v>60</v>
      </c>
      <c r="US55" s="18">
        <f t="shared" si="317"/>
        <v>61</v>
      </c>
      <c r="UT55" s="18">
        <v>2</v>
      </c>
      <c r="UU55" s="301" t="str">
        <f t="shared" si="318"/>
        <v/>
      </c>
      <c r="UV55" s="301"/>
      <c r="UW55" s="302">
        <f t="shared" ref="UW55" si="1448">IF(HEX2DEC(SUBSTITUTE(MID(UU55,1,6)," ",""))&gt;32768,CONCATENATE(HEX2DEC(CONCATENATE("FFFFFF",SUBSTITUTE(MID(UU55,1,6)," ","")))),HEX2DEC(SUBSTITUTE(MID(UU55,1,6)," ","")))</f>
        <v>0</v>
      </c>
      <c r="UX55" s="349"/>
      <c r="UY55" s="350"/>
      <c r="UZ55" s="18">
        <v>23</v>
      </c>
      <c r="VA55" s="19" t="s">
        <v>1256</v>
      </c>
      <c r="VB55" s="18">
        <f t="shared" si="1357"/>
        <v>60</v>
      </c>
      <c r="VC55" s="18">
        <f t="shared" si="321"/>
        <v>61</v>
      </c>
      <c r="VD55" s="18">
        <v>2</v>
      </c>
      <c r="VE55" s="301" t="str">
        <f t="shared" si="322"/>
        <v/>
      </c>
      <c r="VF55" s="301"/>
      <c r="VG55" s="302">
        <f t="shared" ref="VG55" si="1449">IF(HEX2DEC(SUBSTITUTE(MID(VE55,1,6)," ",""))&gt;32768,CONCATENATE(HEX2DEC(CONCATENATE("FFFFFF",SUBSTITUTE(MID(VE55,1,6)," ","")))),HEX2DEC(SUBSTITUTE(MID(VE55,1,6)," ","")))</f>
        <v>0</v>
      </c>
      <c r="VH55" s="349"/>
      <c r="VI55" s="350"/>
      <c r="VJ55" s="18">
        <v>23</v>
      </c>
      <c r="VK55" s="19" t="s">
        <v>1256</v>
      </c>
      <c r="VL55" s="18">
        <f t="shared" si="1358"/>
        <v>60</v>
      </c>
      <c r="VM55" s="18">
        <f t="shared" si="325"/>
        <v>61</v>
      </c>
      <c r="VN55" s="18">
        <v>2</v>
      </c>
      <c r="VO55" s="301" t="str">
        <f t="shared" si="326"/>
        <v/>
      </c>
      <c r="VP55" s="301"/>
      <c r="VQ55" s="302">
        <f t="shared" ref="VQ55" si="1450">IF(HEX2DEC(SUBSTITUTE(MID(VO55,1,6)," ",""))&gt;32768,CONCATENATE(HEX2DEC(CONCATENATE("FFFFFF",SUBSTITUTE(MID(VO55,1,6)," ","")))),HEX2DEC(SUBSTITUTE(MID(VO55,1,6)," ","")))</f>
        <v>0</v>
      </c>
      <c r="VR55" s="349"/>
      <c r="VS55" s="350"/>
      <c r="VT55" s="18">
        <v>23</v>
      </c>
      <c r="VU55" s="19" t="s">
        <v>1256</v>
      </c>
      <c r="VV55" s="18">
        <f t="shared" si="1359"/>
        <v>60</v>
      </c>
      <c r="VW55" s="18">
        <f t="shared" si="329"/>
        <v>61</v>
      </c>
      <c r="VX55" s="18">
        <v>2</v>
      </c>
      <c r="VY55" s="301" t="str">
        <f t="shared" si="330"/>
        <v/>
      </c>
      <c r="VZ55" s="301"/>
      <c r="WA55" s="302">
        <f t="shared" ref="WA55" si="1451">IF(HEX2DEC(SUBSTITUTE(MID(VY55,1,6)," ",""))&gt;32768,CONCATENATE(HEX2DEC(CONCATENATE("FFFFFF",SUBSTITUTE(MID(VY55,1,6)," ","")))),HEX2DEC(SUBSTITUTE(MID(VY55,1,6)," ","")))</f>
        <v>0</v>
      </c>
      <c r="WB55" s="349"/>
      <c r="WC55" s="350"/>
      <c r="WD55" s="18">
        <v>23</v>
      </c>
      <c r="WE55" s="19" t="s">
        <v>1256</v>
      </c>
      <c r="WF55" s="18">
        <f t="shared" si="1360"/>
        <v>60</v>
      </c>
      <c r="WG55" s="18">
        <f t="shared" si="333"/>
        <v>61</v>
      </c>
      <c r="WH55" s="18">
        <v>2</v>
      </c>
      <c r="WI55" s="301" t="str">
        <f t="shared" si="334"/>
        <v/>
      </c>
      <c r="WJ55" s="301"/>
      <c r="WK55" s="302">
        <f t="shared" ref="WK55" si="1452">IF(HEX2DEC(SUBSTITUTE(MID(WI55,1,6)," ",""))&gt;32768,CONCATENATE(HEX2DEC(CONCATENATE("FFFFFF",SUBSTITUTE(MID(WI55,1,6)," ","")))),HEX2DEC(SUBSTITUTE(MID(WI55,1,6)," ","")))</f>
        <v>0</v>
      </c>
      <c r="WL55" s="349"/>
      <c r="WM55" s="350"/>
      <c r="WN55" s="18">
        <v>23</v>
      </c>
      <c r="WO55" s="19" t="s">
        <v>1256</v>
      </c>
      <c r="WP55" s="18">
        <f t="shared" si="1361"/>
        <v>60</v>
      </c>
      <c r="WQ55" s="18">
        <f t="shared" si="337"/>
        <v>61</v>
      </c>
      <c r="WR55" s="18">
        <v>2</v>
      </c>
      <c r="WS55" s="301" t="str">
        <f t="shared" si="338"/>
        <v/>
      </c>
      <c r="WT55" s="301"/>
      <c r="WU55" s="302">
        <f t="shared" ref="WU55" si="1453">IF(HEX2DEC(SUBSTITUTE(MID(WS55,1,6)," ",""))&gt;32768,CONCATENATE(HEX2DEC(CONCATENATE("FFFFFF",SUBSTITUTE(MID(WS55,1,6)," ","")))),HEX2DEC(SUBSTITUTE(MID(WS55,1,6)," ","")))</f>
        <v>0</v>
      </c>
      <c r="WV55" s="349"/>
      <c r="WW55" s="350"/>
      <c r="WX55" s="18">
        <v>23</v>
      </c>
      <c r="WY55" s="19" t="s">
        <v>1256</v>
      </c>
      <c r="WZ55" s="18">
        <f t="shared" si="1362"/>
        <v>60</v>
      </c>
      <c r="XA55" s="18">
        <f t="shared" si="341"/>
        <v>61</v>
      </c>
      <c r="XB55" s="18">
        <v>2</v>
      </c>
      <c r="XC55" s="301" t="str">
        <f t="shared" si="342"/>
        <v/>
      </c>
      <c r="XD55" s="301"/>
      <c r="XE55" s="302">
        <f t="shared" ref="XE55" si="1454">IF(HEX2DEC(SUBSTITUTE(MID(XC55,1,6)," ",""))&gt;32768,CONCATENATE(HEX2DEC(CONCATENATE("FFFFFF",SUBSTITUTE(MID(XC55,1,6)," ","")))),HEX2DEC(SUBSTITUTE(MID(XC55,1,6)," ","")))</f>
        <v>0</v>
      </c>
      <c r="XF55" s="349"/>
      <c r="XG55" s="350"/>
      <c r="XH55" s="18">
        <v>23</v>
      </c>
      <c r="XI55" s="19" t="s">
        <v>1256</v>
      </c>
      <c r="XJ55" s="18">
        <f t="shared" si="1363"/>
        <v>60</v>
      </c>
      <c r="XK55" s="18">
        <f t="shared" si="345"/>
        <v>61</v>
      </c>
      <c r="XL55" s="18">
        <v>2</v>
      </c>
      <c r="XM55" s="301" t="str">
        <f t="shared" si="346"/>
        <v/>
      </c>
      <c r="XN55" s="301"/>
      <c r="XO55" s="302">
        <f t="shared" ref="XO55" si="1455">IF(HEX2DEC(SUBSTITUTE(MID(XM55,1,6)," ",""))&gt;32768,CONCATENATE(HEX2DEC(CONCATENATE("FFFFFF",SUBSTITUTE(MID(XM55,1,6)," ","")))),HEX2DEC(SUBSTITUTE(MID(XM55,1,6)," ","")))</f>
        <v>0</v>
      </c>
      <c r="XP55" s="349"/>
      <c r="XQ55" s="350"/>
      <c r="XR55" s="18">
        <v>23</v>
      </c>
      <c r="XS55" s="19" t="s">
        <v>1256</v>
      </c>
      <c r="XT55" s="18">
        <f t="shared" si="1364"/>
        <v>60</v>
      </c>
      <c r="XU55" s="18">
        <f t="shared" si="349"/>
        <v>61</v>
      </c>
      <c r="XV55" s="18">
        <v>2</v>
      </c>
      <c r="XW55" s="301" t="str">
        <f t="shared" si="350"/>
        <v/>
      </c>
      <c r="XX55" s="301"/>
      <c r="XY55" s="302">
        <f t="shared" ref="XY55" si="1456">IF(HEX2DEC(SUBSTITUTE(MID(XW55,1,6)," ",""))&gt;32768,CONCATENATE(HEX2DEC(CONCATENATE("FFFFFF",SUBSTITUTE(MID(XW55,1,6)," ","")))),HEX2DEC(SUBSTITUTE(MID(XW55,1,6)," ","")))</f>
        <v>0</v>
      </c>
      <c r="XZ55" s="349"/>
      <c r="YA55" s="350"/>
      <c r="YB55" s="18">
        <v>23</v>
      </c>
      <c r="YC55" s="19" t="s">
        <v>1256</v>
      </c>
      <c r="YD55" s="18">
        <f t="shared" si="1365"/>
        <v>60</v>
      </c>
      <c r="YE55" s="18">
        <f t="shared" si="353"/>
        <v>61</v>
      </c>
      <c r="YF55" s="18">
        <v>2</v>
      </c>
      <c r="YG55" s="301" t="str">
        <f t="shared" si="354"/>
        <v/>
      </c>
      <c r="YH55" s="301"/>
      <c r="YI55" s="302">
        <f t="shared" ref="YI55" si="1457">IF(HEX2DEC(SUBSTITUTE(MID(YG55,1,6)," ",""))&gt;32768,CONCATENATE(HEX2DEC(CONCATENATE("FFFFFF",SUBSTITUTE(MID(YG55,1,6)," ","")))),HEX2DEC(SUBSTITUTE(MID(YG55,1,6)," ","")))</f>
        <v>0</v>
      </c>
      <c r="YJ55" s="349"/>
      <c r="YK55" s="350"/>
      <c r="YL55" s="18">
        <v>23</v>
      </c>
      <c r="YM55" s="19" t="s">
        <v>1256</v>
      </c>
      <c r="YN55" s="18">
        <f t="shared" si="1366"/>
        <v>60</v>
      </c>
      <c r="YO55" s="18">
        <f t="shared" si="357"/>
        <v>61</v>
      </c>
      <c r="YP55" s="18">
        <v>2</v>
      </c>
      <c r="YQ55" s="301" t="str">
        <f t="shared" si="358"/>
        <v/>
      </c>
      <c r="YR55" s="301"/>
      <c r="YS55" s="302">
        <f t="shared" ref="YS55" si="1458">IF(HEX2DEC(SUBSTITUTE(MID(YQ55,1,6)," ",""))&gt;32768,CONCATENATE(HEX2DEC(CONCATENATE("FFFFFF",SUBSTITUTE(MID(YQ55,1,6)," ","")))),HEX2DEC(SUBSTITUTE(MID(YQ55,1,6)," ","")))</f>
        <v>0</v>
      </c>
      <c r="YT55" s="349"/>
      <c r="YU55" s="350"/>
      <c r="YV55" s="18">
        <v>23</v>
      </c>
      <c r="YW55" s="19" t="s">
        <v>1256</v>
      </c>
      <c r="YX55" s="18">
        <f t="shared" si="1367"/>
        <v>60</v>
      </c>
      <c r="YY55" s="18">
        <f t="shared" si="361"/>
        <v>61</v>
      </c>
      <c r="YZ55" s="18">
        <v>2</v>
      </c>
      <c r="ZA55" s="301" t="str">
        <f t="shared" si="362"/>
        <v/>
      </c>
      <c r="ZB55" s="301"/>
      <c r="ZC55" s="302">
        <f t="shared" ref="ZC55" si="1459">IF(HEX2DEC(SUBSTITUTE(MID(ZA55,1,6)," ",""))&gt;32768,CONCATENATE(HEX2DEC(CONCATENATE("FFFFFF",SUBSTITUTE(MID(ZA55,1,6)," ","")))),HEX2DEC(SUBSTITUTE(MID(ZA55,1,6)," ","")))</f>
        <v>0</v>
      </c>
      <c r="ZD55" s="349"/>
      <c r="ZE55" s="350"/>
      <c r="ZF55" s="18">
        <v>23</v>
      </c>
      <c r="ZG55" s="19" t="s">
        <v>1256</v>
      </c>
      <c r="ZH55" s="18">
        <f t="shared" si="1368"/>
        <v>60</v>
      </c>
      <c r="ZI55" s="18">
        <f t="shared" si="365"/>
        <v>61</v>
      </c>
      <c r="ZJ55" s="18">
        <v>2</v>
      </c>
      <c r="ZK55" s="301" t="str">
        <f t="shared" si="366"/>
        <v/>
      </c>
      <c r="ZL55" s="301"/>
      <c r="ZM55" s="302">
        <f t="shared" ref="ZM55" si="1460">IF(HEX2DEC(SUBSTITUTE(MID(ZK55,1,6)," ",""))&gt;32768,CONCATENATE(HEX2DEC(CONCATENATE("FFFFFF",SUBSTITUTE(MID(ZK55,1,6)," ","")))),HEX2DEC(SUBSTITUTE(MID(ZK55,1,6)," ","")))</f>
        <v>0</v>
      </c>
      <c r="ZN55" s="349"/>
      <c r="ZO55" s="350"/>
      <c r="ZP55" s="18">
        <v>23</v>
      </c>
      <c r="ZQ55" s="19" t="s">
        <v>1256</v>
      </c>
      <c r="ZR55" s="18">
        <f t="shared" si="1369"/>
        <v>60</v>
      </c>
      <c r="ZS55" s="18">
        <f t="shared" si="369"/>
        <v>61</v>
      </c>
      <c r="ZT55" s="18">
        <v>2</v>
      </c>
      <c r="ZU55" s="301" t="str">
        <f t="shared" si="370"/>
        <v/>
      </c>
      <c r="ZV55" s="301"/>
      <c r="ZW55" s="302">
        <f t="shared" ref="ZW55" si="1461">IF(HEX2DEC(SUBSTITUTE(MID(ZU55,1,6)," ",""))&gt;32768,CONCATENATE(HEX2DEC(CONCATENATE("FFFFFF",SUBSTITUTE(MID(ZU55,1,6)," ","")))),HEX2DEC(SUBSTITUTE(MID(ZU55,1,6)," ","")))</f>
        <v>0</v>
      </c>
      <c r="ZX55" s="349"/>
      <c r="ZY55" s="350"/>
      <c r="ZZ55" s="18">
        <v>23</v>
      </c>
      <c r="AAA55" s="19" t="s">
        <v>1256</v>
      </c>
      <c r="AAB55" s="18">
        <f t="shared" si="1370"/>
        <v>60</v>
      </c>
      <c r="AAC55" s="18">
        <f t="shared" si="373"/>
        <v>61</v>
      </c>
      <c r="AAD55" s="18">
        <v>2</v>
      </c>
      <c r="AAE55" s="301" t="str">
        <f t="shared" si="374"/>
        <v/>
      </c>
      <c r="AAF55" s="301"/>
      <c r="AAG55" s="302">
        <f t="shared" ref="AAG55" si="1462">IF(HEX2DEC(SUBSTITUTE(MID(AAE55,1,6)," ",""))&gt;32768,CONCATENATE(HEX2DEC(CONCATENATE("FFFFFF",SUBSTITUTE(MID(AAE55,1,6)," ","")))),HEX2DEC(SUBSTITUTE(MID(AAE55,1,6)," ","")))</f>
        <v>0</v>
      </c>
      <c r="AAH55" s="349"/>
      <c r="AAI55" s="350"/>
      <c r="AAJ55" s="18">
        <v>23</v>
      </c>
      <c r="AAK55" s="19" t="s">
        <v>1256</v>
      </c>
      <c r="AAL55" s="18">
        <f t="shared" si="1371"/>
        <v>60</v>
      </c>
      <c r="AAM55" s="18">
        <f t="shared" si="377"/>
        <v>61</v>
      </c>
      <c r="AAN55" s="18">
        <v>2</v>
      </c>
      <c r="AAO55" s="301" t="str">
        <f t="shared" si="378"/>
        <v/>
      </c>
      <c r="AAP55" s="301"/>
      <c r="AAQ55" s="302">
        <f t="shared" ref="AAQ55" si="1463">IF(HEX2DEC(SUBSTITUTE(MID(AAO55,1,6)," ",""))&gt;32768,CONCATENATE(HEX2DEC(CONCATENATE("FFFFFF",SUBSTITUTE(MID(AAO55,1,6)," ","")))),HEX2DEC(SUBSTITUTE(MID(AAO55,1,6)," ","")))</f>
        <v>0</v>
      </c>
      <c r="AAR55" s="349"/>
      <c r="AAS55" s="350"/>
      <c r="AAT55" s="18">
        <v>23</v>
      </c>
      <c r="AAU55" s="19" t="s">
        <v>1256</v>
      </c>
      <c r="AAV55" s="18">
        <f t="shared" si="1372"/>
        <v>60</v>
      </c>
      <c r="AAW55" s="18">
        <f t="shared" si="381"/>
        <v>61</v>
      </c>
      <c r="AAX55" s="18">
        <v>2</v>
      </c>
      <c r="AAY55" s="301" t="str">
        <f t="shared" si="382"/>
        <v/>
      </c>
      <c r="AAZ55" s="301"/>
      <c r="ABA55" s="302">
        <f t="shared" ref="ABA55" si="1464">IF(HEX2DEC(SUBSTITUTE(MID(AAY55,1,6)," ",""))&gt;32768,CONCATENATE(HEX2DEC(CONCATENATE("FFFFFF",SUBSTITUTE(MID(AAY55,1,6)," ","")))),HEX2DEC(SUBSTITUTE(MID(AAY55,1,6)," ","")))</f>
        <v>0</v>
      </c>
      <c r="ABB55" s="349"/>
      <c r="ABC55" s="350"/>
      <c r="ABD55" s="18">
        <v>23</v>
      </c>
      <c r="ABE55" s="19" t="s">
        <v>1256</v>
      </c>
      <c r="ABF55" s="18">
        <f t="shared" si="1373"/>
        <v>60</v>
      </c>
      <c r="ABG55" s="18">
        <f t="shared" si="385"/>
        <v>61</v>
      </c>
      <c r="ABH55" s="18">
        <v>2</v>
      </c>
      <c r="ABI55" s="301" t="str">
        <f t="shared" si="386"/>
        <v/>
      </c>
      <c r="ABJ55" s="301"/>
      <c r="ABK55" s="302">
        <f t="shared" ref="ABK55" si="1465">IF(HEX2DEC(SUBSTITUTE(MID(ABI55,1,6)," ",""))&gt;32768,CONCATENATE(HEX2DEC(CONCATENATE("FFFFFF",SUBSTITUTE(MID(ABI55,1,6)," ","")))),HEX2DEC(SUBSTITUTE(MID(ABI55,1,6)," ","")))</f>
        <v>0</v>
      </c>
      <c r="ABL55" s="349"/>
      <c r="ABM55" s="350"/>
      <c r="ABN55" s="18">
        <v>23</v>
      </c>
      <c r="ABO55" s="19" t="s">
        <v>1256</v>
      </c>
      <c r="ABP55" s="18">
        <f t="shared" si="1374"/>
        <v>60</v>
      </c>
      <c r="ABQ55" s="18">
        <f t="shared" si="389"/>
        <v>61</v>
      </c>
      <c r="ABR55" s="18">
        <v>2</v>
      </c>
      <c r="ABS55" s="301" t="str">
        <f t="shared" si="390"/>
        <v/>
      </c>
      <c r="ABT55" s="301"/>
      <c r="ABU55" s="302">
        <f t="shared" ref="ABU55" si="1466">IF(HEX2DEC(SUBSTITUTE(MID(ABS55,1,6)," ",""))&gt;32768,CONCATENATE(HEX2DEC(CONCATENATE("FFFFFF",SUBSTITUTE(MID(ABS55,1,6)," ","")))),HEX2DEC(SUBSTITUTE(MID(ABS55,1,6)," ","")))</f>
        <v>0</v>
      </c>
      <c r="ABV55" s="349"/>
      <c r="ABW55" s="350"/>
      <c r="ABX55" s="18">
        <v>23</v>
      </c>
      <c r="ABY55" s="19" t="s">
        <v>1256</v>
      </c>
      <c r="ABZ55" s="18">
        <f t="shared" si="1375"/>
        <v>60</v>
      </c>
      <c r="ACA55" s="18">
        <f t="shared" si="393"/>
        <v>61</v>
      </c>
      <c r="ACB55" s="18">
        <v>2</v>
      </c>
      <c r="ACC55" s="301" t="str">
        <f t="shared" si="394"/>
        <v/>
      </c>
      <c r="ACD55" s="301"/>
      <c r="ACE55" s="302">
        <f t="shared" ref="ACE55" si="1467">IF(HEX2DEC(SUBSTITUTE(MID(ACC55,1,6)," ",""))&gt;32768,CONCATENATE(HEX2DEC(CONCATENATE("FFFFFF",SUBSTITUTE(MID(ACC55,1,6)," ","")))),HEX2DEC(SUBSTITUTE(MID(ACC55,1,6)," ","")))</f>
        <v>0</v>
      </c>
      <c r="ACF55" s="349"/>
      <c r="ACG55" s="350"/>
      <c r="ACH55" s="18">
        <v>23</v>
      </c>
      <c r="ACI55" s="19" t="s">
        <v>1256</v>
      </c>
      <c r="ACJ55" s="18">
        <f t="shared" si="1376"/>
        <v>60</v>
      </c>
      <c r="ACK55" s="18">
        <f t="shared" si="397"/>
        <v>61</v>
      </c>
      <c r="ACL55" s="18">
        <v>2</v>
      </c>
      <c r="ACM55" s="301" t="str">
        <f t="shared" si="398"/>
        <v/>
      </c>
      <c r="ACN55" s="301"/>
      <c r="ACO55" s="302">
        <f t="shared" ref="ACO55" si="1468">IF(HEX2DEC(SUBSTITUTE(MID(ACM55,1,6)," ",""))&gt;32768,CONCATENATE(HEX2DEC(CONCATENATE("FFFFFF",SUBSTITUTE(MID(ACM55,1,6)," ","")))),HEX2DEC(SUBSTITUTE(MID(ACM55,1,6)," ","")))</f>
        <v>0</v>
      </c>
      <c r="ACP55" s="349"/>
      <c r="ACQ55" s="350"/>
      <c r="ACR55" s="18">
        <v>23</v>
      </c>
      <c r="ACS55" s="19" t="s">
        <v>1256</v>
      </c>
      <c r="ACT55" s="18">
        <f t="shared" si="1377"/>
        <v>60</v>
      </c>
      <c r="ACU55" s="18">
        <f t="shared" si="401"/>
        <v>61</v>
      </c>
      <c r="ACV55" s="18">
        <v>2</v>
      </c>
      <c r="ACW55" s="301" t="str">
        <f t="shared" si="402"/>
        <v/>
      </c>
      <c r="ACX55" s="301"/>
      <c r="ACY55" s="302">
        <f t="shared" ref="ACY55" si="1469">IF(HEX2DEC(SUBSTITUTE(MID(ACW55,1,6)," ",""))&gt;32768,CONCATENATE(HEX2DEC(CONCATENATE("FFFFFF",SUBSTITUTE(MID(ACW55,1,6)," ","")))),HEX2DEC(SUBSTITUTE(MID(ACW55,1,6)," ","")))</f>
        <v>0</v>
      </c>
      <c r="ACZ55" s="349"/>
      <c r="ADA55" s="350"/>
      <c r="ADB55" s="18">
        <v>23</v>
      </c>
      <c r="ADC55" s="19" t="s">
        <v>1256</v>
      </c>
      <c r="ADD55" s="18">
        <f t="shared" si="1378"/>
        <v>60</v>
      </c>
      <c r="ADE55" s="18">
        <f t="shared" si="405"/>
        <v>61</v>
      </c>
      <c r="ADF55" s="18">
        <v>2</v>
      </c>
      <c r="ADG55" s="301" t="str">
        <f t="shared" si="406"/>
        <v/>
      </c>
      <c r="ADH55" s="301"/>
      <c r="ADI55" s="302">
        <f t="shared" ref="ADI55" si="1470">IF(HEX2DEC(SUBSTITUTE(MID(ADG55,1,6)," ",""))&gt;32768,CONCATENATE(HEX2DEC(CONCATENATE("FFFFFF",SUBSTITUTE(MID(ADG55,1,6)," ","")))),HEX2DEC(SUBSTITUTE(MID(ADG55,1,6)," ","")))</f>
        <v>0</v>
      </c>
      <c r="ADJ55" s="349"/>
      <c r="ADK55" s="350"/>
      <c r="ADL55" s="18">
        <v>23</v>
      </c>
      <c r="ADM55" s="19" t="s">
        <v>1256</v>
      </c>
      <c r="ADN55" s="18">
        <f t="shared" si="1379"/>
        <v>60</v>
      </c>
      <c r="ADO55" s="18">
        <f t="shared" si="409"/>
        <v>61</v>
      </c>
      <c r="ADP55" s="18">
        <v>2</v>
      </c>
      <c r="ADQ55" s="301" t="str">
        <f t="shared" si="410"/>
        <v/>
      </c>
      <c r="ADR55" s="301"/>
      <c r="ADS55" s="302">
        <f t="shared" ref="ADS55" si="1471">IF(HEX2DEC(SUBSTITUTE(MID(ADQ55,1,6)," ",""))&gt;32768,CONCATENATE(HEX2DEC(CONCATENATE("FFFFFF",SUBSTITUTE(MID(ADQ55,1,6)," ","")))),HEX2DEC(SUBSTITUTE(MID(ADQ55,1,6)," ","")))</f>
        <v>0</v>
      </c>
      <c r="ADT55" s="349"/>
      <c r="ADU55" s="350"/>
      <c r="ADV55" s="18">
        <v>23</v>
      </c>
      <c r="ADW55" s="19" t="s">
        <v>1256</v>
      </c>
      <c r="ADX55" s="18">
        <f t="shared" si="1380"/>
        <v>60</v>
      </c>
      <c r="ADY55" s="18">
        <f t="shared" si="413"/>
        <v>61</v>
      </c>
      <c r="ADZ55" s="18">
        <v>2</v>
      </c>
      <c r="AEA55" s="301" t="str">
        <f t="shared" si="414"/>
        <v/>
      </c>
      <c r="AEB55" s="301"/>
      <c r="AEC55" s="302">
        <f t="shared" ref="AEC55" si="1472">IF(HEX2DEC(SUBSTITUTE(MID(AEA55,1,6)," ",""))&gt;32768,CONCATENATE(HEX2DEC(CONCATENATE("FFFFFF",SUBSTITUTE(MID(AEA55,1,6)," ","")))),HEX2DEC(SUBSTITUTE(MID(AEA55,1,6)," ","")))</f>
        <v>0</v>
      </c>
      <c r="AED55" s="349"/>
      <c r="AEE55" s="350"/>
      <c r="AEF55" s="18">
        <v>23</v>
      </c>
      <c r="AEG55" s="19" t="s">
        <v>1256</v>
      </c>
      <c r="AEH55" s="18">
        <f t="shared" si="1381"/>
        <v>60</v>
      </c>
      <c r="AEI55" s="18">
        <f t="shared" si="417"/>
        <v>61</v>
      </c>
      <c r="AEJ55" s="18">
        <v>2</v>
      </c>
      <c r="AEK55" s="301" t="str">
        <f t="shared" si="418"/>
        <v/>
      </c>
      <c r="AEL55" s="301"/>
      <c r="AEM55" s="302">
        <f t="shared" ref="AEM55" si="1473">IF(HEX2DEC(SUBSTITUTE(MID(AEK55,1,6)," ",""))&gt;32768,CONCATENATE(HEX2DEC(CONCATENATE("FFFFFF",SUBSTITUTE(MID(AEK55,1,6)," ","")))),HEX2DEC(SUBSTITUTE(MID(AEK55,1,6)," ","")))</f>
        <v>0</v>
      </c>
      <c r="AEN55" s="349"/>
      <c r="AEO55" s="350"/>
      <c r="AEP55" s="18">
        <v>23</v>
      </c>
      <c r="AEQ55" s="19" t="s">
        <v>1256</v>
      </c>
      <c r="AER55" s="18">
        <f t="shared" si="1382"/>
        <v>60</v>
      </c>
      <c r="AES55" s="18">
        <f t="shared" si="421"/>
        <v>61</v>
      </c>
      <c r="AET55" s="18">
        <v>2</v>
      </c>
      <c r="AEU55" s="301" t="str">
        <f t="shared" si="422"/>
        <v/>
      </c>
      <c r="AEV55" s="301"/>
      <c r="AEW55" s="302">
        <f t="shared" ref="AEW55" si="1474">IF(HEX2DEC(SUBSTITUTE(MID(AEU55,1,6)," ",""))&gt;32768,CONCATENATE(HEX2DEC(CONCATENATE("FFFFFF",SUBSTITUTE(MID(AEU55,1,6)," ","")))),HEX2DEC(SUBSTITUTE(MID(AEU55,1,6)," ","")))</f>
        <v>0</v>
      </c>
      <c r="AEX55" s="349"/>
      <c r="AEY55" s="350"/>
      <c r="AEZ55" s="18">
        <v>23</v>
      </c>
      <c r="AFA55" s="19" t="s">
        <v>1256</v>
      </c>
      <c r="AFB55" s="18">
        <f t="shared" si="1383"/>
        <v>60</v>
      </c>
      <c r="AFC55" s="18">
        <f t="shared" si="425"/>
        <v>61</v>
      </c>
      <c r="AFD55" s="18">
        <v>2</v>
      </c>
      <c r="AFE55" s="301" t="str">
        <f t="shared" si="426"/>
        <v/>
      </c>
      <c r="AFF55" s="301"/>
      <c r="AFG55" s="302">
        <f t="shared" ref="AFG55" si="1475">IF(HEX2DEC(SUBSTITUTE(MID(AFE55,1,6)," ",""))&gt;32768,CONCATENATE(HEX2DEC(CONCATENATE("FFFFFF",SUBSTITUTE(MID(AFE55,1,6)," ","")))),HEX2DEC(SUBSTITUTE(MID(AFE55,1,6)," ","")))</f>
        <v>0</v>
      </c>
      <c r="AFH55" s="349"/>
      <c r="AFI55" s="350"/>
      <c r="AFJ55" s="18">
        <v>23</v>
      </c>
      <c r="AFK55" s="19" t="s">
        <v>1256</v>
      </c>
      <c r="AFL55" s="18">
        <f t="shared" si="1384"/>
        <v>60</v>
      </c>
      <c r="AFM55" s="18">
        <f t="shared" si="429"/>
        <v>61</v>
      </c>
      <c r="AFN55" s="18">
        <v>2</v>
      </c>
      <c r="AFO55" s="301" t="str">
        <f t="shared" si="430"/>
        <v/>
      </c>
      <c r="AFP55" s="301"/>
      <c r="AFQ55" s="302">
        <f t="shared" ref="AFQ55" si="1476">IF(HEX2DEC(SUBSTITUTE(MID(AFO55,1,6)," ",""))&gt;32768,CONCATENATE(HEX2DEC(CONCATENATE("FFFFFF",SUBSTITUTE(MID(AFO55,1,6)," ","")))),HEX2DEC(SUBSTITUTE(MID(AFO55,1,6)," ","")))</f>
        <v>0</v>
      </c>
      <c r="AFR55" s="349"/>
      <c r="AFS55" s="350"/>
      <c r="AFT55" s="18">
        <v>23</v>
      </c>
      <c r="AFU55" s="19" t="s">
        <v>1256</v>
      </c>
      <c r="AFV55" s="18">
        <f t="shared" si="1385"/>
        <v>60</v>
      </c>
      <c r="AFW55" s="18">
        <f t="shared" si="433"/>
        <v>61</v>
      </c>
      <c r="AFX55" s="18">
        <v>2</v>
      </c>
      <c r="AFY55" s="301" t="str">
        <f t="shared" si="434"/>
        <v/>
      </c>
      <c r="AFZ55" s="301"/>
      <c r="AGA55" s="302">
        <f t="shared" ref="AGA55" si="1477">IF(HEX2DEC(SUBSTITUTE(MID(AFY55,1,6)," ",""))&gt;32768,CONCATENATE(HEX2DEC(CONCATENATE("FFFFFF",SUBSTITUTE(MID(AFY55,1,6)," ","")))),HEX2DEC(SUBSTITUTE(MID(AFY55,1,6)," ","")))</f>
        <v>0</v>
      </c>
      <c r="AGB55" s="349"/>
      <c r="AGC55" s="350"/>
      <c r="AGD55" s="18">
        <v>23</v>
      </c>
      <c r="AGE55" s="19" t="s">
        <v>1256</v>
      </c>
      <c r="AGF55" s="18">
        <f t="shared" si="1386"/>
        <v>60</v>
      </c>
      <c r="AGG55" s="18">
        <f t="shared" si="437"/>
        <v>61</v>
      </c>
      <c r="AGH55" s="18">
        <v>2</v>
      </c>
      <c r="AGI55" s="301" t="str">
        <f t="shared" si="438"/>
        <v/>
      </c>
      <c r="AGJ55" s="301"/>
      <c r="AGK55" s="302">
        <f t="shared" ref="AGK55" si="1478">IF(HEX2DEC(SUBSTITUTE(MID(AGI55,1,6)," ",""))&gt;32768,CONCATENATE(HEX2DEC(CONCATENATE("FFFFFF",SUBSTITUTE(MID(AGI55,1,6)," ","")))),HEX2DEC(SUBSTITUTE(MID(AGI55,1,6)," ","")))</f>
        <v>0</v>
      </c>
      <c r="AGL55" s="349"/>
      <c r="AGM55" s="350"/>
      <c r="AGN55" s="18">
        <v>23</v>
      </c>
      <c r="AGO55" s="19" t="s">
        <v>1256</v>
      </c>
      <c r="AGP55" s="18">
        <f t="shared" si="1387"/>
        <v>60</v>
      </c>
      <c r="AGQ55" s="18">
        <f t="shared" si="441"/>
        <v>61</v>
      </c>
      <c r="AGR55" s="18">
        <v>2</v>
      </c>
      <c r="AGS55" s="301" t="str">
        <f t="shared" si="442"/>
        <v/>
      </c>
      <c r="AGT55" s="301"/>
      <c r="AGU55" s="302">
        <f t="shared" ref="AGU55" si="1479">IF(HEX2DEC(SUBSTITUTE(MID(AGS55,1,6)," ",""))&gt;32768,CONCATENATE(HEX2DEC(CONCATENATE("FFFFFF",SUBSTITUTE(MID(AGS55,1,6)," ","")))),HEX2DEC(SUBSTITUTE(MID(AGS55,1,6)," ","")))</f>
        <v>0</v>
      </c>
      <c r="AGV55" s="349"/>
      <c r="AGW55" s="350"/>
      <c r="AGX55" s="18">
        <v>23</v>
      </c>
      <c r="AGY55" s="19" t="s">
        <v>1256</v>
      </c>
      <c r="AGZ55" s="18">
        <f t="shared" si="1388"/>
        <v>60</v>
      </c>
      <c r="AHA55" s="18">
        <f t="shared" si="445"/>
        <v>61</v>
      </c>
      <c r="AHB55" s="18">
        <v>2</v>
      </c>
      <c r="AHC55" s="301" t="str">
        <f t="shared" si="446"/>
        <v/>
      </c>
      <c r="AHD55" s="301"/>
      <c r="AHE55" s="302">
        <f t="shared" ref="AHE55" si="1480">IF(HEX2DEC(SUBSTITUTE(MID(AHC55,1,6)," ",""))&gt;32768,CONCATENATE(HEX2DEC(CONCATENATE("FFFFFF",SUBSTITUTE(MID(AHC55,1,6)," ","")))),HEX2DEC(SUBSTITUTE(MID(AHC55,1,6)," ","")))</f>
        <v>0</v>
      </c>
      <c r="AHF55" s="349"/>
      <c r="AHG55" s="350"/>
      <c r="AHH55" s="18">
        <v>23</v>
      </c>
      <c r="AHI55" s="19" t="s">
        <v>1256</v>
      </c>
      <c r="AHJ55" s="18">
        <f t="shared" si="1389"/>
        <v>60</v>
      </c>
      <c r="AHK55" s="18">
        <f t="shared" si="449"/>
        <v>61</v>
      </c>
      <c r="AHL55" s="18">
        <v>2</v>
      </c>
      <c r="AHM55" s="301" t="str">
        <f t="shared" si="450"/>
        <v/>
      </c>
      <c r="AHN55" s="301"/>
      <c r="AHO55" s="302">
        <f t="shared" ref="AHO55" si="1481">IF(HEX2DEC(SUBSTITUTE(MID(AHM55,1,6)," ",""))&gt;32768,CONCATENATE(HEX2DEC(CONCATENATE("FFFFFF",SUBSTITUTE(MID(AHM55,1,6)," ","")))),HEX2DEC(SUBSTITUTE(MID(AHM55,1,6)," ","")))</f>
        <v>0</v>
      </c>
      <c r="AHP55" s="349"/>
      <c r="AHQ55" s="350"/>
      <c r="AHR55" s="18">
        <v>23</v>
      </c>
      <c r="AHS55" s="19" t="s">
        <v>1256</v>
      </c>
      <c r="AHT55" s="18">
        <f t="shared" si="1390"/>
        <v>60</v>
      </c>
      <c r="AHU55" s="18">
        <f t="shared" si="453"/>
        <v>61</v>
      </c>
      <c r="AHV55" s="18">
        <v>2</v>
      </c>
      <c r="AHW55" s="301" t="str">
        <f t="shared" si="454"/>
        <v/>
      </c>
      <c r="AHX55" s="301"/>
      <c r="AHY55" s="302">
        <f t="shared" ref="AHY55" si="1482">IF(HEX2DEC(SUBSTITUTE(MID(AHW55,1,6)," ",""))&gt;32768,CONCATENATE(HEX2DEC(CONCATENATE("FFFFFF",SUBSTITUTE(MID(AHW55,1,6)," ","")))),HEX2DEC(SUBSTITUTE(MID(AHW55,1,6)," ","")))</f>
        <v>0</v>
      </c>
      <c r="AHZ55" s="349"/>
      <c r="AIA55" s="350"/>
      <c r="AIB55" s="18">
        <v>23</v>
      </c>
      <c r="AIC55" s="19" t="s">
        <v>1256</v>
      </c>
      <c r="AID55" s="18">
        <f t="shared" si="1391"/>
        <v>60</v>
      </c>
      <c r="AIE55" s="18">
        <f t="shared" si="457"/>
        <v>61</v>
      </c>
      <c r="AIF55" s="18">
        <v>2</v>
      </c>
      <c r="AIG55" s="301" t="str">
        <f t="shared" si="458"/>
        <v/>
      </c>
      <c r="AIH55" s="301"/>
      <c r="AII55" s="302">
        <f t="shared" ref="AII55" si="1483">IF(HEX2DEC(SUBSTITUTE(MID(AIG55,1,6)," ",""))&gt;32768,CONCATENATE(HEX2DEC(CONCATENATE("FFFFFF",SUBSTITUTE(MID(AIG55,1,6)," ","")))),HEX2DEC(SUBSTITUTE(MID(AIG55,1,6)," ","")))</f>
        <v>0</v>
      </c>
      <c r="AIJ55" s="349"/>
      <c r="AIK55" s="350"/>
      <c r="AIL55" s="18">
        <v>23</v>
      </c>
      <c r="AIM55" s="19" t="s">
        <v>1256</v>
      </c>
      <c r="AIN55" s="18">
        <f t="shared" si="1392"/>
        <v>60</v>
      </c>
      <c r="AIO55" s="18">
        <f t="shared" si="461"/>
        <v>61</v>
      </c>
      <c r="AIP55" s="18">
        <v>2</v>
      </c>
      <c r="AIQ55" s="301" t="str">
        <f t="shared" si="462"/>
        <v/>
      </c>
      <c r="AIR55" s="301"/>
      <c r="AIS55" s="302">
        <f t="shared" ref="AIS55" si="1484">IF(HEX2DEC(SUBSTITUTE(MID(AIQ55,1,6)," ",""))&gt;32768,CONCATENATE(HEX2DEC(CONCATENATE("FFFFFF",SUBSTITUTE(MID(AIQ55,1,6)," ","")))),HEX2DEC(SUBSTITUTE(MID(AIQ55,1,6)," ","")))</f>
        <v>0</v>
      </c>
      <c r="AIT55" s="349"/>
      <c r="AIU55" s="350"/>
      <c r="AIV55" s="18">
        <v>23</v>
      </c>
      <c r="AIW55" s="19" t="s">
        <v>1256</v>
      </c>
      <c r="AIX55" s="18">
        <f t="shared" si="1393"/>
        <v>60</v>
      </c>
      <c r="AIY55" s="18">
        <f t="shared" si="465"/>
        <v>61</v>
      </c>
      <c r="AIZ55" s="18">
        <v>2</v>
      </c>
      <c r="AJA55" s="301" t="str">
        <f t="shared" si="466"/>
        <v/>
      </c>
      <c r="AJB55" s="301"/>
      <c r="AJC55" s="302">
        <f t="shared" ref="AJC55" si="1485">IF(HEX2DEC(SUBSTITUTE(MID(AJA55,1,6)," ",""))&gt;32768,CONCATENATE(HEX2DEC(CONCATENATE("FFFFFF",SUBSTITUTE(MID(AJA55,1,6)," ","")))),HEX2DEC(SUBSTITUTE(MID(AJA55,1,6)," ","")))</f>
        <v>0</v>
      </c>
      <c r="AJD55" s="349"/>
    </row>
    <row r="56" spans="1:940">
      <c r="A56" s="368"/>
      <c r="B56" s="18">
        <v>25</v>
      </c>
      <c r="C56" s="19" t="s">
        <v>1257</v>
      </c>
      <c r="D56" s="18">
        <f t="shared" si="561"/>
        <v>62</v>
      </c>
      <c r="E56" s="18">
        <f t="shared" si="1117"/>
        <v>63</v>
      </c>
      <c r="F56" s="18">
        <v>2</v>
      </c>
      <c r="G56" s="301" t="str">
        <f t="shared" si="468"/>
        <v/>
      </c>
      <c r="H56" s="301"/>
      <c r="I56" s="302">
        <f t="shared" si="1024"/>
        <v>0</v>
      </c>
      <c r="J56" s="305"/>
      <c r="K56" s="351"/>
      <c r="L56" s="18">
        <v>24</v>
      </c>
      <c r="M56" s="19" t="s">
        <v>1257</v>
      </c>
      <c r="N56" s="18">
        <f t="shared" si="562"/>
        <v>62</v>
      </c>
      <c r="O56" s="18">
        <f t="shared" si="97"/>
        <v>63</v>
      </c>
      <c r="P56" s="18">
        <v>2</v>
      </c>
      <c r="Q56" s="301" t="str">
        <f t="shared" si="98"/>
        <v/>
      </c>
      <c r="R56" s="301"/>
      <c r="S56" s="302" t="str">
        <f t="shared" si="99"/>
        <v/>
      </c>
      <c r="T56" s="349"/>
      <c r="U56" s="351"/>
      <c r="V56" s="18">
        <v>24</v>
      </c>
      <c r="W56" s="19" t="s">
        <v>1257</v>
      </c>
      <c r="X56" s="18">
        <f t="shared" si="1302"/>
        <v>62</v>
      </c>
      <c r="Y56" s="18">
        <f t="shared" si="101"/>
        <v>63</v>
      </c>
      <c r="Z56" s="18">
        <v>2</v>
      </c>
      <c r="AA56" s="301" t="str">
        <f t="shared" si="102"/>
        <v/>
      </c>
      <c r="AB56" s="301"/>
      <c r="AC56" s="302" t="str">
        <f t="shared" ref="AC56" si="1486">IF(HEX2DEC(SUBSTITUTE(AA56," ",""))=0,"",HEX2DEC(SUBSTITUTE(AA56," ","")))</f>
        <v/>
      </c>
      <c r="AD56" s="349"/>
      <c r="AE56" s="351"/>
      <c r="AF56" s="18">
        <v>24</v>
      </c>
      <c r="AG56" s="19" t="s">
        <v>1257</v>
      </c>
      <c r="AH56" s="18">
        <f t="shared" si="1303"/>
        <v>62</v>
      </c>
      <c r="AI56" s="18">
        <f t="shared" si="105"/>
        <v>63</v>
      </c>
      <c r="AJ56" s="18">
        <v>2</v>
      </c>
      <c r="AK56" s="301" t="str">
        <f t="shared" si="106"/>
        <v/>
      </c>
      <c r="AL56" s="301"/>
      <c r="AM56" s="302" t="str">
        <f t="shared" ref="AM56" si="1487">IF(HEX2DEC(SUBSTITUTE(AK56," ",""))=0,"",HEX2DEC(SUBSTITUTE(AK56," ","")))</f>
        <v/>
      </c>
      <c r="AN56" s="349"/>
      <c r="AO56" s="351"/>
      <c r="AP56" s="18">
        <v>24</v>
      </c>
      <c r="AQ56" s="19" t="s">
        <v>1257</v>
      </c>
      <c r="AR56" s="18">
        <f t="shared" si="1304"/>
        <v>62</v>
      </c>
      <c r="AS56" s="18">
        <f t="shared" si="109"/>
        <v>63</v>
      </c>
      <c r="AT56" s="18">
        <v>2</v>
      </c>
      <c r="AU56" s="301" t="str">
        <f t="shared" si="110"/>
        <v/>
      </c>
      <c r="AV56" s="301"/>
      <c r="AW56" s="302" t="str">
        <f t="shared" ref="AW56" si="1488">IF(HEX2DEC(SUBSTITUTE(AU56," ",""))=0,"",HEX2DEC(SUBSTITUTE(AU56," ","")))</f>
        <v/>
      </c>
      <c r="AX56" s="349"/>
      <c r="AY56" s="351"/>
      <c r="AZ56" s="18">
        <v>24</v>
      </c>
      <c r="BA56" s="19" t="s">
        <v>1257</v>
      </c>
      <c r="BB56" s="18">
        <f t="shared" si="1305"/>
        <v>62</v>
      </c>
      <c r="BC56" s="18">
        <f t="shared" si="113"/>
        <v>63</v>
      </c>
      <c r="BD56" s="18">
        <v>2</v>
      </c>
      <c r="BE56" s="301" t="str">
        <f t="shared" si="114"/>
        <v/>
      </c>
      <c r="BF56" s="301"/>
      <c r="BG56" s="302" t="str">
        <f t="shared" ref="BG56" si="1489">IF(HEX2DEC(SUBSTITUTE(BE56," ",""))=0,"",HEX2DEC(SUBSTITUTE(BE56," ","")))</f>
        <v/>
      </c>
      <c r="BH56" s="349"/>
      <c r="BI56" s="351"/>
      <c r="BJ56" s="18">
        <v>24</v>
      </c>
      <c r="BK56" s="19" t="s">
        <v>1257</v>
      </c>
      <c r="BL56" s="18">
        <f t="shared" si="1306"/>
        <v>62</v>
      </c>
      <c r="BM56" s="18">
        <f t="shared" si="117"/>
        <v>63</v>
      </c>
      <c r="BN56" s="18">
        <v>2</v>
      </c>
      <c r="BO56" s="301" t="str">
        <f t="shared" si="118"/>
        <v/>
      </c>
      <c r="BP56" s="301"/>
      <c r="BQ56" s="302" t="str">
        <f t="shared" ref="BQ56" si="1490">IF(HEX2DEC(SUBSTITUTE(BO56," ",""))=0,"",HEX2DEC(SUBSTITUTE(BO56," ","")))</f>
        <v/>
      </c>
      <c r="BR56" s="349"/>
      <c r="BS56" s="351"/>
      <c r="BT56" s="18">
        <v>24</v>
      </c>
      <c r="BU56" s="19" t="s">
        <v>1257</v>
      </c>
      <c r="BV56" s="18">
        <f t="shared" si="1307"/>
        <v>62</v>
      </c>
      <c r="BW56" s="18">
        <f t="shared" si="121"/>
        <v>63</v>
      </c>
      <c r="BX56" s="18">
        <v>2</v>
      </c>
      <c r="BY56" s="301" t="str">
        <f t="shared" si="122"/>
        <v/>
      </c>
      <c r="BZ56" s="301"/>
      <c r="CA56" s="302" t="str">
        <f t="shared" ref="CA56" si="1491">IF(HEX2DEC(SUBSTITUTE(BY56," ",""))=0,"",HEX2DEC(SUBSTITUTE(BY56," ","")))</f>
        <v/>
      </c>
      <c r="CB56" s="349"/>
      <c r="CC56" s="351"/>
      <c r="CD56" s="18">
        <v>24</v>
      </c>
      <c r="CE56" s="19" t="s">
        <v>1257</v>
      </c>
      <c r="CF56" s="18">
        <f t="shared" si="1308"/>
        <v>62</v>
      </c>
      <c r="CG56" s="18">
        <f t="shared" si="125"/>
        <v>63</v>
      </c>
      <c r="CH56" s="18">
        <v>2</v>
      </c>
      <c r="CI56" s="301" t="str">
        <f t="shared" si="126"/>
        <v/>
      </c>
      <c r="CJ56" s="301"/>
      <c r="CK56" s="302" t="str">
        <f t="shared" ref="CK56" si="1492">IF(HEX2DEC(SUBSTITUTE(CI56," ",""))=0,"",HEX2DEC(SUBSTITUTE(CI56," ","")))</f>
        <v/>
      </c>
      <c r="CL56" s="349"/>
      <c r="CM56" s="351"/>
      <c r="CN56" s="18">
        <v>24</v>
      </c>
      <c r="CO56" s="19" t="s">
        <v>1257</v>
      </c>
      <c r="CP56" s="18">
        <f t="shared" si="1309"/>
        <v>62</v>
      </c>
      <c r="CQ56" s="18">
        <f t="shared" si="129"/>
        <v>63</v>
      </c>
      <c r="CR56" s="18">
        <v>2</v>
      </c>
      <c r="CS56" s="301" t="str">
        <f t="shared" si="130"/>
        <v/>
      </c>
      <c r="CT56" s="301"/>
      <c r="CU56" s="302" t="str">
        <f t="shared" ref="CU56" si="1493">IF(HEX2DEC(SUBSTITUTE(CS56," ",""))=0,"",HEX2DEC(SUBSTITUTE(CS56," ","")))</f>
        <v/>
      </c>
      <c r="CV56" s="349"/>
      <c r="CW56" s="351"/>
      <c r="CX56" s="18">
        <v>24</v>
      </c>
      <c r="CY56" s="19" t="s">
        <v>1257</v>
      </c>
      <c r="CZ56" s="18">
        <f t="shared" si="1310"/>
        <v>62</v>
      </c>
      <c r="DA56" s="18">
        <f t="shared" si="133"/>
        <v>63</v>
      </c>
      <c r="DB56" s="18">
        <v>2</v>
      </c>
      <c r="DC56" s="301" t="str">
        <f t="shared" si="134"/>
        <v/>
      </c>
      <c r="DD56" s="301"/>
      <c r="DE56" s="302" t="str">
        <f t="shared" ref="DE56" si="1494">IF(HEX2DEC(SUBSTITUTE(DC56," ",""))=0,"",HEX2DEC(SUBSTITUTE(DC56," ","")))</f>
        <v/>
      </c>
      <c r="DF56" s="349"/>
      <c r="DG56" s="351"/>
      <c r="DH56" s="18">
        <v>24</v>
      </c>
      <c r="DI56" s="19" t="s">
        <v>1257</v>
      </c>
      <c r="DJ56" s="18">
        <f t="shared" si="1311"/>
        <v>62</v>
      </c>
      <c r="DK56" s="18">
        <f t="shared" si="137"/>
        <v>63</v>
      </c>
      <c r="DL56" s="18">
        <v>2</v>
      </c>
      <c r="DM56" s="301" t="str">
        <f t="shared" si="138"/>
        <v/>
      </c>
      <c r="DN56" s="301"/>
      <c r="DO56" s="302" t="str">
        <f t="shared" ref="DO56" si="1495">IF(HEX2DEC(SUBSTITUTE(DM56," ",""))=0,"",HEX2DEC(SUBSTITUTE(DM56," ","")))</f>
        <v/>
      </c>
      <c r="DP56" s="349"/>
      <c r="DQ56" s="351"/>
      <c r="DR56" s="18">
        <v>24</v>
      </c>
      <c r="DS56" s="19" t="s">
        <v>1257</v>
      </c>
      <c r="DT56" s="18">
        <f t="shared" si="1312"/>
        <v>62</v>
      </c>
      <c r="DU56" s="18">
        <f t="shared" si="141"/>
        <v>63</v>
      </c>
      <c r="DV56" s="18">
        <v>2</v>
      </c>
      <c r="DW56" s="301" t="str">
        <f t="shared" si="142"/>
        <v/>
      </c>
      <c r="DX56" s="301"/>
      <c r="DY56" s="302" t="str">
        <f t="shared" ref="DY56" si="1496">IF(HEX2DEC(SUBSTITUTE(DW56," ",""))=0,"",HEX2DEC(SUBSTITUTE(DW56," ","")))</f>
        <v/>
      </c>
      <c r="DZ56" s="349"/>
      <c r="EA56" s="351"/>
      <c r="EB56" s="18">
        <v>24</v>
      </c>
      <c r="EC56" s="19" t="s">
        <v>1257</v>
      </c>
      <c r="ED56" s="18">
        <f t="shared" si="1313"/>
        <v>62</v>
      </c>
      <c r="EE56" s="18">
        <f t="shared" si="145"/>
        <v>63</v>
      </c>
      <c r="EF56" s="18">
        <v>2</v>
      </c>
      <c r="EG56" s="301" t="str">
        <f t="shared" si="146"/>
        <v/>
      </c>
      <c r="EH56" s="301"/>
      <c r="EI56" s="302" t="str">
        <f t="shared" ref="EI56" si="1497">IF(HEX2DEC(SUBSTITUTE(EG56," ",""))=0,"",HEX2DEC(SUBSTITUTE(EG56," ","")))</f>
        <v/>
      </c>
      <c r="EJ56" s="349"/>
      <c r="EK56" s="351"/>
      <c r="EL56" s="18">
        <v>24</v>
      </c>
      <c r="EM56" s="19" t="s">
        <v>1257</v>
      </c>
      <c r="EN56" s="18">
        <f t="shared" si="1314"/>
        <v>62</v>
      </c>
      <c r="EO56" s="18">
        <f t="shared" si="149"/>
        <v>63</v>
      </c>
      <c r="EP56" s="18">
        <v>2</v>
      </c>
      <c r="EQ56" s="301" t="str">
        <f t="shared" si="150"/>
        <v/>
      </c>
      <c r="ER56" s="301"/>
      <c r="ES56" s="302" t="str">
        <f t="shared" ref="ES56" si="1498">IF(HEX2DEC(SUBSTITUTE(EQ56," ",""))=0,"",HEX2DEC(SUBSTITUTE(EQ56," ","")))</f>
        <v/>
      </c>
      <c r="ET56" s="349"/>
      <c r="EU56" s="351"/>
      <c r="EV56" s="18">
        <v>24</v>
      </c>
      <c r="EW56" s="19" t="s">
        <v>1257</v>
      </c>
      <c r="EX56" s="18">
        <f t="shared" si="1315"/>
        <v>62</v>
      </c>
      <c r="EY56" s="18">
        <f t="shared" si="153"/>
        <v>63</v>
      </c>
      <c r="EZ56" s="18">
        <v>2</v>
      </c>
      <c r="FA56" s="301" t="str">
        <f t="shared" si="154"/>
        <v/>
      </c>
      <c r="FB56" s="301"/>
      <c r="FC56" s="302" t="str">
        <f t="shared" ref="FC56" si="1499">IF(HEX2DEC(SUBSTITUTE(FA56," ",""))=0,"",HEX2DEC(SUBSTITUTE(FA56," ","")))</f>
        <v/>
      </c>
      <c r="FD56" s="349"/>
      <c r="FE56" s="351"/>
      <c r="FF56" s="18">
        <v>24</v>
      </c>
      <c r="FG56" s="19" t="s">
        <v>1257</v>
      </c>
      <c r="FH56" s="18">
        <f t="shared" si="1316"/>
        <v>62</v>
      </c>
      <c r="FI56" s="18">
        <f t="shared" si="157"/>
        <v>63</v>
      </c>
      <c r="FJ56" s="18">
        <v>2</v>
      </c>
      <c r="FK56" s="301" t="str">
        <f t="shared" si="158"/>
        <v/>
      </c>
      <c r="FL56" s="301"/>
      <c r="FM56" s="302" t="str">
        <f t="shared" ref="FM56" si="1500">IF(HEX2DEC(SUBSTITUTE(FK56," ",""))=0,"",HEX2DEC(SUBSTITUTE(FK56," ","")))</f>
        <v/>
      </c>
      <c r="FN56" s="349"/>
      <c r="FO56" s="351"/>
      <c r="FP56" s="18">
        <v>24</v>
      </c>
      <c r="FQ56" s="19" t="s">
        <v>1257</v>
      </c>
      <c r="FR56" s="18">
        <f t="shared" si="1317"/>
        <v>62</v>
      </c>
      <c r="FS56" s="18">
        <f t="shared" si="161"/>
        <v>63</v>
      </c>
      <c r="FT56" s="18">
        <v>2</v>
      </c>
      <c r="FU56" s="301" t="str">
        <f t="shared" si="162"/>
        <v/>
      </c>
      <c r="FV56" s="301"/>
      <c r="FW56" s="302" t="str">
        <f t="shared" ref="FW56" si="1501">IF(HEX2DEC(SUBSTITUTE(FU56," ",""))=0,"",HEX2DEC(SUBSTITUTE(FU56," ","")))</f>
        <v/>
      </c>
      <c r="FX56" s="349"/>
      <c r="FY56" s="351"/>
      <c r="FZ56" s="18">
        <v>24</v>
      </c>
      <c r="GA56" s="19" t="s">
        <v>1257</v>
      </c>
      <c r="GB56" s="18">
        <f t="shared" si="1318"/>
        <v>62</v>
      </c>
      <c r="GC56" s="18">
        <f t="shared" si="165"/>
        <v>63</v>
      </c>
      <c r="GD56" s="18">
        <v>2</v>
      </c>
      <c r="GE56" s="301" t="str">
        <f t="shared" si="166"/>
        <v/>
      </c>
      <c r="GF56" s="301"/>
      <c r="GG56" s="302" t="str">
        <f t="shared" ref="GG56" si="1502">IF(HEX2DEC(SUBSTITUTE(GE56," ",""))=0,"",HEX2DEC(SUBSTITUTE(GE56," ","")))</f>
        <v/>
      </c>
      <c r="GH56" s="349"/>
      <c r="GI56" s="351"/>
      <c r="GJ56" s="18">
        <v>24</v>
      </c>
      <c r="GK56" s="19" t="s">
        <v>1257</v>
      </c>
      <c r="GL56" s="18">
        <f t="shared" si="1319"/>
        <v>62</v>
      </c>
      <c r="GM56" s="18">
        <f t="shared" si="169"/>
        <v>63</v>
      </c>
      <c r="GN56" s="18">
        <v>2</v>
      </c>
      <c r="GO56" s="301" t="str">
        <f t="shared" si="170"/>
        <v/>
      </c>
      <c r="GP56" s="301"/>
      <c r="GQ56" s="302" t="str">
        <f t="shared" ref="GQ56" si="1503">IF(HEX2DEC(SUBSTITUTE(GO56," ",""))=0,"",HEX2DEC(SUBSTITUTE(GO56," ","")))</f>
        <v/>
      </c>
      <c r="GR56" s="349"/>
      <c r="GS56" s="351"/>
      <c r="GT56" s="18">
        <v>24</v>
      </c>
      <c r="GU56" s="19" t="s">
        <v>1257</v>
      </c>
      <c r="GV56" s="18">
        <f t="shared" si="1320"/>
        <v>62</v>
      </c>
      <c r="GW56" s="18">
        <f t="shared" si="173"/>
        <v>63</v>
      </c>
      <c r="GX56" s="18">
        <v>2</v>
      </c>
      <c r="GY56" s="301" t="str">
        <f t="shared" si="174"/>
        <v/>
      </c>
      <c r="GZ56" s="301"/>
      <c r="HA56" s="302" t="str">
        <f t="shared" ref="HA56" si="1504">IF(HEX2DEC(SUBSTITUTE(GY56," ",""))=0,"",HEX2DEC(SUBSTITUTE(GY56," ","")))</f>
        <v/>
      </c>
      <c r="HB56" s="349"/>
      <c r="HC56" s="351"/>
      <c r="HD56" s="18">
        <v>24</v>
      </c>
      <c r="HE56" s="19" t="s">
        <v>1257</v>
      </c>
      <c r="HF56" s="18">
        <f t="shared" si="1321"/>
        <v>62</v>
      </c>
      <c r="HG56" s="18">
        <f t="shared" si="177"/>
        <v>63</v>
      </c>
      <c r="HH56" s="18">
        <v>2</v>
      </c>
      <c r="HI56" s="301" t="str">
        <f t="shared" si="178"/>
        <v/>
      </c>
      <c r="HJ56" s="301"/>
      <c r="HK56" s="302" t="str">
        <f t="shared" ref="HK56" si="1505">IF(HEX2DEC(SUBSTITUTE(HI56," ",""))=0,"",HEX2DEC(SUBSTITUTE(HI56," ","")))</f>
        <v/>
      </c>
      <c r="HL56" s="349"/>
      <c r="HM56" s="351"/>
      <c r="HN56" s="18">
        <v>24</v>
      </c>
      <c r="HO56" s="19" t="s">
        <v>1257</v>
      </c>
      <c r="HP56" s="18">
        <f t="shared" si="1322"/>
        <v>62</v>
      </c>
      <c r="HQ56" s="18">
        <f t="shared" si="181"/>
        <v>63</v>
      </c>
      <c r="HR56" s="18">
        <v>2</v>
      </c>
      <c r="HS56" s="301" t="str">
        <f t="shared" si="182"/>
        <v/>
      </c>
      <c r="HT56" s="301"/>
      <c r="HU56" s="302" t="str">
        <f t="shared" ref="HU56" si="1506">IF(HEX2DEC(SUBSTITUTE(HS56," ",""))=0,"",HEX2DEC(SUBSTITUTE(HS56," ","")))</f>
        <v/>
      </c>
      <c r="HV56" s="349"/>
      <c r="HW56" s="351"/>
      <c r="HX56" s="18">
        <v>24</v>
      </c>
      <c r="HY56" s="19" t="s">
        <v>1257</v>
      </c>
      <c r="HZ56" s="18">
        <f t="shared" si="1323"/>
        <v>62</v>
      </c>
      <c r="IA56" s="18">
        <f t="shared" si="185"/>
        <v>63</v>
      </c>
      <c r="IB56" s="18">
        <v>2</v>
      </c>
      <c r="IC56" s="301" t="str">
        <f t="shared" si="186"/>
        <v/>
      </c>
      <c r="ID56" s="301"/>
      <c r="IE56" s="302" t="str">
        <f t="shared" ref="IE56" si="1507">IF(HEX2DEC(SUBSTITUTE(IC56," ",""))=0,"",HEX2DEC(SUBSTITUTE(IC56," ","")))</f>
        <v/>
      </c>
      <c r="IF56" s="349"/>
      <c r="IG56" s="351"/>
      <c r="IH56" s="18">
        <v>24</v>
      </c>
      <c r="II56" s="19" t="s">
        <v>1257</v>
      </c>
      <c r="IJ56" s="18">
        <f t="shared" si="1324"/>
        <v>62</v>
      </c>
      <c r="IK56" s="18">
        <f t="shared" si="189"/>
        <v>63</v>
      </c>
      <c r="IL56" s="18">
        <v>2</v>
      </c>
      <c r="IM56" s="301" t="str">
        <f t="shared" si="190"/>
        <v/>
      </c>
      <c r="IN56" s="301"/>
      <c r="IO56" s="302" t="str">
        <f t="shared" ref="IO56" si="1508">IF(HEX2DEC(SUBSTITUTE(IM56," ",""))=0,"",HEX2DEC(SUBSTITUTE(IM56," ","")))</f>
        <v/>
      </c>
      <c r="IP56" s="349"/>
      <c r="IQ56" s="351"/>
      <c r="IR56" s="18">
        <v>24</v>
      </c>
      <c r="IS56" s="19" t="s">
        <v>1257</v>
      </c>
      <c r="IT56" s="18">
        <f t="shared" si="1325"/>
        <v>62</v>
      </c>
      <c r="IU56" s="18">
        <f t="shared" si="193"/>
        <v>63</v>
      </c>
      <c r="IV56" s="18">
        <v>2</v>
      </c>
      <c r="IW56" s="301" t="str">
        <f t="shared" si="194"/>
        <v/>
      </c>
      <c r="IX56" s="301"/>
      <c r="IY56" s="302" t="str">
        <f t="shared" ref="IY56" si="1509">IF(HEX2DEC(SUBSTITUTE(IW56," ",""))=0,"",HEX2DEC(SUBSTITUTE(IW56," ","")))</f>
        <v/>
      </c>
      <c r="IZ56" s="349"/>
      <c r="JA56" s="351"/>
      <c r="JB56" s="18">
        <v>24</v>
      </c>
      <c r="JC56" s="19" t="s">
        <v>1257</v>
      </c>
      <c r="JD56" s="18">
        <f t="shared" si="1326"/>
        <v>62</v>
      </c>
      <c r="JE56" s="18">
        <f t="shared" si="197"/>
        <v>63</v>
      </c>
      <c r="JF56" s="18">
        <v>2</v>
      </c>
      <c r="JG56" s="301" t="str">
        <f t="shared" si="198"/>
        <v/>
      </c>
      <c r="JH56" s="301"/>
      <c r="JI56" s="302" t="str">
        <f t="shared" ref="JI56" si="1510">IF(HEX2DEC(SUBSTITUTE(JG56," ",""))=0,"",HEX2DEC(SUBSTITUTE(JG56," ","")))</f>
        <v/>
      </c>
      <c r="JJ56" s="349"/>
      <c r="JK56" s="351"/>
      <c r="JL56" s="18">
        <v>24</v>
      </c>
      <c r="JM56" s="19" t="s">
        <v>1257</v>
      </c>
      <c r="JN56" s="18">
        <f t="shared" si="1327"/>
        <v>62</v>
      </c>
      <c r="JO56" s="18">
        <f t="shared" si="201"/>
        <v>63</v>
      </c>
      <c r="JP56" s="18">
        <v>2</v>
      </c>
      <c r="JQ56" s="301" t="str">
        <f t="shared" si="202"/>
        <v/>
      </c>
      <c r="JR56" s="301"/>
      <c r="JS56" s="302" t="str">
        <f t="shared" ref="JS56" si="1511">IF(HEX2DEC(SUBSTITUTE(JQ56," ",""))=0,"",HEX2DEC(SUBSTITUTE(JQ56," ","")))</f>
        <v/>
      </c>
      <c r="JT56" s="349"/>
      <c r="JU56" s="351"/>
      <c r="JV56" s="18">
        <v>24</v>
      </c>
      <c r="JW56" s="19" t="s">
        <v>1257</v>
      </c>
      <c r="JX56" s="18">
        <f t="shared" si="1328"/>
        <v>62</v>
      </c>
      <c r="JY56" s="18">
        <f t="shared" si="205"/>
        <v>63</v>
      </c>
      <c r="JZ56" s="18">
        <v>2</v>
      </c>
      <c r="KA56" s="301" t="str">
        <f t="shared" si="206"/>
        <v/>
      </c>
      <c r="KB56" s="301"/>
      <c r="KC56" s="302" t="str">
        <f t="shared" ref="KC56" si="1512">IF(HEX2DEC(SUBSTITUTE(KA56," ",""))=0,"",HEX2DEC(SUBSTITUTE(KA56," ","")))</f>
        <v/>
      </c>
      <c r="KD56" s="349"/>
      <c r="KE56" s="351"/>
      <c r="KF56" s="18">
        <v>24</v>
      </c>
      <c r="KG56" s="19" t="s">
        <v>1257</v>
      </c>
      <c r="KH56" s="18">
        <f t="shared" si="1329"/>
        <v>62</v>
      </c>
      <c r="KI56" s="18">
        <f t="shared" si="209"/>
        <v>63</v>
      </c>
      <c r="KJ56" s="18">
        <v>2</v>
      </c>
      <c r="KK56" s="301" t="str">
        <f t="shared" si="210"/>
        <v/>
      </c>
      <c r="KL56" s="301"/>
      <c r="KM56" s="302" t="str">
        <f t="shared" ref="KM56" si="1513">IF(HEX2DEC(SUBSTITUTE(KK56," ",""))=0,"",HEX2DEC(SUBSTITUTE(KK56," ","")))</f>
        <v/>
      </c>
      <c r="KN56" s="349"/>
      <c r="KO56" s="351"/>
      <c r="KP56" s="18">
        <v>24</v>
      </c>
      <c r="KQ56" s="19" t="s">
        <v>1257</v>
      </c>
      <c r="KR56" s="18">
        <f t="shared" si="1330"/>
        <v>62</v>
      </c>
      <c r="KS56" s="18">
        <f t="shared" si="213"/>
        <v>63</v>
      </c>
      <c r="KT56" s="18">
        <v>2</v>
      </c>
      <c r="KU56" s="301" t="str">
        <f t="shared" si="214"/>
        <v/>
      </c>
      <c r="KV56" s="301"/>
      <c r="KW56" s="302" t="str">
        <f t="shared" ref="KW56" si="1514">IF(HEX2DEC(SUBSTITUTE(KU56," ",""))=0,"",HEX2DEC(SUBSTITUTE(KU56," ","")))</f>
        <v/>
      </c>
      <c r="KX56" s="349"/>
      <c r="KY56" s="351"/>
      <c r="KZ56" s="18">
        <v>24</v>
      </c>
      <c r="LA56" s="19" t="s">
        <v>1257</v>
      </c>
      <c r="LB56" s="18">
        <f t="shared" si="1331"/>
        <v>62</v>
      </c>
      <c r="LC56" s="18">
        <f t="shared" si="217"/>
        <v>63</v>
      </c>
      <c r="LD56" s="18">
        <v>2</v>
      </c>
      <c r="LE56" s="301" t="str">
        <f t="shared" si="218"/>
        <v/>
      </c>
      <c r="LF56" s="301"/>
      <c r="LG56" s="302" t="str">
        <f t="shared" ref="LG56" si="1515">IF(HEX2DEC(SUBSTITUTE(LE56," ",""))=0,"",HEX2DEC(SUBSTITUTE(LE56," ","")))</f>
        <v/>
      </c>
      <c r="LH56" s="349"/>
      <c r="LI56" s="351"/>
      <c r="LJ56" s="18">
        <v>24</v>
      </c>
      <c r="LK56" s="19" t="s">
        <v>1257</v>
      </c>
      <c r="LL56" s="18">
        <f t="shared" si="1332"/>
        <v>62</v>
      </c>
      <c r="LM56" s="18">
        <f t="shared" si="221"/>
        <v>63</v>
      </c>
      <c r="LN56" s="18">
        <v>2</v>
      </c>
      <c r="LO56" s="301" t="str">
        <f t="shared" si="222"/>
        <v/>
      </c>
      <c r="LP56" s="301"/>
      <c r="LQ56" s="302" t="str">
        <f t="shared" ref="LQ56" si="1516">IF(HEX2DEC(SUBSTITUTE(LO56," ",""))=0,"",HEX2DEC(SUBSTITUTE(LO56," ","")))</f>
        <v/>
      </c>
      <c r="LR56" s="349"/>
      <c r="LS56" s="351"/>
      <c r="LT56" s="18">
        <v>24</v>
      </c>
      <c r="LU56" s="19" t="s">
        <v>1257</v>
      </c>
      <c r="LV56" s="18">
        <f t="shared" si="1333"/>
        <v>62</v>
      </c>
      <c r="LW56" s="18">
        <f t="shared" si="225"/>
        <v>63</v>
      </c>
      <c r="LX56" s="18">
        <v>2</v>
      </c>
      <c r="LY56" s="301" t="str">
        <f t="shared" si="226"/>
        <v/>
      </c>
      <c r="LZ56" s="301"/>
      <c r="MA56" s="302" t="str">
        <f t="shared" ref="MA56" si="1517">IF(HEX2DEC(SUBSTITUTE(LY56," ",""))=0,"",HEX2DEC(SUBSTITUTE(LY56," ","")))</f>
        <v/>
      </c>
      <c r="MB56" s="349"/>
      <c r="MC56" s="351"/>
      <c r="MD56" s="18">
        <v>24</v>
      </c>
      <c r="ME56" s="19" t="s">
        <v>1257</v>
      </c>
      <c r="MF56" s="18">
        <f t="shared" si="1334"/>
        <v>62</v>
      </c>
      <c r="MG56" s="18">
        <f t="shared" si="229"/>
        <v>63</v>
      </c>
      <c r="MH56" s="18">
        <v>2</v>
      </c>
      <c r="MI56" s="301" t="str">
        <f t="shared" si="230"/>
        <v/>
      </c>
      <c r="MJ56" s="301"/>
      <c r="MK56" s="302" t="str">
        <f t="shared" ref="MK56" si="1518">IF(HEX2DEC(SUBSTITUTE(MI56," ",""))=0,"",HEX2DEC(SUBSTITUTE(MI56," ","")))</f>
        <v/>
      </c>
      <c r="ML56" s="349"/>
      <c r="MM56" s="351"/>
      <c r="MN56" s="18">
        <v>24</v>
      </c>
      <c r="MO56" s="19" t="s">
        <v>1257</v>
      </c>
      <c r="MP56" s="18">
        <f t="shared" si="1335"/>
        <v>62</v>
      </c>
      <c r="MQ56" s="18">
        <f t="shared" si="233"/>
        <v>63</v>
      </c>
      <c r="MR56" s="18">
        <v>2</v>
      </c>
      <c r="MS56" s="301" t="str">
        <f t="shared" si="234"/>
        <v/>
      </c>
      <c r="MT56" s="301"/>
      <c r="MU56" s="302" t="str">
        <f t="shared" ref="MU56" si="1519">IF(HEX2DEC(SUBSTITUTE(MS56," ",""))=0,"",HEX2DEC(SUBSTITUTE(MS56," ","")))</f>
        <v/>
      </c>
      <c r="MV56" s="349"/>
      <c r="MW56" s="351"/>
      <c r="MX56" s="18">
        <v>24</v>
      </c>
      <c r="MY56" s="19" t="s">
        <v>1257</v>
      </c>
      <c r="MZ56" s="18">
        <f t="shared" si="1336"/>
        <v>62</v>
      </c>
      <c r="NA56" s="18">
        <f t="shared" si="237"/>
        <v>63</v>
      </c>
      <c r="NB56" s="18">
        <v>2</v>
      </c>
      <c r="NC56" s="301" t="str">
        <f t="shared" si="238"/>
        <v/>
      </c>
      <c r="ND56" s="301"/>
      <c r="NE56" s="302" t="str">
        <f t="shared" ref="NE56" si="1520">IF(HEX2DEC(SUBSTITUTE(NC56," ",""))=0,"",HEX2DEC(SUBSTITUTE(NC56," ","")))</f>
        <v/>
      </c>
      <c r="NF56" s="349"/>
      <c r="NG56" s="351"/>
      <c r="NH56" s="18">
        <v>24</v>
      </c>
      <c r="NI56" s="19" t="s">
        <v>1257</v>
      </c>
      <c r="NJ56" s="18">
        <f t="shared" si="1337"/>
        <v>62</v>
      </c>
      <c r="NK56" s="18">
        <f t="shared" si="241"/>
        <v>63</v>
      </c>
      <c r="NL56" s="18">
        <v>2</v>
      </c>
      <c r="NM56" s="301" t="str">
        <f t="shared" si="242"/>
        <v/>
      </c>
      <c r="NN56" s="301"/>
      <c r="NO56" s="302" t="str">
        <f t="shared" ref="NO56" si="1521">IF(HEX2DEC(SUBSTITUTE(NM56," ",""))=0,"",HEX2DEC(SUBSTITUTE(NM56," ","")))</f>
        <v/>
      </c>
      <c r="NP56" s="349"/>
      <c r="NQ56" s="351"/>
      <c r="NR56" s="18">
        <v>24</v>
      </c>
      <c r="NS56" s="19" t="s">
        <v>1257</v>
      </c>
      <c r="NT56" s="18">
        <f t="shared" si="1338"/>
        <v>62</v>
      </c>
      <c r="NU56" s="18">
        <f t="shared" si="245"/>
        <v>63</v>
      </c>
      <c r="NV56" s="18">
        <v>2</v>
      </c>
      <c r="NW56" s="301" t="str">
        <f t="shared" si="246"/>
        <v/>
      </c>
      <c r="NX56" s="301"/>
      <c r="NY56" s="302" t="str">
        <f t="shared" ref="NY56" si="1522">IF(HEX2DEC(SUBSTITUTE(NW56," ",""))=0,"",HEX2DEC(SUBSTITUTE(NW56," ","")))</f>
        <v/>
      </c>
      <c r="NZ56" s="349"/>
      <c r="OA56" s="351"/>
      <c r="OB56" s="18">
        <v>24</v>
      </c>
      <c r="OC56" s="19" t="s">
        <v>1257</v>
      </c>
      <c r="OD56" s="18">
        <f t="shared" si="1339"/>
        <v>62</v>
      </c>
      <c r="OE56" s="18">
        <f t="shared" si="249"/>
        <v>63</v>
      </c>
      <c r="OF56" s="18">
        <v>2</v>
      </c>
      <c r="OG56" s="301" t="str">
        <f t="shared" si="250"/>
        <v/>
      </c>
      <c r="OH56" s="301"/>
      <c r="OI56" s="302" t="str">
        <f t="shared" ref="OI56" si="1523">IF(HEX2DEC(SUBSTITUTE(OG56," ",""))=0,"",HEX2DEC(SUBSTITUTE(OG56," ","")))</f>
        <v/>
      </c>
      <c r="OJ56" s="349"/>
      <c r="OK56" s="351"/>
      <c r="OL56" s="18">
        <v>24</v>
      </c>
      <c r="OM56" s="19" t="s">
        <v>1257</v>
      </c>
      <c r="ON56" s="18">
        <f t="shared" si="1340"/>
        <v>62</v>
      </c>
      <c r="OO56" s="18">
        <f t="shared" si="253"/>
        <v>63</v>
      </c>
      <c r="OP56" s="18">
        <v>2</v>
      </c>
      <c r="OQ56" s="301" t="str">
        <f t="shared" si="254"/>
        <v/>
      </c>
      <c r="OR56" s="301"/>
      <c r="OS56" s="302" t="str">
        <f t="shared" ref="OS56" si="1524">IF(HEX2DEC(SUBSTITUTE(OQ56," ",""))=0,"",HEX2DEC(SUBSTITUTE(OQ56," ","")))</f>
        <v/>
      </c>
      <c r="OT56" s="349"/>
      <c r="OU56" s="351"/>
      <c r="OV56" s="18">
        <v>24</v>
      </c>
      <c r="OW56" s="19" t="s">
        <v>1257</v>
      </c>
      <c r="OX56" s="18">
        <f t="shared" si="1341"/>
        <v>62</v>
      </c>
      <c r="OY56" s="18">
        <f t="shared" si="257"/>
        <v>63</v>
      </c>
      <c r="OZ56" s="18">
        <v>2</v>
      </c>
      <c r="PA56" s="301" t="str">
        <f t="shared" si="258"/>
        <v/>
      </c>
      <c r="PB56" s="301"/>
      <c r="PC56" s="302" t="str">
        <f t="shared" ref="PC56" si="1525">IF(HEX2DEC(SUBSTITUTE(PA56," ",""))=0,"",HEX2DEC(SUBSTITUTE(PA56," ","")))</f>
        <v/>
      </c>
      <c r="PD56" s="349"/>
      <c r="PE56" s="351"/>
      <c r="PF56" s="18">
        <v>24</v>
      </c>
      <c r="PG56" s="19" t="s">
        <v>1257</v>
      </c>
      <c r="PH56" s="18">
        <f t="shared" si="1342"/>
        <v>62</v>
      </c>
      <c r="PI56" s="18">
        <f t="shared" si="261"/>
        <v>63</v>
      </c>
      <c r="PJ56" s="18">
        <v>2</v>
      </c>
      <c r="PK56" s="301" t="str">
        <f t="shared" si="262"/>
        <v/>
      </c>
      <c r="PL56" s="301"/>
      <c r="PM56" s="302" t="str">
        <f t="shared" ref="PM56" si="1526">IF(HEX2DEC(SUBSTITUTE(PK56," ",""))=0,"",HEX2DEC(SUBSTITUTE(PK56," ","")))</f>
        <v/>
      </c>
      <c r="PN56" s="349"/>
      <c r="PO56" s="351"/>
      <c r="PP56" s="18">
        <v>24</v>
      </c>
      <c r="PQ56" s="19" t="s">
        <v>1257</v>
      </c>
      <c r="PR56" s="18">
        <f t="shared" si="1343"/>
        <v>62</v>
      </c>
      <c r="PS56" s="18">
        <f t="shared" si="265"/>
        <v>63</v>
      </c>
      <c r="PT56" s="18">
        <v>2</v>
      </c>
      <c r="PU56" s="301" t="str">
        <f t="shared" si="266"/>
        <v/>
      </c>
      <c r="PV56" s="301"/>
      <c r="PW56" s="302" t="str">
        <f t="shared" ref="PW56" si="1527">IF(HEX2DEC(SUBSTITUTE(PU56," ",""))=0,"",HEX2DEC(SUBSTITUTE(PU56," ","")))</f>
        <v/>
      </c>
      <c r="PX56" s="349"/>
      <c r="PY56" s="351"/>
      <c r="PZ56" s="18">
        <v>24</v>
      </c>
      <c r="QA56" s="19" t="s">
        <v>1257</v>
      </c>
      <c r="QB56" s="18">
        <f t="shared" si="1344"/>
        <v>62</v>
      </c>
      <c r="QC56" s="18">
        <f t="shared" si="269"/>
        <v>63</v>
      </c>
      <c r="QD56" s="18">
        <v>2</v>
      </c>
      <c r="QE56" s="301" t="str">
        <f t="shared" si="270"/>
        <v/>
      </c>
      <c r="QF56" s="301"/>
      <c r="QG56" s="302" t="str">
        <f t="shared" ref="QG56" si="1528">IF(HEX2DEC(SUBSTITUTE(QE56," ",""))=0,"",HEX2DEC(SUBSTITUTE(QE56," ","")))</f>
        <v/>
      </c>
      <c r="QH56" s="349"/>
      <c r="QI56" s="351"/>
      <c r="QJ56" s="18">
        <v>24</v>
      </c>
      <c r="QK56" s="19" t="s">
        <v>1257</v>
      </c>
      <c r="QL56" s="18">
        <f t="shared" si="1345"/>
        <v>62</v>
      </c>
      <c r="QM56" s="18">
        <f t="shared" si="273"/>
        <v>63</v>
      </c>
      <c r="QN56" s="18">
        <v>2</v>
      </c>
      <c r="QO56" s="301" t="str">
        <f t="shared" si="274"/>
        <v/>
      </c>
      <c r="QP56" s="301"/>
      <c r="QQ56" s="302" t="str">
        <f t="shared" ref="QQ56" si="1529">IF(HEX2DEC(SUBSTITUTE(QO56," ",""))=0,"",HEX2DEC(SUBSTITUTE(QO56," ","")))</f>
        <v/>
      </c>
      <c r="QR56" s="349"/>
      <c r="QS56" s="351"/>
      <c r="QT56" s="18">
        <v>24</v>
      </c>
      <c r="QU56" s="19" t="s">
        <v>1257</v>
      </c>
      <c r="QV56" s="18">
        <f t="shared" si="1346"/>
        <v>62</v>
      </c>
      <c r="QW56" s="18">
        <f t="shared" si="277"/>
        <v>63</v>
      </c>
      <c r="QX56" s="18">
        <v>2</v>
      </c>
      <c r="QY56" s="301" t="str">
        <f t="shared" si="278"/>
        <v/>
      </c>
      <c r="QZ56" s="301"/>
      <c r="RA56" s="302" t="str">
        <f t="shared" ref="RA56" si="1530">IF(HEX2DEC(SUBSTITUTE(QY56," ",""))=0,"",HEX2DEC(SUBSTITUTE(QY56," ","")))</f>
        <v/>
      </c>
      <c r="RB56" s="349"/>
      <c r="RC56" s="351"/>
      <c r="RD56" s="18">
        <v>24</v>
      </c>
      <c r="RE56" s="19" t="s">
        <v>1257</v>
      </c>
      <c r="RF56" s="18">
        <f t="shared" si="1347"/>
        <v>62</v>
      </c>
      <c r="RG56" s="18">
        <f t="shared" si="281"/>
        <v>63</v>
      </c>
      <c r="RH56" s="18">
        <v>2</v>
      </c>
      <c r="RI56" s="301" t="str">
        <f t="shared" si="282"/>
        <v/>
      </c>
      <c r="RJ56" s="301"/>
      <c r="RK56" s="302" t="str">
        <f t="shared" ref="RK56" si="1531">IF(HEX2DEC(SUBSTITUTE(RI56," ",""))=0,"",HEX2DEC(SUBSTITUTE(RI56," ","")))</f>
        <v/>
      </c>
      <c r="RL56" s="349"/>
      <c r="RM56" s="351"/>
      <c r="RN56" s="18">
        <v>24</v>
      </c>
      <c r="RO56" s="19" t="s">
        <v>1257</v>
      </c>
      <c r="RP56" s="18">
        <f t="shared" si="1348"/>
        <v>62</v>
      </c>
      <c r="RQ56" s="18">
        <f t="shared" si="285"/>
        <v>63</v>
      </c>
      <c r="RR56" s="18">
        <v>2</v>
      </c>
      <c r="RS56" s="301" t="str">
        <f t="shared" si="286"/>
        <v/>
      </c>
      <c r="RT56" s="301"/>
      <c r="RU56" s="302" t="str">
        <f t="shared" ref="RU56" si="1532">IF(HEX2DEC(SUBSTITUTE(RS56," ",""))=0,"",HEX2DEC(SUBSTITUTE(RS56," ","")))</f>
        <v/>
      </c>
      <c r="RV56" s="349"/>
      <c r="RW56" s="351"/>
      <c r="RX56" s="18">
        <v>24</v>
      </c>
      <c r="RY56" s="19" t="s">
        <v>1257</v>
      </c>
      <c r="RZ56" s="18">
        <f t="shared" si="1349"/>
        <v>62</v>
      </c>
      <c r="SA56" s="18">
        <f t="shared" si="289"/>
        <v>63</v>
      </c>
      <c r="SB56" s="18">
        <v>2</v>
      </c>
      <c r="SC56" s="301" t="str">
        <f t="shared" si="290"/>
        <v/>
      </c>
      <c r="SD56" s="301"/>
      <c r="SE56" s="302" t="str">
        <f t="shared" ref="SE56" si="1533">IF(HEX2DEC(SUBSTITUTE(SC56," ",""))=0,"",HEX2DEC(SUBSTITUTE(SC56," ","")))</f>
        <v/>
      </c>
      <c r="SF56" s="349"/>
      <c r="SG56" s="351"/>
      <c r="SH56" s="18">
        <v>24</v>
      </c>
      <c r="SI56" s="19" t="s">
        <v>1257</v>
      </c>
      <c r="SJ56" s="18">
        <f t="shared" si="1350"/>
        <v>62</v>
      </c>
      <c r="SK56" s="18">
        <f t="shared" si="293"/>
        <v>63</v>
      </c>
      <c r="SL56" s="18">
        <v>2</v>
      </c>
      <c r="SM56" s="301" t="str">
        <f t="shared" si="294"/>
        <v/>
      </c>
      <c r="SN56" s="301"/>
      <c r="SO56" s="302" t="str">
        <f t="shared" ref="SO56" si="1534">IF(HEX2DEC(SUBSTITUTE(SM56," ",""))=0,"",HEX2DEC(SUBSTITUTE(SM56," ","")))</f>
        <v/>
      </c>
      <c r="SP56" s="349"/>
      <c r="SQ56" s="351"/>
      <c r="SR56" s="18">
        <v>24</v>
      </c>
      <c r="SS56" s="19" t="s">
        <v>1257</v>
      </c>
      <c r="ST56" s="18">
        <f t="shared" si="1351"/>
        <v>62</v>
      </c>
      <c r="SU56" s="18">
        <f t="shared" si="297"/>
        <v>63</v>
      </c>
      <c r="SV56" s="18">
        <v>2</v>
      </c>
      <c r="SW56" s="301" t="str">
        <f t="shared" si="298"/>
        <v/>
      </c>
      <c r="SX56" s="301"/>
      <c r="SY56" s="302" t="str">
        <f t="shared" ref="SY56" si="1535">IF(HEX2DEC(SUBSTITUTE(SW56," ",""))=0,"",HEX2DEC(SUBSTITUTE(SW56," ","")))</f>
        <v/>
      </c>
      <c r="SZ56" s="349"/>
      <c r="TA56" s="351"/>
      <c r="TB56" s="18">
        <v>24</v>
      </c>
      <c r="TC56" s="19" t="s">
        <v>1257</v>
      </c>
      <c r="TD56" s="18">
        <f t="shared" si="1352"/>
        <v>62</v>
      </c>
      <c r="TE56" s="18">
        <f t="shared" si="301"/>
        <v>63</v>
      </c>
      <c r="TF56" s="18">
        <v>2</v>
      </c>
      <c r="TG56" s="301" t="str">
        <f t="shared" si="302"/>
        <v/>
      </c>
      <c r="TH56" s="301"/>
      <c r="TI56" s="302" t="str">
        <f t="shared" ref="TI56" si="1536">IF(HEX2DEC(SUBSTITUTE(TG56," ",""))=0,"",HEX2DEC(SUBSTITUTE(TG56," ","")))</f>
        <v/>
      </c>
      <c r="TJ56" s="349"/>
      <c r="TK56" s="351"/>
      <c r="TL56" s="18">
        <v>24</v>
      </c>
      <c r="TM56" s="19" t="s">
        <v>1257</v>
      </c>
      <c r="TN56" s="18">
        <f t="shared" si="1353"/>
        <v>62</v>
      </c>
      <c r="TO56" s="18">
        <f t="shared" si="305"/>
        <v>63</v>
      </c>
      <c r="TP56" s="18">
        <v>2</v>
      </c>
      <c r="TQ56" s="301" t="str">
        <f t="shared" si="306"/>
        <v/>
      </c>
      <c r="TR56" s="301"/>
      <c r="TS56" s="302" t="str">
        <f t="shared" ref="TS56" si="1537">IF(HEX2DEC(SUBSTITUTE(TQ56," ",""))=0,"",HEX2DEC(SUBSTITUTE(TQ56," ","")))</f>
        <v/>
      </c>
      <c r="TT56" s="349"/>
      <c r="TU56" s="351"/>
      <c r="TV56" s="18">
        <v>24</v>
      </c>
      <c r="TW56" s="19" t="s">
        <v>1257</v>
      </c>
      <c r="TX56" s="18">
        <f t="shared" si="1354"/>
        <v>62</v>
      </c>
      <c r="TY56" s="18">
        <f t="shared" si="309"/>
        <v>63</v>
      </c>
      <c r="TZ56" s="18">
        <v>2</v>
      </c>
      <c r="UA56" s="301" t="str">
        <f t="shared" si="310"/>
        <v/>
      </c>
      <c r="UB56" s="301"/>
      <c r="UC56" s="302" t="str">
        <f t="shared" ref="UC56" si="1538">IF(HEX2DEC(SUBSTITUTE(UA56," ",""))=0,"",HEX2DEC(SUBSTITUTE(UA56," ","")))</f>
        <v/>
      </c>
      <c r="UD56" s="349"/>
      <c r="UE56" s="351"/>
      <c r="UF56" s="18">
        <v>24</v>
      </c>
      <c r="UG56" s="19" t="s">
        <v>1257</v>
      </c>
      <c r="UH56" s="18">
        <f t="shared" si="1355"/>
        <v>62</v>
      </c>
      <c r="UI56" s="18">
        <f t="shared" si="313"/>
        <v>63</v>
      </c>
      <c r="UJ56" s="18">
        <v>2</v>
      </c>
      <c r="UK56" s="301" t="str">
        <f t="shared" si="314"/>
        <v/>
      </c>
      <c r="UL56" s="301"/>
      <c r="UM56" s="302" t="str">
        <f t="shared" ref="UM56" si="1539">IF(HEX2DEC(SUBSTITUTE(UK56," ",""))=0,"",HEX2DEC(SUBSTITUTE(UK56," ","")))</f>
        <v/>
      </c>
      <c r="UN56" s="349"/>
      <c r="UO56" s="351"/>
      <c r="UP56" s="18">
        <v>24</v>
      </c>
      <c r="UQ56" s="19" t="s">
        <v>1257</v>
      </c>
      <c r="UR56" s="18">
        <f t="shared" si="1356"/>
        <v>62</v>
      </c>
      <c r="US56" s="18">
        <f t="shared" si="317"/>
        <v>63</v>
      </c>
      <c r="UT56" s="18">
        <v>2</v>
      </c>
      <c r="UU56" s="301" t="str">
        <f t="shared" si="318"/>
        <v/>
      </c>
      <c r="UV56" s="301"/>
      <c r="UW56" s="302" t="str">
        <f t="shared" ref="UW56" si="1540">IF(HEX2DEC(SUBSTITUTE(UU56," ",""))=0,"",HEX2DEC(SUBSTITUTE(UU56," ","")))</f>
        <v/>
      </c>
      <c r="UX56" s="349"/>
      <c r="UY56" s="351"/>
      <c r="UZ56" s="18">
        <v>24</v>
      </c>
      <c r="VA56" s="19" t="s">
        <v>1257</v>
      </c>
      <c r="VB56" s="18">
        <f t="shared" si="1357"/>
        <v>62</v>
      </c>
      <c r="VC56" s="18">
        <f t="shared" si="321"/>
        <v>63</v>
      </c>
      <c r="VD56" s="18">
        <v>2</v>
      </c>
      <c r="VE56" s="301" t="str">
        <f t="shared" si="322"/>
        <v/>
      </c>
      <c r="VF56" s="301"/>
      <c r="VG56" s="302" t="str">
        <f t="shared" ref="VG56" si="1541">IF(HEX2DEC(SUBSTITUTE(VE56," ",""))=0,"",HEX2DEC(SUBSTITUTE(VE56," ","")))</f>
        <v/>
      </c>
      <c r="VH56" s="349"/>
      <c r="VI56" s="351"/>
      <c r="VJ56" s="18">
        <v>24</v>
      </c>
      <c r="VK56" s="19" t="s">
        <v>1257</v>
      </c>
      <c r="VL56" s="18">
        <f t="shared" si="1358"/>
        <v>62</v>
      </c>
      <c r="VM56" s="18">
        <f t="shared" si="325"/>
        <v>63</v>
      </c>
      <c r="VN56" s="18">
        <v>2</v>
      </c>
      <c r="VO56" s="301" t="str">
        <f t="shared" si="326"/>
        <v/>
      </c>
      <c r="VP56" s="301"/>
      <c r="VQ56" s="302" t="str">
        <f t="shared" ref="VQ56" si="1542">IF(HEX2DEC(SUBSTITUTE(VO56," ",""))=0,"",HEX2DEC(SUBSTITUTE(VO56," ","")))</f>
        <v/>
      </c>
      <c r="VR56" s="349"/>
      <c r="VS56" s="351"/>
      <c r="VT56" s="18">
        <v>24</v>
      </c>
      <c r="VU56" s="19" t="s">
        <v>1257</v>
      </c>
      <c r="VV56" s="18">
        <f t="shared" si="1359"/>
        <v>62</v>
      </c>
      <c r="VW56" s="18">
        <f t="shared" si="329"/>
        <v>63</v>
      </c>
      <c r="VX56" s="18">
        <v>2</v>
      </c>
      <c r="VY56" s="301" t="str">
        <f t="shared" si="330"/>
        <v/>
      </c>
      <c r="VZ56" s="301"/>
      <c r="WA56" s="302" t="str">
        <f t="shared" ref="WA56" si="1543">IF(HEX2DEC(SUBSTITUTE(VY56," ",""))=0,"",HEX2DEC(SUBSTITUTE(VY56," ","")))</f>
        <v/>
      </c>
      <c r="WB56" s="349"/>
      <c r="WC56" s="351"/>
      <c r="WD56" s="18">
        <v>24</v>
      </c>
      <c r="WE56" s="19" t="s">
        <v>1257</v>
      </c>
      <c r="WF56" s="18">
        <f t="shared" si="1360"/>
        <v>62</v>
      </c>
      <c r="WG56" s="18">
        <f t="shared" si="333"/>
        <v>63</v>
      </c>
      <c r="WH56" s="18">
        <v>2</v>
      </c>
      <c r="WI56" s="301" t="str">
        <f t="shared" si="334"/>
        <v/>
      </c>
      <c r="WJ56" s="301"/>
      <c r="WK56" s="302" t="str">
        <f t="shared" ref="WK56" si="1544">IF(HEX2DEC(SUBSTITUTE(WI56," ",""))=0,"",HEX2DEC(SUBSTITUTE(WI56," ","")))</f>
        <v/>
      </c>
      <c r="WL56" s="349"/>
      <c r="WM56" s="351"/>
      <c r="WN56" s="18">
        <v>24</v>
      </c>
      <c r="WO56" s="19" t="s">
        <v>1257</v>
      </c>
      <c r="WP56" s="18">
        <f t="shared" si="1361"/>
        <v>62</v>
      </c>
      <c r="WQ56" s="18">
        <f t="shared" si="337"/>
        <v>63</v>
      </c>
      <c r="WR56" s="18">
        <v>2</v>
      </c>
      <c r="WS56" s="301" t="str">
        <f t="shared" si="338"/>
        <v/>
      </c>
      <c r="WT56" s="301"/>
      <c r="WU56" s="302" t="str">
        <f t="shared" ref="WU56" si="1545">IF(HEX2DEC(SUBSTITUTE(WS56," ",""))=0,"",HEX2DEC(SUBSTITUTE(WS56," ","")))</f>
        <v/>
      </c>
      <c r="WV56" s="349"/>
      <c r="WW56" s="351"/>
      <c r="WX56" s="18">
        <v>24</v>
      </c>
      <c r="WY56" s="19" t="s">
        <v>1257</v>
      </c>
      <c r="WZ56" s="18">
        <f t="shared" si="1362"/>
        <v>62</v>
      </c>
      <c r="XA56" s="18">
        <f t="shared" si="341"/>
        <v>63</v>
      </c>
      <c r="XB56" s="18">
        <v>2</v>
      </c>
      <c r="XC56" s="301" t="str">
        <f t="shared" si="342"/>
        <v/>
      </c>
      <c r="XD56" s="301"/>
      <c r="XE56" s="302" t="str">
        <f t="shared" ref="XE56" si="1546">IF(HEX2DEC(SUBSTITUTE(XC56," ",""))=0,"",HEX2DEC(SUBSTITUTE(XC56," ","")))</f>
        <v/>
      </c>
      <c r="XF56" s="349"/>
      <c r="XG56" s="351"/>
      <c r="XH56" s="18">
        <v>24</v>
      </c>
      <c r="XI56" s="19" t="s">
        <v>1257</v>
      </c>
      <c r="XJ56" s="18">
        <f t="shared" si="1363"/>
        <v>62</v>
      </c>
      <c r="XK56" s="18">
        <f t="shared" si="345"/>
        <v>63</v>
      </c>
      <c r="XL56" s="18">
        <v>2</v>
      </c>
      <c r="XM56" s="301" t="str">
        <f t="shared" si="346"/>
        <v/>
      </c>
      <c r="XN56" s="301"/>
      <c r="XO56" s="302" t="str">
        <f t="shared" ref="XO56" si="1547">IF(HEX2DEC(SUBSTITUTE(XM56," ",""))=0,"",HEX2DEC(SUBSTITUTE(XM56," ","")))</f>
        <v/>
      </c>
      <c r="XP56" s="349"/>
      <c r="XQ56" s="351"/>
      <c r="XR56" s="18">
        <v>24</v>
      </c>
      <c r="XS56" s="19" t="s">
        <v>1257</v>
      </c>
      <c r="XT56" s="18">
        <f t="shared" si="1364"/>
        <v>62</v>
      </c>
      <c r="XU56" s="18">
        <f t="shared" si="349"/>
        <v>63</v>
      </c>
      <c r="XV56" s="18">
        <v>2</v>
      </c>
      <c r="XW56" s="301" t="str">
        <f t="shared" si="350"/>
        <v/>
      </c>
      <c r="XX56" s="301"/>
      <c r="XY56" s="302" t="str">
        <f t="shared" ref="XY56" si="1548">IF(HEX2DEC(SUBSTITUTE(XW56," ",""))=0,"",HEX2DEC(SUBSTITUTE(XW56," ","")))</f>
        <v/>
      </c>
      <c r="XZ56" s="349"/>
      <c r="YA56" s="351"/>
      <c r="YB56" s="18">
        <v>24</v>
      </c>
      <c r="YC56" s="19" t="s">
        <v>1257</v>
      </c>
      <c r="YD56" s="18">
        <f t="shared" si="1365"/>
        <v>62</v>
      </c>
      <c r="YE56" s="18">
        <f t="shared" si="353"/>
        <v>63</v>
      </c>
      <c r="YF56" s="18">
        <v>2</v>
      </c>
      <c r="YG56" s="301" t="str">
        <f t="shared" si="354"/>
        <v/>
      </c>
      <c r="YH56" s="301"/>
      <c r="YI56" s="302" t="str">
        <f t="shared" ref="YI56" si="1549">IF(HEX2DEC(SUBSTITUTE(YG56," ",""))=0,"",HEX2DEC(SUBSTITUTE(YG56," ","")))</f>
        <v/>
      </c>
      <c r="YJ56" s="349"/>
      <c r="YK56" s="351"/>
      <c r="YL56" s="18">
        <v>24</v>
      </c>
      <c r="YM56" s="19" t="s">
        <v>1257</v>
      </c>
      <c r="YN56" s="18">
        <f t="shared" si="1366"/>
        <v>62</v>
      </c>
      <c r="YO56" s="18">
        <f t="shared" si="357"/>
        <v>63</v>
      </c>
      <c r="YP56" s="18">
        <v>2</v>
      </c>
      <c r="YQ56" s="301" t="str">
        <f t="shared" si="358"/>
        <v/>
      </c>
      <c r="YR56" s="301"/>
      <c r="YS56" s="302" t="str">
        <f t="shared" ref="YS56" si="1550">IF(HEX2DEC(SUBSTITUTE(YQ56," ",""))=0,"",HEX2DEC(SUBSTITUTE(YQ56," ","")))</f>
        <v/>
      </c>
      <c r="YT56" s="349"/>
      <c r="YU56" s="351"/>
      <c r="YV56" s="18">
        <v>24</v>
      </c>
      <c r="YW56" s="19" t="s">
        <v>1257</v>
      </c>
      <c r="YX56" s="18">
        <f t="shared" si="1367"/>
        <v>62</v>
      </c>
      <c r="YY56" s="18">
        <f t="shared" si="361"/>
        <v>63</v>
      </c>
      <c r="YZ56" s="18">
        <v>2</v>
      </c>
      <c r="ZA56" s="301" t="str">
        <f t="shared" si="362"/>
        <v/>
      </c>
      <c r="ZB56" s="301"/>
      <c r="ZC56" s="302" t="str">
        <f t="shared" ref="ZC56" si="1551">IF(HEX2DEC(SUBSTITUTE(ZA56," ",""))=0,"",HEX2DEC(SUBSTITUTE(ZA56," ","")))</f>
        <v/>
      </c>
      <c r="ZD56" s="349"/>
      <c r="ZE56" s="351"/>
      <c r="ZF56" s="18">
        <v>24</v>
      </c>
      <c r="ZG56" s="19" t="s">
        <v>1257</v>
      </c>
      <c r="ZH56" s="18">
        <f t="shared" si="1368"/>
        <v>62</v>
      </c>
      <c r="ZI56" s="18">
        <f t="shared" si="365"/>
        <v>63</v>
      </c>
      <c r="ZJ56" s="18">
        <v>2</v>
      </c>
      <c r="ZK56" s="301" t="str">
        <f t="shared" si="366"/>
        <v/>
      </c>
      <c r="ZL56" s="301"/>
      <c r="ZM56" s="302" t="str">
        <f t="shared" ref="ZM56" si="1552">IF(HEX2DEC(SUBSTITUTE(ZK56," ",""))=0,"",HEX2DEC(SUBSTITUTE(ZK56," ","")))</f>
        <v/>
      </c>
      <c r="ZN56" s="349"/>
      <c r="ZO56" s="351"/>
      <c r="ZP56" s="18">
        <v>24</v>
      </c>
      <c r="ZQ56" s="19" t="s">
        <v>1257</v>
      </c>
      <c r="ZR56" s="18">
        <f t="shared" si="1369"/>
        <v>62</v>
      </c>
      <c r="ZS56" s="18">
        <f t="shared" si="369"/>
        <v>63</v>
      </c>
      <c r="ZT56" s="18">
        <v>2</v>
      </c>
      <c r="ZU56" s="301" t="str">
        <f t="shared" si="370"/>
        <v/>
      </c>
      <c r="ZV56" s="301"/>
      <c r="ZW56" s="302" t="str">
        <f t="shared" ref="ZW56" si="1553">IF(HEX2DEC(SUBSTITUTE(ZU56," ",""))=0,"",HEX2DEC(SUBSTITUTE(ZU56," ","")))</f>
        <v/>
      </c>
      <c r="ZX56" s="349"/>
      <c r="ZY56" s="351"/>
      <c r="ZZ56" s="18">
        <v>24</v>
      </c>
      <c r="AAA56" s="19" t="s">
        <v>1257</v>
      </c>
      <c r="AAB56" s="18">
        <f t="shared" si="1370"/>
        <v>62</v>
      </c>
      <c r="AAC56" s="18">
        <f t="shared" si="373"/>
        <v>63</v>
      </c>
      <c r="AAD56" s="18">
        <v>2</v>
      </c>
      <c r="AAE56" s="301" t="str">
        <f t="shared" si="374"/>
        <v/>
      </c>
      <c r="AAF56" s="301"/>
      <c r="AAG56" s="302" t="str">
        <f t="shared" ref="AAG56" si="1554">IF(HEX2DEC(SUBSTITUTE(AAE56," ",""))=0,"",HEX2DEC(SUBSTITUTE(AAE56," ","")))</f>
        <v/>
      </c>
      <c r="AAH56" s="349"/>
      <c r="AAI56" s="351"/>
      <c r="AAJ56" s="18">
        <v>24</v>
      </c>
      <c r="AAK56" s="19" t="s">
        <v>1257</v>
      </c>
      <c r="AAL56" s="18">
        <f t="shared" si="1371"/>
        <v>62</v>
      </c>
      <c r="AAM56" s="18">
        <f t="shared" si="377"/>
        <v>63</v>
      </c>
      <c r="AAN56" s="18">
        <v>2</v>
      </c>
      <c r="AAO56" s="301" t="str">
        <f t="shared" si="378"/>
        <v/>
      </c>
      <c r="AAP56" s="301"/>
      <c r="AAQ56" s="302" t="str">
        <f t="shared" ref="AAQ56" si="1555">IF(HEX2DEC(SUBSTITUTE(AAO56," ",""))=0,"",HEX2DEC(SUBSTITUTE(AAO56," ","")))</f>
        <v/>
      </c>
      <c r="AAR56" s="349"/>
      <c r="AAS56" s="351"/>
      <c r="AAT56" s="18">
        <v>24</v>
      </c>
      <c r="AAU56" s="19" t="s">
        <v>1257</v>
      </c>
      <c r="AAV56" s="18">
        <f t="shared" si="1372"/>
        <v>62</v>
      </c>
      <c r="AAW56" s="18">
        <f t="shared" si="381"/>
        <v>63</v>
      </c>
      <c r="AAX56" s="18">
        <v>2</v>
      </c>
      <c r="AAY56" s="301" t="str">
        <f t="shared" si="382"/>
        <v/>
      </c>
      <c r="AAZ56" s="301"/>
      <c r="ABA56" s="302" t="str">
        <f t="shared" ref="ABA56" si="1556">IF(HEX2DEC(SUBSTITUTE(AAY56," ",""))=0,"",HEX2DEC(SUBSTITUTE(AAY56," ","")))</f>
        <v/>
      </c>
      <c r="ABB56" s="349"/>
      <c r="ABC56" s="351"/>
      <c r="ABD56" s="18">
        <v>24</v>
      </c>
      <c r="ABE56" s="19" t="s">
        <v>1257</v>
      </c>
      <c r="ABF56" s="18">
        <f t="shared" si="1373"/>
        <v>62</v>
      </c>
      <c r="ABG56" s="18">
        <f t="shared" si="385"/>
        <v>63</v>
      </c>
      <c r="ABH56" s="18">
        <v>2</v>
      </c>
      <c r="ABI56" s="301" t="str">
        <f t="shared" si="386"/>
        <v/>
      </c>
      <c r="ABJ56" s="301"/>
      <c r="ABK56" s="302" t="str">
        <f t="shared" ref="ABK56" si="1557">IF(HEX2DEC(SUBSTITUTE(ABI56," ",""))=0,"",HEX2DEC(SUBSTITUTE(ABI56," ","")))</f>
        <v/>
      </c>
      <c r="ABL56" s="349"/>
      <c r="ABM56" s="351"/>
      <c r="ABN56" s="18">
        <v>24</v>
      </c>
      <c r="ABO56" s="19" t="s">
        <v>1257</v>
      </c>
      <c r="ABP56" s="18">
        <f t="shared" si="1374"/>
        <v>62</v>
      </c>
      <c r="ABQ56" s="18">
        <f t="shared" si="389"/>
        <v>63</v>
      </c>
      <c r="ABR56" s="18">
        <v>2</v>
      </c>
      <c r="ABS56" s="301" t="str">
        <f t="shared" si="390"/>
        <v/>
      </c>
      <c r="ABT56" s="301"/>
      <c r="ABU56" s="302" t="str">
        <f t="shared" ref="ABU56" si="1558">IF(HEX2DEC(SUBSTITUTE(ABS56," ",""))=0,"",HEX2DEC(SUBSTITUTE(ABS56," ","")))</f>
        <v/>
      </c>
      <c r="ABV56" s="349"/>
      <c r="ABW56" s="351"/>
      <c r="ABX56" s="18">
        <v>24</v>
      </c>
      <c r="ABY56" s="19" t="s">
        <v>1257</v>
      </c>
      <c r="ABZ56" s="18">
        <f t="shared" si="1375"/>
        <v>62</v>
      </c>
      <c r="ACA56" s="18">
        <f t="shared" si="393"/>
        <v>63</v>
      </c>
      <c r="ACB56" s="18">
        <v>2</v>
      </c>
      <c r="ACC56" s="301" t="str">
        <f t="shared" si="394"/>
        <v/>
      </c>
      <c r="ACD56" s="301"/>
      <c r="ACE56" s="302" t="str">
        <f t="shared" ref="ACE56" si="1559">IF(HEX2DEC(SUBSTITUTE(ACC56," ",""))=0,"",HEX2DEC(SUBSTITUTE(ACC56," ","")))</f>
        <v/>
      </c>
      <c r="ACF56" s="349"/>
      <c r="ACG56" s="351"/>
      <c r="ACH56" s="18">
        <v>24</v>
      </c>
      <c r="ACI56" s="19" t="s">
        <v>1257</v>
      </c>
      <c r="ACJ56" s="18">
        <f t="shared" si="1376"/>
        <v>62</v>
      </c>
      <c r="ACK56" s="18">
        <f t="shared" si="397"/>
        <v>63</v>
      </c>
      <c r="ACL56" s="18">
        <v>2</v>
      </c>
      <c r="ACM56" s="301" t="str">
        <f t="shared" si="398"/>
        <v/>
      </c>
      <c r="ACN56" s="301"/>
      <c r="ACO56" s="302" t="str">
        <f t="shared" ref="ACO56" si="1560">IF(HEX2DEC(SUBSTITUTE(ACM56," ",""))=0,"",HEX2DEC(SUBSTITUTE(ACM56," ","")))</f>
        <v/>
      </c>
      <c r="ACP56" s="349"/>
      <c r="ACQ56" s="351"/>
      <c r="ACR56" s="18">
        <v>24</v>
      </c>
      <c r="ACS56" s="19" t="s">
        <v>1257</v>
      </c>
      <c r="ACT56" s="18">
        <f t="shared" si="1377"/>
        <v>62</v>
      </c>
      <c r="ACU56" s="18">
        <f t="shared" si="401"/>
        <v>63</v>
      </c>
      <c r="ACV56" s="18">
        <v>2</v>
      </c>
      <c r="ACW56" s="301" t="str">
        <f t="shared" si="402"/>
        <v/>
      </c>
      <c r="ACX56" s="301"/>
      <c r="ACY56" s="302" t="str">
        <f t="shared" ref="ACY56" si="1561">IF(HEX2DEC(SUBSTITUTE(ACW56," ",""))=0,"",HEX2DEC(SUBSTITUTE(ACW56," ","")))</f>
        <v/>
      </c>
      <c r="ACZ56" s="349"/>
      <c r="ADA56" s="351"/>
      <c r="ADB56" s="18">
        <v>24</v>
      </c>
      <c r="ADC56" s="19" t="s">
        <v>1257</v>
      </c>
      <c r="ADD56" s="18">
        <f t="shared" si="1378"/>
        <v>62</v>
      </c>
      <c r="ADE56" s="18">
        <f t="shared" si="405"/>
        <v>63</v>
      </c>
      <c r="ADF56" s="18">
        <v>2</v>
      </c>
      <c r="ADG56" s="301" t="str">
        <f t="shared" si="406"/>
        <v/>
      </c>
      <c r="ADH56" s="301"/>
      <c r="ADI56" s="302" t="str">
        <f t="shared" ref="ADI56" si="1562">IF(HEX2DEC(SUBSTITUTE(ADG56," ",""))=0,"",HEX2DEC(SUBSTITUTE(ADG56," ","")))</f>
        <v/>
      </c>
      <c r="ADJ56" s="349"/>
      <c r="ADK56" s="351"/>
      <c r="ADL56" s="18">
        <v>24</v>
      </c>
      <c r="ADM56" s="19" t="s">
        <v>1257</v>
      </c>
      <c r="ADN56" s="18">
        <f t="shared" si="1379"/>
        <v>62</v>
      </c>
      <c r="ADO56" s="18">
        <f t="shared" si="409"/>
        <v>63</v>
      </c>
      <c r="ADP56" s="18">
        <v>2</v>
      </c>
      <c r="ADQ56" s="301" t="str">
        <f t="shared" si="410"/>
        <v/>
      </c>
      <c r="ADR56" s="301"/>
      <c r="ADS56" s="302" t="str">
        <f t="shared" ref="ADS56" si="1563">IF(HEX2DEC(SUBSTITUTE(ADQ56," ",""))=0,"",HEX2DEC(SUBSTITUTE(ADQ56," ","")))</f>
        <v/>
      </c>
      <c r="ADT56" s="349"/>
      <c r="ADU56" s="351"/>
      <c r="ADV56" s="18">
        <v>24</v>
      </c>
      <c r="ADW56" s="19" t="s">
        <v>1257</v>
      </c>
      <c r="ADX56" s="18">
        <f t="shared" si="1380"/>
        <v>62</v>
      </c>
      <c r="ADY56" s="18">
        <f t="shared" si="413"/>
        <v>63</v>
      </c>
      <c r="ADZ56" s="18">
        <v>2</v>
      </c>
      <c r="AEA56" s="301" t="str">
        <f t="shared" si="414"/>
        <v/>
      </c>
      <c r="AEB56" s="301"/>
      <c r="AEC56" s="302" t="str">
        <f t="shared" ref="AEC56" si="1564">IF(HEX2DEC(SUBSTITUTE(AEA56," ",""))=0,"",HEX2DEC(SUBSTITUTE(AEA56," ","")))</f>
        <v/>
      </c>
      <c r="AED56" s="349"/>
      <c r="AEE56" s="351"/>
      <c r="AEF56" s="18">
        <v>24</v>
      </c>
      <c r="AEG56" s="19" t="s">
        <v>1257</v>
      </c>
      <c r="AEH56" s="18">
        <f t="shared" si="1381"/>
        <v>62</v>
      </c>
      <c r="AEI56" s="18">
        <f t="shared" si="417"/>
        <v>63</v>
      </c>
      <c r="AEJ56" s="18">
        <v>2</v>
      </c>
      <c r="AEK56" s="301" t="str">
        <f t="shared" si="418"/>
        <v/>
      </c>
      <c r="AEL56" s="301"/>
      <c r="AEM56" s="302" t="str">
        <f t="shared" ref="AEM56" si="1565">IF(HEX2DEC(SUBSTITUTE(AEK56," ",""))=0,"",HEX2DEC(SUBSTITUTE(AEK56," ","")))</f>
        <v/>
      </c>
      <c r="AEN56" s="349"/>
      <c r="AEO56" s="351"/>
      <c r="AEP56" s="18">
        <v>24</v>
      </c>
      <c r="AEQ56" s="19" t="s">
        <v>1257</v>
      </c>
      <c r="AER56" s="18">
        <f t="shared" si="1382"/>
        <v>62</v>
      </c>
      <c r="AES56" s="18">
        <f t="shared" si="421"/>
        <v>63</v>
      </c>
      <c r="AET56" s="18">
        <v>2</v>
      </c>
      <c r="AEU56" s="301" t="str">
        <f t="shared" si="422"/>
        <v/>
      </c>
      <c r="AEV56" s="301"/>
      <c r="AEW56" s="302" t="str">
        <f t="shared" ref="AEW56" si="1566">IF(HEX2DEC(SUBSTITUTE(AEU56," ",""))=0,"",HEX2DEC(SUBSTITUTE(AEU56," ","")))</f>
        <v/>
      </c>
      <c r="AEX56" s="349"/>
      <c r="AEY56" s="351"/>
      <c r="AEZ56" s="18">
        <v>24</v>
      </c>
      <c r="AFA56" s="19" t="s">
        <v>1257</v>
      </c>
      <c r="AFB56" s="18">
        <f t="shared" si="1383"/>
        <v>62</v>
      </c>
      <c r="AFC56" s="18">
        <f t="shared" si="425"/>
        <v>63</v>
      </c>
      <c r="AFD56" s="18">
        <v>2</v>
      </c>
      <c r="AFE56" s="301" t="str">
        <f t="shared" si="426"/>
        <v/>
      </c>
      <c r="AFF56" s="301"/>
      <c r="AFG56" s="302" t="str">
        <f t="shared" ref="AFG56" si="1567">IF(HEX2DEC(SUBSTITUTE(AFE56," ",""))=0,"",HEX2DEC(SUBSTITUTE(AFE56," ","")))</f>
        <v/>
      </c>
      <c r="AFH56" s="349"/>
      <c r="AFI56" s="351"/>
      <c r="AFJ56" s="18">
        <v>24</v>
      </c>
      <c r="AFK56" s="19" t="s">
        <v>1257</v>
      </c>
      <c r="AFL56" s="18">
        <f t="shared" si="1384"/>
        <v>62</v>
      </c>
      <c r="AFM56" s="18">
        <f t="shared" si="429"/>
        <v>63</v>
      </c>
      <c r="AFN56" s="18">
        <v>2</v>
      </c>
      <c r="AFO56" s="301" t="str">
        <f t="shared" si="430"/>
        <v/>
      </c>
      <c r="AFP56" s="301"/>
      <c r="AFQ56" s="302" t="str">
        <f t="shared" ref="AFQ56" si="1568">IF(HEX2DEC(SUBSTITUTE(AFO56," ",""))=0,"",HEX2DEC(SUBSTITUTE(AFO56," ","")))</f>
        <v/>
      </c>
      <c r="AFR56" s="349"/>
      <c r="AFS56" s="351"/>
      <c r="AFT56" s="18">
        <v>24</v>
      </c>
      <c r="AFU56" s="19" t="s">
        <v>1257</v>
      </c>
      <c r="AFV56" s="18">
        <f t="shared" si="1385"/>
        <v>62</v>
      </c>
      <c r="AFW56" s="18">
        <f t="shared" si="433"/>
        <v>63</v>
      </c>
      <c r="AFX56" s="18">
        <v>2</v>
      </c>
      <c r="AFY56" s="301" t="str">
        <f t="shared" si="434"/>
        <v/>
      </c>
      <c r="AFZ56" s="301"/>
      <c r="AGA56" s="302" t="str">
        <f t="shared" ref="AGA56" si="1569">IF(HEX2DEC(SUBSTITUTE(AFY56," ",""))=0,"",HEX2DEC(SUBSTITUTE(AFY56," ","")))</f>
        <v/>
      </c>
      <c r="AGB56" s="349"/>
      <c r="AGC56" s="351"/>
      <c r="AGD56" s="18">
        <v>24</v>
      </c>
      <c r="AGE56" s="19" t="s">
        <v>1257</v>
      </c>
      <c r="AGF56" s="18">
        <f t="shared" si="1386"/>
        <v>62</v>
      </c>
      <c r="AGG56" s="18">
        <f t="shared" si="437"/>
        <v>63</v>
      </c>
      <c r="AGH56" s="18">
        <v>2</v>
      </c>
      <c r="AGI56" s="301" t="str">
        <f t="shared" si="438"/>
        <v/>
      </c>
      <c r="AGJ56" s="301"/>
      <c r="AGK56" s="302" t="str">
        <f t="shared" ref="AGK56" si="1570">IF(HEX2DEC(SUBSTITUTE(AGI56," ",""))=0,"",HEX2DEC(SUBSTITUTE(AGI56," ","")))</f>
        <v/>
      </c>
      <c r="AGL56" s="349"/>
      <c r="AGM56" s="351"/>
      <c r="AGN56" s="18">
        <v>24</v>
      </c>
      <c r="AGO56" s="19" t="s">
        <v>1257</v>
      </c>
      <c r="AGP56" s="18">
        <f t="shared" si="1387"/>
        <v>62</v>
      </c>
      <c r="AGQ56" s="18">
        <f t="shared" si="441"/>
        <v>63</v>
      </c>
      <c r="AGR56" s="18">
        <v>2</v>
      </c>
      <c r="AGS56" s="301" t="str">
        <f t="shared" si="442"/>
        <v/>
      </c>
      <c r="AGT56" s="301"/>
      <c r="AGU56" s="302" t="str">
        <f t="shared" ref="AGU56" si="1571">IF(HEX2DEC(SUBSTITUTE(AGS56," ",""))=0,"",HEX2DEC(SUBSTITUTE(AGS56," ","")))</f>
        <v/>
      </c>
      <c r="AGV56" s="349"/>
      <c r="AGW56" s="351"/>
      <c r="AGX56" s="18">
        <v>24</v>
      </c>
      <c r="AGY56" s="19" t="s">
        <v>1257</v>
      </c>
      <c r="AGZ56" s="18">
        <f t="shared" si="1388"/>
        <v>62</v>
      </c>
      <c r="AHA56" s="18">
        <f t="shared" si="445"/>
        <v>63</v>
      </c>
      <c r="AHB56" s="18">
        <v>2</v>
      </c>
      <c r="AHC56" s="301" t="str">
        <f t="shared" si="446"/>
        <v/>
      </c>
      <c r="AHD56" s="301"/>
      <c r="AHE56" s="302" t="str">
        <f t="shared" ref="AHE56" si="1572">IF(HEX2DEC(SUBSTITUTE(AHC56," ",""))=0,"",HEX2DEC(SUBSTITUTE(AHC56," ","")))</f>
        <v/>
      </c>
      <c r="AHF56" s="349"/>
      <c r="AHG56" s="351"/>
      <c r="AHH56" s="18">
        <v>24</v>
      </c>
      <c r="AHI56" s="19" t="s">
        <v>1257</v>
      </c>
      <c r="AHJ56" s="18">
        <f t="shared" si="1389"/>
        <v>62</v>
      </c>
      <c r="AHK56" s="18">
        <f t="shared" si="449"/>
        <v>63</v>
      </c>
      <c r="AHL56" s="18">
        <v>2</v>
      </c>
      <c r="AHM56" s="301" t="str">
        <f t="shared" si="450"/>
        <v/>
      </c>
      <c r="AHN56" s="301"/>
      <c r="AHO56" s="302" t="str">
        <f t="shared" ref="AHO56" si="1573">IF(HEX2DEC(SUBSTITUTE(AHM56," ",""))=0,"",HEX2DEC(SUBSTITUTE(AHM56," ","")))</f>
        <v/>
      </c>
      <c r="AHP56" s="349"/>
      <c r="AHQ56" s="351"/>
      <c r="AHR56" s="18">
        <v>24</v>
      </c>
      <c r="AHS56" s="19" t="s">
        <v>1257</v>
      </c>
      <c r="AHT56" s="18">
        <f t="shared" si="1390"/>
        <v>62</v>
      </c>
      <c r="AHU56" s="18">
        <f t="shared" si="453"/>
        <v>63</v>
      </c>
      <c r="AHV56" s="18">
        <v>2</v>
      </c>
      <c r="AHW56" s="301" t="str">
        <f t="shared" si="454"/>
        <v/>
      </c>
      <c r="AHX56" s="301"/>
      <c r="AHY56" s="302" t="str">
        <f t="shared" ref="AHY56" si="1574">IF(HEX2DEC(SUBSTITUTE(AHW56," ",""))=0,"",HEX2DEC(SUBSTITUTE(AHW56," ","")))</f>
        <v/>
      </c>
      <c r="AHZ56" s="349"/>
      <c r="AIA56" s="351"/>
      <c r="AIB56" s="18">
        <v>24</v>
      </c>
      <c r="AIC56" s="19" t="s">
        <v>1257</v>
      </c>
      <c r="AID56" s="18">
        <f t="shared" si="1391"/>
        <v>62</v>
      </c>
      <c r="AIE56" s="18">
        <f t="shared" si="457"/>
        <v>63</v>
      </c>
      <c r="AIF56" s="18">
        <v>2</v>
      </c>
      <c r="AIG56" s="301" t="str">
        <f t="shared" si="458"/>
        <v/>
      </c>
      <c r="AIH56" s="301"/>
      <c r="AII56" s="302" t="str">
        <f t="shared" ref="AII56" si="1575">IF(HEX2DEC(SUBSTITUTE(AIG56," ",""))=0,"",HEX2DEC(SUBSTITUTE(AIG56," ","")))</f>
        <v/>
      </c>
      <c r="AIJ56" s="349"/>
      <c r="AIK56" s="351"/>
      <c r="AIL56" s="18">
        <v>24</v>
      </c>
      <c r="AIM56" s="19" t="s">
        <v>1257</v>
      </c>
      <c r="AIN56" s="18">
        <f t="shared" si="1392"/>
        <v>62</v>
      </c>
      <c r="AIO56" s="18">
        <f t="shared" si="461"/>
        <v>63</v>
      </c>
      <c r="AIP56" s="18">
        <v>2</v>
      </c>
      <c r="AIQ56" s="301" t="str">
        <f t="shared" si="462"/>
        <v/>
      </c>
      <c r="AIR56" s="301"/>
      <c r="AIS56" s="302" t="str">
        <f t="shared" ref="AIS56" si="1576">IF(HEX2DEC(SUBSTITUTE(AIQ56," ",""))=0,"",HEX2DEC(SUBSTITUTE(AIQ56," ","")))</f>
        <v/>
      </c>
      <c r="AIT56" s="349"/>
      <c r="AIU56" s="351"/>
      <c r="AIV56" s="18">
        <v>24</v>
      </c>
      <c r="AIW56" s="19" t="s">
        <v>1257</v>
      </c>
      <c r="AIX56" s="18">
        <f t="shared" si="1393"/>
        <v>62</v>
      </c>
      <c r="AIY56" s="18">
        <f t="shared" si="465"/>
        <v>63</v>
      </c>
      <c r="AIZ56" s="18">
        <v>2</v>
      </c>
      <c r="AJA56" s="301" t="str">
        <f t="shared" si="466"/>
        <v/>
      </c>
      <c r="AJB56" s="301"/>
      <c r="AJC56" s="302" t="str">
        <f t="shared" ref="AJC56" si="1577">IF(HEX2DEC(SUBSTITUTE(AJA56," ",""))=0,"",HEX2DEC(SUBSTITUTE(AJA56," ","")))</f>
        <v/>
      </c>
      <c r="AJD56" s="349"/>
    </row>
    <row r="57" spans="1:940" ht="19.5" customHeight="1">
      <c r="A57" s="35" t="s">
        <v>1163</v>
      </c>
      <c r="B57" s="2">
        <v>26</v>
      </c>
      <c r="C57" s="3" t="s">
        <v>1258</v>
      </c>
      <c r="D57" s="2">
        <f t="shared" si="561"/>
        <v>64</v>
      </c>
      <c r="E57" s="2">
        <f t="shared" si="1117"/>
        <v>67</v>
      </c>
      <c r="F57" s="2">
        <v>4</v>
      </c>
      <c r="G57" s="255" t="str">
        <f>IF(A$42=0,"",CONCATENATE(TRIM(MID($C$28,(D57-1)*3+1,3))," | ",TRIM(MID($C$28,(D57)*3+1,(F57-1)*3))))</f>
        <v/>
      </c>
      <c r="H57" s="255"/>
      <c r="I57" s="231" t="str">
        <f>IF(G57="","",CONCATENATE(HEX2DEC(TRIM(MID(G57,1,3)))," | ",IF(HEX2DEC(SUBSTITUTE(MID(G57,6,8)," ",""))=0,"N/D",IF(HEX2DEC(SUBSTITUTE(MID(G57,6,8)," ",""))&gt;8388608,CONCATENATE(HEX2DEC(CONCATENATE("FFFF",SUBSTITUTE(MID(G57,6,8)," ","")))," N/D"),HEX2DEC(SUBSTITUTE(MID(G57,6,8)," ",""))))))</f>
        <v/>
      </c>
      <c r="J57" s="205"/>
      <c r="K57" s="193" t="s">
        <v>1163</v>
      </c>
      <c r="L57" s="2">
        <v>25</v>
      </c>
      <c r="M57" s="194" t="s">
        <v>1258</v>
      </c>
      <c r="N57" s="2">
        <f t="shared" si="562"/>
        <v>64</v>
      </c>
      <c r="O57" s="2">
        <f t="shared" si="97"/>
        <v>67</v>
      </c>
      <c r="P57" s="2">
        <v>4</v>
      </c>
      <c r="Q57" s="255" t="str">
        <f>IF(K$42=0,"",CONCATENATE(TRIM(MID($C$28,(N57-1)*3+1,3))," | ",TRIM(MID($C$28,(N57)*3+1,(P57-1)*3))))</f>
        <v/>
      </c>
      <c r="R57" s="255"/>
      <c r="S57" s="231" t="str">
        <f>IF(Q57="","",CONCATENATE(HEX2DEC(TRIM(MID(Q57,1,3)))," | ",IF(HEX2DEC(SUBSTITUTE(MID(Q57,6,8)," ",""))=0,"N/D",IF(HEX2DEC(SUBSTITUTE(MID(Q57,6,8)," ",""))&gt;8388608,CONCATENATE(HEX2DEC(CONCATENATE("FFFF",SUBSTITUTE(MID(Q57,6,8)," ","")))," N/D"),HEX2DEC(SUBSTITUTE(MID(Q57,6,8)," ",""))))))</f>
        <v/>
      </c>
      <c r="T57" s="344"/>
      <c r="U57" s="193" t="s">
        <v>1163</v>
      </c>
      <c r="V57" s="2">
        <v>25</v>
      </c>
      <c r="W57" s="194" t="s">
        <v>1259</v>
      </c>
      <c r="X57" s="2">
        <f t="shared" si="1302"/>
        <v>64</v>
      </c>
      <c r="Y57" s="2">
        <f t="shared" si="101"/>
        <v>67</v>
      </c>
      <c r="Z57" s="2">
        <v>4</v>
      </c>
      <c r="AA57" s="255" t="str">
        <f t="shared" ref="AA57" si="1578">IF(U$42=0,"",CONCATENATE(TRIM(MID($C$28,(X57-1)*3+1,3))," | ",TRIM(MID($C$28,(X57)*3+1,(Z57-1)*3))))</f>
        <v/>
      </c>
      <c r="AB57" s="255"/>
      <c r="AC57" s="231" t="str">
        <f t="shared" ref="AC57:AC66" si="1579">IF(AA57="","",CONCATENATE(HEX2DEC(TRIM(MID(AA57,1,3)))," | ",IF(HEX2DEC(SUBSTITUTE(MID(AA57,6,8)," ",""))=0,"N/D",IF(HEX2DEC(SUBSTITUTE(MID(AA57,6,8)," ",""))&gt;8388608,CONCATENATE(HEX2DEC(CONCATENATE("FFFF",SUBSTITUTE(MID(AA57,6,8)," ","")))," N/D"),HEX2DEC(SUBSTITUTE(MID(AA57,6,8)," ",""))))))</f>
        <v/>
      </c>
      <c r="AD57" s="344"/>
      <c r="AE57" s="193" t="s">
        <v>1163</v>
      </c>
      <c r="AF57" s="2">
        <v>25</v>
      </c>
      <c r="AG57" s="194" t="s">
        <v>1260</v>
      </c>
      <c r="AH57" s="2">
        <f t="shared" si="1303"/>
        <v>64</v>
      </c>
      <c r="AI57" s="2">
        <f t="shared" si="105"/>
        <v>67</v>
      </c>
      <c r="AJ57" s="2">
        <v>4</v>
      </c>
      <c r="AK57" s="255" t="str">
        <f t="shared" ref="AK57" si="1580">IF(AE$42=0,"",CONCATENATE(TRIM(MID($C$28,(AH57-1)*3+1,3))," | ",TRIM(MID($C$28,(AH57)*3+1,(AJ57-1)*3))))</f>
        <v/>
      </c>
      <c r="AL57" s="255"/>
      <c r="AM57" s="231" t="str">
        <f t="shared" ref="AM57:AM66" si="1581">IF(AK57="","",CONCATENATE(HEX2DEC(TRIM(MID(AK57,1,3)))," | ",IF(HEX2DEC(SUBSTITUTE(MID(AK57,6,8)," ",""))=0,"N/D",IF(HEX2DEC(SUBSTITUTE(MID(AK57,6,8)," ",""))&gt;8388608,CONCATENATE(HEX2DEC(CONCATENATE("FFFF",SUBSTITUTE(MID(AK57,6,8)," ","")))," N/D"),HEX2DEC(SUBSTITUTE(MID(AK57,6,8)," ",""))))))</f>
        <v/>
      </c>
      <c r="AN57" s="344"/>
      <c r="AO57" s="193" t="s">
        <v>1163</v>
      </c>
      <c r="AP57" s="2">
        <v>25</v>
      </c>
      <c r="AQ57" s="194" t="s">
        <v>1261</v>
      </c>
      <c r="AR57" s="2">
        <f t="shared" si="1304"/>
        <v>64</v>
      </c>
      <c r="AS57" s="2">
        <f t="shared" si="109"/>
        <v>67</v>
      </c>
      <c r="AT57" s="2">
        <v>4</v>
      </c>
      <c r="AU57" s="255" t="str">
        <f t="shared" ref="AU57" si="1582">IF(AO$42=0,"",CONCATENATE(TRIM(MID($C$28,(AR57-1)*3+1,3))," | ",TRIM(MID($C$28,(AR57)*3+1,(AT57-1)*3))))</f>
        <v/>
      </c>
      <c r="AV57" s="255"/>
      <c r="AW57" s="231" t="str">
        <f t="shared" ref="AW57:AW66" si="1583">IF(AU57="","",CONCATENATE(HEX2DEC(TRIM(MID(AU57,1,3)))," | ",IF(HEX2DEC(SUBSTITUTE(MID(AU57,6,8)," ",""))=0,"N/D",IF(HEX2DEC(SUBSTITUTE(MID(AU57,6,8)," ",""))&gt;8388608,CONCATENATE(HEX2DEC(CONCATENATE("FFFF",SUBSTITUTE(MID(AU57,6,8)," ","")))," N/D"),HEX2DEC(SUBSTITUTE(MID(AU57,6,8)," ",""))))))</f>
        <v/>
      </c>
      <c r="AX57" s="344"/>
      <c r="AY57" s="193" t="s">
        <v>1163</v>
      </c>
      <c r="AZ57" s="2">
        <v>25</v>
      </c>
      <c r="BA57" s="194" t="s">
        <v>1262</v>
      </c>
      <c r="BB57" s="2">
        <f t="shared" si="1305"/>
        <v>64</v>
      </c>
      <c r="BC57" s="2">
        <f t="shared" si="113"/>
        <v>67</v>
      </c>
      <c r="BD57" s="2">
        <v>4</v>
      </c>
      <c r="BE57" s="255" t="str">
        <f t="shared" ref="BE57" si="1584">IF(AY$42=0,"",CONCATENATE(TRIM(MID($C$28,(BB57-1)*3+1,3))," | ",TRIM(MID($C$28,(BB57)*3+1,(BD57-1)*3))))</f>
        <v/>
      </c>
      <c r="BF57" s="255"/>
      <c r="BG57" s="231" t="str">
        <f t="shared" ref="BG57:BG66" si="1585">IF(BE57="","",CONCATENATE(HEX2DEC(TRIM(MID(BE57,1,3)))," | ",IF(HEX2DEC(SUBSTITUTE(MID(BE57,6,8)," ",""))=0,"N/D",IF(HEX2DEC(SUBSTITUTE(MID(BE57,6,8)," ",""))&gt;8388608,CONCATENATE(HEX2DEC(CONCATENATE("FFFF",SUBSTITUTE(MID(BE57,6,8)," ","")))," N/D"),HEX2DEC(SUBSTITUTE(MID(BE57,6,8)," ",""))))))</f>
        <v/>
      </c>
      <c r="BH57" s="344"/>
      <c r="BI57" s="193" t="s">
        <v>1163</v>
      </c>
      <c r="BJ57" s="2">
        <v>25</v>
      </c>
      <c r="BK57" s="194" t="s">
        <v>1263</v>
      </c>
      <c r="BL57" s="2">
        <f t="shared" si="1306"/>
        <v>64</v>
      </c>
      <c r="BM57" s="2">
        <f t="shared" si="117"/>
        <v>67</v>
      </c>
      <c r="BN57" s="2">
        <v>4</v>
      </c>
      <c r="BO57" s="255" t="str">
        <f t="shared" ref="BO57" si="1586">IF(BI$42=0,"",CONCATENATE(TRIM(MID($C$28,(BL57-1)*3+1,3))," | ",TRIM(MID($C$28,(BL57)*3+1,(BN57-1)*3))))</f>
        <v/>
      </c>
      <c r="BP57" s="255"/>
      <c r="BQ57" s="231" t="str">
        <f t="shared" ref="BQ57:BQ66" si="1587">IF(BO57="","",CONCATENATE(HEX2DEC(TRIM(MID(BO57,1,3)))," | ",IF(HEX2DEC(SUBSTITUTE(MID(BO57,6,8)," ",""))=0,"N/D",IF(HEX2DEC(SUBSTITUTE(MID(BO57,6,8)," ",""))&gt;8388608,CONCATENATE(HEX2DEC(CONCATENATE("FFFF",SUBSTITUTE(MID(BO57,6,8)," ","")))," N/D"),HEX2DEC(SUBSTITUTE(MID(BO57,6,8)," ",""))))))</f>
        <v/>
      </c>
      <c r="BR57" s="344"/>
      <c r="BS57" s="193" t="s">
        <v>1163</v>
      </c>
      <c r="BT57" s="2">
        <v>25</v>
      </c>
      <c r="BU57" s="194" t="s">
        <v>1264</v>
      </c>
      <c r="BV57" s="2">
        <f t="shared" si="1307"/>
        <v>64</v>
      </c>
      <c r="BW57" s="2">
        <f t="shared" si="121"/>
        <v>67</v>
      </c>
      <c r="BX57" s="2">
        <v>4</v>
      </c>
      <c r="BY57" s="255" t="str">
        <f t="shared" ref="BY57" si="1588">IF(BS$42=0,"",CONCATENATE(TRIM(MID($C$28,(BV57-1)*3+1,3))," | ",TRIM(MID($C$28,(BV57)*3+1,(BX57-1)*3))))</f>
        <v/>
      </c>
      <c r="BZ57" s="255"/>
      <c r="CA57" s="231" t="str">
        <f t="shared" ref="CA57:CA66" si="1589">IF(BY57="","",CONCATENATE(HEX2DEC(TRIM(MID(BY57,1,3)))," | ",IF(HEX2DEC(SUBSTITUTE(MID(BY57,6,8)," ",""))=0,"N/D",IF(HEX2DEC(SUBSTITUTE(MID(BY57,6,8)," ",""))&gt;8388608,CONCATENATE(HEX2DEC(CONCATENATE("FFFF",SUBSTITUTE(MID(BY57,6,8)," ","")))," N/D"),HEX2DEC(SUBSTITUTE(MID(BY57,6,8)," ",""))))))</f>
        <v/>
      </c>
      <c r="CB57" s="344"/>
      <c r="CC57" s="193" t="s">
        <v>1163</v>
      </c>
      <c r="CD57" s="2">
        <v>25</v>
      </c>
      <c r="CE57" s="194" t="s">
        <v>1265</v>
      </c>
      <c r="CF57" s="2">
        <f t="shared" si="1308"/>
        <v>64</v>
      </c>
      <c r="CG57" s="2">
        <f t="shared" si="125"/>
        <v>67</v>
      </c>
      <c r="CH57" s="2">
        <v>4</v>
      </c>
      <c r="CI57" s="255" t="str">
        <f t="shared" ref="CI57" si="1590">IF(CC$42=0,"",CONCATENATE(TRIM(MID($C$28,(CF57-1)*3+1,3))," | ",TRIM(MID($C$28,(CF57)*3+1,(CH57-1)*3))))</f>
        <v/>
      </c>
      <c r="CJ57" s="255"/>
      <c r="CK57" s="231" t="str">
        <f t="shared" ref="CK57:CK66" si="1591">IF(CI57="","",CONCATENATE(HEX2DEC(TRIM(MID(CI57,1,3)))," | ",IF(HEX2DEC(SUBSTITUTE(MID(CI57,6,8)," ",""))=0,"N/D",IF(HEX2DEC(SUBSTITUTE(MID(CI57,6,8)," ",""))&gt;8388608,CONCATENATE(HEX2DEC(CONCATENATE("FFFF",SUBSTITUTE(MID(CI57,6,8)," ","")))," N/D"),HEX2DEC(SUBSTITUTE(MID(CI57,6,8)," ",""))))))</f>
        <v/>
      </c>
      <c r="CL57" s="344"/>
      <c r="CM57" s="193" t="s">
        <v>1163</v>
      </c>
      <c r="CN57" s="2">
        <v>25</v>
      </c>
      <c r="CO57" s="194" t="s">
        <v>1266</v>
      </c>
      <c r="CP57" s="2">
        <f t="shared" si="1309"/>
        <v>64</v>
      </c>
      <c r="CQ57" s="2">
        <f t="shared" si="129"/>
        <v>67</v>
      </c>
      <c r="CR57" s="2">
        <v>4</v>
      </c>
      <c r="CS57" s="255" t="str">
        <f t="shared" ref="CS57" si="1592">IF(CM$42=0,"",CONCATENATE(TRIM(MID($C$28,(CP57-1)*3+1,3))," | ",TRIM(MID($C$28,(CP57)*3+1,(CR57-1)*3))))</f>
        <v/>
      </c>
      <c r="CT57" s="255"/>
      <c r="CU57" s="231" t="str">
        <f t="shared" ref="CU57:CU66" si="1593">IF(CS57="","",CONCATENATE(HEX2DEC(TRIM(MID(CS57,1,3)))," | ",IF(HEX2DEC(SUBSTITUTE(MID(CS57,6,8)," ",""))=0,"N/D",IF(HEX2DEC(SUBSTITUTE(MID(CS57,6,8)," ",""))&gt;8388608,CONCATENATE(HEX2DEC(CONCATENATE("FFFF",SUBSTITUTE(MID(CS57,6,8)," ","")))," N/D"),HEX2DEC(SUBSTITUTE(MID(CS57,6,8)," ",""))))))</f>
        <v/>
      </c>
      <c r="CV57" s="344"/>
      <c r="CW57" s="193" t="s">
        <v>1163</v>
      </c>
      <c r="CX57" s="2">
        <v>25</v>
      </c>
      <c r="CY57" s="194" t="s">
        <v>1267</v>
      </c>
      <c r="CZ57" s="2">
        <f t="shared" si="1310"/>
        <v>64</v>
      </c>
      <c r="DA57" s="2">
        <f t="shared" si="133"/>
        <v>67</v>
      </c>
      <c r="DB57" s="2">
        <v>4</v>
      </c>
      <c r="DC57" s="255" t="str">
        <f t="shared" ref="DC57" si="1594">IF(CW$42=0,"",CONCATENATE(TRIM(MID($C$28,(CZ57-1)*3+1,3))," | ",TRIM(MID($C$28,(CZ57)*3+1,(DB57-1)*3))))</f>
        <v/>
      </c>
      <c r="DD57" s="255"/>
      <c r="DE57" s="231" t="str">
        <f t="shared" ref="DE57:DE66" si="1595">IF(DC57="","",CONCATENATE(HEX2DEC(TRIM(MID(DC57,1,3)))," | ",IF(HEX2DEC(SUBSTITUTE(MID(DC57,6,8)," ",""))=0,"N/D",IF(HEX2DEC(SUBSTITUTE(MID(DC57,6,8)," ",""))&gt;8388608,CONCATENATE(HEX2DEC(CONCATENATE("FFFF",SUBSTITUTE(MID(DC57,6,8)," ","")))," N/D"),HEX2DEC(SUBSTITUTE(MID(DC57,6,8)," ",""))))))</f>
        <v/>
      </c>
      <c r="DF57" s="344"/>
      <c r="DG57" s="193" t="s">
        <v>1163</v>
      </c>
      <c r="DH57" s="2">
        <v>25</v>
      </c>
      <c r="DI57" s="194" t="s">
        <v>1268</v>
      </c>
      <c r="DJ57" s="2">
        <f t="shared" si="1311"/>
        <v>64</v>
      </c>
      <c r="DK57" s="2">
        <f t="shared" si="137"/>
        <v>67</v>
      </c>
      <c r="DL57" s="2">
        <v>4</v>
      </c>
      <c r="DM57" s="255" t="str">
        <f t="shared" ref="DM57" si="1596">IF(DG$42=0,"",CONCATENATE(TRIM(MID($C$28,(DJ57-1)*3+1,3))," | ",TRIM(MID($C$28,(DJ57)*3+1,(DL57-1)*3))))</f>
        <v/>
      </c>
      <c r="DN57" s="255"/>
      <c r="DO57" s="231" t="str">
        <f t="shared" ref="DO57:DO66" si="1597">IF(DM57="","",CONCATENATE(HEX2DEC(TRIM(MID(DM57,1,3)))," | ",IF(HEX2DEC(SUBSTITUTE(MID(DM57,6,8)," ",""))=0,"N/D",IF(HEX2DEC(SUBSTITUTE(MID(DM57,6,8)," ",""))&gt;8388608,CONCATENATE(HEX2DEC(CONCATENATE("FFFF",SUBSTITUTE(MID(DM57,6,8)," ","")))," N/D"),HEX2DEC(SUBSTITUTE(MID(DM57,6,8)," ",""))))))</f>
        <v/>
      </c>
      <c r="DP57" s="344"/>
      <c r="DQ57" s="193" t="s">
        <v>1163</v>
      </c>
      <c r="DR57" s="2">
        <v>25</v>
      </c>
      <c r="DS57" s="194" t="s">
        <v>1269</v>
      </c>
      <c r="DT57" s="2">
        <f t="shared" si="1312"/>
        <v>64</v>
      </c>
      <c r="DU57" s="2">
        <f t="shared" si="141"/>
        <v>67</v>
      </c>
      <c r="DV57" s="2">
        <v>4</v>
      </c>
      <c r="DW57" s="255" t="str">
        <f t="shared" ref="DW57" si="1598">IF(DQ$42=0,"",CONCATENATE(TRIM(MID($C$28,(DT57-1)*3+1,3))," | ",TRIM(MID($C$28,(DT57)*3+1,(DV57-1)*3))))</f>
        <v/>
      </c>
      <c r="DX57" s="255"/>
      <c r="DY57" s="231" t="str">
        <f t="shared" ref="DY57:DY66" si="1599">IF(DW57="","",CONCATENATE(HEX2DEC(TRIM(MID(DW57,1,3)))," | ",IF(HEX2DEC(SUBSTITUTE(MID(DW57,6,8)," ",""))=0,"N/D",IF(HEX2DEC(SUBSTITUTE(MID(DW57,6,8)," ",""))&gt;8388608,CONCATENATE(HEX2DEC(CONCATENATE("FFFF",SUBSTITUTE(MID(DW57,6,8)," ","")))," N/D"),HEX2DEC(SUBSTITUTE(MID(DW57,6,8)," ",""))))))</f>
        <v/>
      </c>
      <c r="DZ57" s="344"/>
      <c r="EA57" s="193" t="s">
        <v>1163</v>
      </c>
      <c r="EB57" s="2">
        <v>25</v>
      </c>
      <c r="EC57" s="194" t="s">
        <v>1270</v>
      </c>
      <c r="ED57" s="2">
        <f t="shared" si="1313"/>
        <v>64</v>
      </c>
      <c r="EE57" s="2">
        <f t="shared" si="145"/>
        <v>67</v>
      </c>
      <c r="EF57" s="2">
        <v>4</v>
      </c>
      <c r="EG57" s="255" t="str">
        <f t="shared" ref="EG57" si="1600">IF(EA$42=0,"",CONCATENATE(TRIM(MID($C$28,(ED57-1)*3+1,3))," | ",TRIM(MID($C$28,(ED57)*3+1,(EF57-1)*3))))</f>
        <v/>
      </c>
      <c r="EH57" s="255"/>
      <c r="EI57" s="231" t="str">
        <f t="shared" ref="EI57:EI66" si="1601">IF(EG57="","",CONCATENATE(HEX2DEC(TRIM(MID(EG57,1,3)))," | ",IF(HEX2DEC(SUBSTITUTE(MID(EG57,6,8)," ",""))=0,"N/D",IF(HEX2DEC(SUBSTITUTE(MID(EG57,6,8)," ",""))&gt;8388608,CONCATENATE(HEX2DEC(CONCATENATE("FFFF",SUBSTITUTE(MID(EG57,6,8)," ","")))," N/D"),HEX2DEC(SUBSTITUTE(MID(EG57,6,8)," ",""))))))</f>
        <v/>
      </c>
      <c r="EJ57" s="344"/>
      <c r="EK57" s="193" t="s">
        <v>1163</v>
      </c>
      <c r="EL57" s="2">
        <v>25</v>
      </c>
      <c r="EM57" s="194" t="s">
        <v>1271</v>
      </c>
      <c r="EN57" s="2">
        <f t="shared" si="1314"/>
        <v>64</v>
      </c>
      <c r="EO57" s="2">
        <f t="shared" si="149"/>
        <v>67</v>
      </c>
      <c r="EP57" s="2">
        <v>4</v>
      </c>
      <c r="EQ57" s="255" t="str">
        <f t="shared" ref="EQ57" si="1602">IF(EK$42=0,"",CONCATENATE(TRIM(MID($C$28,(EN57-1)*3+1,3))," | ",TRIM(MID($C$28,(EN57)*3+1,(EP57-1)*3))))</f>
        <v/>
      </c>
      <c r="ER57" s="255"/>
      <c r="ES57" s="231" t="str">
        <f t="shared" ref="ES57:ES66" si="1603">IF(EQ57="","",CONCATENATE(HEX2DEC(TRIM(MID(EQ57,1,3)))," | ",IF(HEX2DEC(SUBSTITUTE(MID(EQ57,6,8)," ",""))=0,"N/D",IF(HEX2DEC(SUBSTITUTE(MID(EQ57,6,8)," ",""))&gt;8388608,CONCATENATE(HEX2DEC(CONCATENATE("FFFF",SUBSTITUTE(MID(EQ57,6,8)," ","")))," N/D"),HEX2DEC(SUBSTITUTE(MID(EQ57,6,8)," ",""))))))</f>
        <v/>
      </c>
      <c r="ET57" s="344"/>
      <c r="EU57" s="193" t="s">
        <v>1163</v>
      </c>
      <c r="EV57" s="2">
        <v>25</v>
      </c>
      <c r="EW57" s="194" t="s">
        <v>1272</v>
      </c>
      <c r="EX57" s="2">
        <f t="shared" si="1315"/>
        <v>64</v>
      </c>
      <c r="EY57" s="2">
        <f t="shared" si="153"/>
        <v>67</v>
      </c>
      <c r="EZ57" s="2">
        <v>4</v>
      </c>
      <c r="FA57" s="255" t="str">
        <f t="shared" ref="FA57" si="1604">IF(EU$42=0,"",CONCATENATE(TRIM(MID($C$28,(EX57-1)*3+1,3))," | ",TRIM(MID($C$28,(EX57)*3+1,(EZ57-1)*3))))</f>
        <v/>
      </c>
      <c r="FB57" s="255"/>
      <c r="FC57" s="231" t="str">
        <f t="shared" ref="FC57:FC66" si="1605">IF(FA57="","",CONCATENATE(HEX2DEC(TRIM(MID(FA57,1,3)))," | ",IF(HEX2DEC(SUBSTITUTE(MID(FA57,6,8)," ",""))=0,"N/D",IF(HEX2DEC(SUBSTITUTE(MID(FA57,6,8)," ",""))&gt;8388608,CONCATENATE(HEX2DEC(CONCATENATE("FFFF",SUBSTITUTE(MID(FA57,6,8)," ","")))," N/D"),HEX2DEC(SUBSTITUTE(MID(FA57,6,8)," ",""))))))</f>
        <v/>
      </c>
      <c r="FD57" s="344"/>
      <c r="FE57" s="193" t="s">
        <v>1163</v>
      </c>
      <c r="FF57" s="2">
        <v>25</v>
      </c>
      <c r="FG57" s="194" t="s">
        <v>1273</v>
      </c>
      <c r="FH57" s="2">
        <f t="shared" si="1316"/>
        <v>64</v>
      </c>
      <c r="FI57" s="2">
        <f t="shared" si="157"/>
        <v>67</v>
      </c>
      <c r="FJ57" s="2">
        <v>4</v>
      </c>
      <c r="FK57" s="255" t="str">
        <f t="shared" ref="FK57" si="1606">IF(FE$42=0,"",CONCATENATE(TRIM(MID($C$28,(FH57-1)*3+1,3))," | ",TRIM(MID($C$28,(FH57)*3+1,(FJ57-1)*3))))</f>
        <v/>
      </c>
      <c r="FL57" s="255"/>
      <c r="FM57" s="231" t="str">
        <f t="shared" ref="FM57:FM66" si="1607">IF(FK57="","",CONCATENATE(HEX2DEC(TRIM(MID(FK57,1,3)))," | ",IF(HEX2DEC(SUBSTITUTE(MID(FK57,6,8)," ",""))=0,"N/D",IF(HEX2DEC(SUBSTITUTE(MID(FK57,6,8)," ",""))&gt;8388608,CONCATENATE(HEX2DEC(CONCATENATE("FFFF",SUBSTITUTE(MID(FK57,6,8)," ","")))," N/D"),HEX2DEC(SUBSTITUTE(MID(FK57,6,8)," ",""))))))</f>
        <v/>
      </c>
      <c r="FN57" s="344"/>
      <c r="FO57" s="193" t="s">
        <v>1163</v>
      </c>
      <c r="FP57" s="2">
        <v>25</v>
      </c>
      <c r="FQ57" s="194" t="s">
        <v>1274</v>
      </c>
      <c r="FR57" s="2">
        <f t="shared" si="1317"/>
        <v>64</v>
      </c>
      <c r="FS57" s="2">
        <f t="shared" si="161"/>
        <v>67</v>
      </c>
      <c r="FT57" s="2">
        <v>4</v>
      </c>
      <c r="FU57" s="255" t="str">
        <f t="shared" ref="FU57" si="1608">IF(FO$42=0,"",CONCATENATE(TRIM(MID($C$28,(FR57-1)*3+1,3))," | ",TRIM(MID($C$28,(FR57)*3+1,(FT57-1)*3))))</f>
        <v/>
      </c>
      <c r="FV57" s="255"/>
      <c r="FW57" s="231" t="str">
        <f t="shared" ref="FW57:FW66" si="1609">IF(FU57="","",CONCATENATE(HEX2DEC(TRIM(MID(FU57,1,3)))," | ",IF(HEX2DEC(SUBSTITUTE(MID(FU57,6,8)," ",""))=0,"N/D",IF(HEX2DEC(SUBSTITUTE(MID(FU57,6,8)," ",""))&gt;8388608,CONCATENATE(HEX2DEC(CONCATENATE("FFFF",SUBSTITUTE(MID(FU57,6,8)," ","")))," N/D"),HEX2DEC(SUBSTITUTE(MID(FU57,6,8)," ",""))))))</f>
        <v/>
      </c>
      <c r="FX57" s="344"/>
      <c r="FY57" s="193" t="s">
        <v>1163</v>
      </c>
      <c r="FZ57" s="2">
        <v>25</v>
      </c>
      <c r="GA57" s="194" t="s">
        <v>1275</v>
      </c>
      <c r="GB57" s="2">
        <f t="shared" si="1318"/>
        <v>64</v>
      </c>
      <c r="GC57" s="2">
        <f t="shared" si="165"/>
        <v>67</v>
      </c>
      <c r="GD57" s="2">
        <v>4</v>
      </c>
      <c r="GE57" s="255" t="str">
        <f t="shared" ref="GE57" si="1610">IF(FY$42=0,"",CONCATENATE(TRIM(MID($C$28,(GB57-1)*3+1,3))," | ",TRIM(MID($C$28,(GB57)*3+1,(GD57-1)*3))))</f>
        <v/>
      </c>
      <c r="GF57" s="255"/>
      <c r="GG57" s="231" t="str">
        <f t="shared" ref="GG57:GG66" si="1611">IF(GE57="","",CONCATENATE(HEX2DEC(TRIM(MID(GE57,1,3)))," | ",IF(HEX2DEC(SUBSTITUTE(MID(GE57,6,8)," ",""))=0,"N/D",IF(HEX2DEC(SUBSTITUTE(MID(GE57,6,8)," ",""))&gt;8388608,CONCATENATE(HEX2DEC(CONCATENATE("FFFF",SUBSTITUTE(MID(GE57,6,8)," ","")))," N/D"),HEX2DEC(SUBSTITUTE(MID(GE57,6,8)," ",""))))))</f>
        <v/>
      </c>
      <c r="GH57" s="344"/>
      <c r="GI57" s="193" t="s">
        <v>1163</v>
      </c>
      <c r="GJ57" s="2">
        <v>25</v>
      </c>
      <c r="GK57" s="194" t="s">
        <v>1276</v>
      </c>
      <c r="GL57" s="2">
        <f t="shared" si="1319"/>
        <v>64</v>
      </c>
      <c r="GM57" s="2">
        <f t="shared" si="169"/>
        <v>67</v>
      </c>
      <c r="GN57" s="2">
        <v>4</v>
      </c>
      <c r="GO57" s="255" t="str">
        <f t="shared" ref="GO57" si="1612">IF(GI$42=0,"",CONCATENATE(TRIM(MID($C$28,(GL57-1)*3+1,3))," | ",TRIM(MID($C$28,(GL57)*3+1,(GN57-1)*3))))</f>
        <v/>
      </c>
      <c r="GP57" s="255"/>
      <c r="GQ57" s="231" t="str">
        <f t="shared" ref="GQ57:GQ66" si="1613">IF(GO57="","",CONCATENATE(HEX2DEC(TRIM(MID(GO57,1,3)))," | ",IF(HEX2DEC(SUBSTITUTE(MID(GO57,6,8)," ",""))=0,"N/D",IF(HEX2DEC(SUBSTITUTE(MID(GO57,6,8)," ",""))&gt;8388608,CONCATENATE(HEX2DEC(CONCATENATE("FFFF",SUBSTITUTE(MID(GO57,6,8)," ","")))," N/D"),HEX2DEC(SUBSTITUTE(MID(GO57,6,8)," ",""))))))</f>
        <v/>
      </c>
      <c r="GR57" s="344"/>
      <c r="GS57" s="193" t="s">
        <v>1163</v>
      </c>
      <c r="GT57" s="2">
        <v>25</v>
      </c>
      <c r="GU57" s="194" t="s">
        <v>1277</v>
      </c>
      <c r="GV57" s="2">
        <f t="shared" si="1320"/>
        <v>64</v>
      </c>
      <c r="GW57" s="2">
        <f t="shared" si="173"/>
        <v>67</v>
      </c>
      <c r="GX57" s="2">
        <v>4</v>
      </c>
      <c r="GY57" s="255" t="str">
        <f t="shared" ref="GY57" si="1614">IF(GS$42=0,"",CONCATENATE(TRIM(MID($C$28,(GV57-1)*3+1,3))," | ",TRIM(MID($C$28,(GV57)*3+1,(GX57-1)*3))))</f>
        <v/>
      </c>
      <c r="GZ57" s="255"/>
      <c r="HA57" s="231" t="str">
        <f t="shared" ref="HA57:HA66" si="1615">IF(GY57="","",CONCATENATE(HEX2DEC(TRIM(MID(GY57,1,3)))," | ",IF(HEX2DEC(SUBSTITUTE(MID(GY57,6,8)," ",""))=0,"N/D",IF(HEX2DEC(SUBSTITUTE(MID(GY57,6,8)," ",""))&gt;8388608,CONCATENATE(HEX2DEC(CONCATENATE("FFFF",SUBSTITUTE(MID(GY57,6,8)," ","")))," N/D"),HEX2DEC(SUBSTITUTE(MID(GY57,6,8)," ",""))))))</f>
        <v/>
      </c>
      <c r="HB57" s="344"/>
      <c r="HC57" s="193" t="s">
        <v>1163</v>
      </c>
      <c r="HD57" s="2">
        <v>25</v>
      </c>
      <c r="HE57" s="194" t="s">
        <v>1278</v>
      </c>
      <c r="HF57" s="2">
        <f t="shared" si="1321"/>
        <v>64</v>
      </c>
      <c r="HG57" s="2">
        <f t="shared" si="177"/>
        <v>67</v>
      </c>
      <c r="HH57" s="2">
        <v>4</v>
      </c>
      <c r="HI57" s="255" t="str">
        <f t="shared" ref="HI57" si="1616">IF(HC$42=0,"",CONCATENATE(TRIM(MID($C$28,(HF57-1)*3+1,3))," | ",TRIM(MID($C$28,(HF57)*3+1,(HH57-1)*3))))</f>
        <v/>
      </c>
      <c r="HJ57" s="255"/>
      <c r="HK57" s="231" t="str">
        <f t="shared" ref="HK57:HK66" si="1617">IF(HI57="","",CONCATENATE(HEX2DEC(TRIM(MID(HI57,1,3)))," | ",IF(HEX2DEC(SUBSTITUTE(MID(HI57,6,8)," ",""))=0,"N/D",IF(HEX2DEC(SUBSTITUTE(MID(HI57,6,8)," ",""))&gt;8388608,CONCATENATE(HEX2DEC(CONCATENATE("FFFF",SUBSTITUTE(MID(HI57,6,8)," ","")))," N/D"),HEX2DEC(SUBSTITUTE(MID(HI57,6,8)," ",""))))))</f>
        <v/>
      </c>
      <c r="HL57" s="344"/>
      <c r="HM57" s="193" t="s">
        <v>1163</v>
      </c>
      <c r="HN57" s="2">
        <v>25</v>
      </c>
      <c r="HO57" s="194" t="s">
        <v>1279</v>
      </c>
      <c r="HP57" s="2">
        <f t="shared" si="1322"/>
        <v>64</v>
      </c>
      <c r="HQ57" s="2">
        <f t="shared" si="181"/>
        <v>67</v>
      </c>
      <c r="HR57" s="2">
        <v>4</v>
      </c>
      <c r="HS57" s="255" t="str">
        <f t="shared" ref="HS57" si="1618">IF(HM$42=0,"",CONCATENATE(TRIM(MID($C$28,(HP57-1)*3+1,3))," | ",TRIM(MID($C$28,(HP57)*3+1,(HR57-1)*3))))</f>
        <v/>
      </c>
      <c r="HT57" s="255"/>
      <c r="HU57" s="231" t="str">
        <f t="shared" ref="HU57:HU66" si="1619">IF(HS57="","",CONCATENATE(HEX2DEC(TRIM(MID(HS57,1,3)))," | ",IF(HEX2DEC(SUBSTITUTE(MID(HS57,6,8)," ",""))=0,"N/D",IF(HEX2DEC(SUBSTITUTE(MID(HS57,6,8)," ",""))&gt;8388608,CONCATENATE(HEX2DEC(CONCATENATE("FFFF",SUBSTITUTE(MID(HS57,6,8)," ","")))," N/D"),HEX2DEC(SUBSTITUTE(MID(HS57,6,8)," ",""))))))</f>
        <v/>
      </c>
      <c r="HV57" s="344"/>
      <c r="HW57" s="193" t="s">
        <v>1163</v>
      </c>
      <c r="HX57" s="2">
        <v>25</v>
      </c>
      <c r="HY57" s="194" t="s">
        <v>1280</v>
      </c>
      <c r="HZ57" s="2">
        <f t="shared" si="1323"/>
        <v>64</v>
      </c>
      <c r="IA57" s="2">
        <f t="shared" si="185"/>
        <v>67</v>
      </c>
      <c r="IB57" s="2">
        <v>4</v>
      </c>
      <c r="IC57" s="255" t="str">
        <f t="shared" ref="IC57" si="1620">IF(HW$42=0,"",CONCATENATE(TRIM(MID($C$28,(HZ57-1)*3+1,3))," | ",TRIM(MID($C$28,(HZ57)*3+1,(IB57-1)*3))))</f>
        <v/>
      </c>
      <c r="ID57" s="255"/>
      <c r="IE57" s="231" t="str">
        <f t="shared" ref="IE57:IE66" si="1621">IF(IC57="","",CONCATENATE(HEX2DEC(TRIM(MID(IC57,1,3)))," | ",IF(HEX2DEC(SUBSTITUTE(MID(IC57,6,8)," ",""))=0,"N/D",IF(HEX2DEC(SUBSTITUTE(MID(IC57,6,8)," ",""))&gt;8388608,CONCATENATE(HEX2DEC(CONCATENATE("FFFF",SUBSTITUTE(MID(IC57,6,8)," ","")))," N/D"),HEX2DEC(SUBSTITUTE(MID(IC57,6,8)," ",""))))))</f>
        <v/>
      </c>
      <c r="IF57" s="344"/>
      <c r="IG57" s="193" t="s">
        <v>1163</v>
      </c>
      <c r="IH57" s="2">
        <v>25</v>
      </c>
      <c r="II57" s="194" t="s">
        <v>1281</v>
      </c>
      <c r="IJ57" s="2">
        <f t="shared" si="1324"/>
        <v>64</v>
      </c>
      <c r="IK57" s="2">
        <f t="shared" si="189"/>
        <v>67</v>
      </c>
      <c r="IL57" s="2">
        <v>4</v>
      </c>
      <c r="IM57" s="255" t="str">
        <f t="shared" ref="IM57" si="1622">IF(IG$42=0,"",CONCATENATE(TRIM(MID($C$28,(IJ57-1)*3+1,3))," | ",TRIM(MID($C$28,(IJ57)*3+1,(IL57-1)*3))))</f>
        <v/>
      </c>
      <c r="IN57" s="255"/>
      <c r="IO57" s="231" t="str">
        <f t="shared" ref="IO57:IO66" si="1623">IF(IM57="","",CONCATENATE(HEX2DEC(TRIM(MID(IM57,1,3)))," | ",IF(HEX2DEC(SUBSTITUTE(MID(IM57,6,8)," ",""))=0,"N/D",IF(HEX2DEC(SUBSTITUTE(MID(IM57,6,8)," ",""))&gt;8388608,CONCATENATE(HEX2DEC(CONCATENATE("FFFF",SUBSTITUTE(MID(IM57,6,8)," ","")))," N/D"),HEX2DEC(SUBSTITUTE(MID(IM57,6,8)," ",""))))))</f>
        <v/>
      </c>
      <c r="IP57" s="344"/>
      <c r="IQ57" s="193" t="s">
        <v>1163</v>
      </c>
      <c r="IR57" s="2">
        <v>25</v>
      </c>
      <c r="IS57" s="194" t="s">
        <v>1282</v>
      </c>
      <c r="IT57" s="2">
        <f t="shared" si="1325"/>
        <v>64</v>
      </c>
      <c r="IU57" s="2">
        <f t="shared" si="193"/>
        <v>67</v>
      </c>
      <c r="IV57" s="2">
        <v>4</v>
      </c>
      <c r="IW57" s="255" t="str">
        <f t="shared" ref="IW57" si="1624">IF(IQ$42=0,"",CONCATENATE(TRIM(MID($C$28,(IT57-1)*3+1,3))," | ",TRIM(MID($C$28,(IT57)*3+1,(IV57-1)*3))))</f>
        <v/>
      </c>
      <c r="IX57" s="255"/>
      <c r="IY57" s="231" t="str">
        <f t="shared" ref="IY57:IY66" si="1625">IF(IW57="","",CONCATENATE(HEX2DEC(TRIM(MID(IW57,1,3)))," | ",IF(HEX2DEC(SUBSTITUTE(MID(IW57,6,8)," ",""))=0,"N/D",IF(HEX2DEC(SUBSTITUTE(MID(IW57,6,8)," ",""))&gt;8388608,CONCATENATE(HEX2DEC(CONCATENATE("FFFF",SUBSTITUTE(MID(IW57,6,8)," ","")))," N/D"),HEX2DEC(SUBSTITUTE(MID(IW57,6,8)," ",""))))))</f>
        <v/>
      </c>
      <c r="IZ57" s="344"/>
      <c r="JA57" s="193" t="s">
        <v>1163</v>
      </c>
      <c r="JB57" s="2">
        <v>25</v>
      </c>
      <c r="JC57" s="194" t="s">
        <v>1283</v>
      </c>
      <c r="JD57" s="2">
        <f t="shared" si="1326"/>
        <v>64</v>
      </c>
      <c r="JE57" s="2">
        <f t="shared" si="197"/>
        <v>67</v>
      </c>
      <c r="JF57" s="2">
        <v>4</v>
      </c>
      <c r="JG57" s="255" t="str">
        <f t="shared" ref="JG57" si="1626">IF(JA$42=0,"",CONCATENATE(TRIM(MID($C$28,(JD57-1)*3+1,3))," | ",TRIM(MID($C$28,(JD57)*3+1,(JF57-1)*3))))</f>
        <v/>
      </c>
      <c r="JH57" s="255"/>
      <c r="JI57" s="231" t="str">
        <f t="shared" ref="JI57:JI66" si="1627">IF(JG57="","",CONCATENATE(HEX2DEC(TRIM(MID(JG57,1,3)))," | ",IF(HEX2DEC(SUBSTITUTE(MID(JG57,6,8)," ",""))=0,"N/D",IF(HEX2DEC(SUBSTITUTE(MID(JG57,6,8)," ",""))&gt;8388608,CONCATENATE(HEX2DEC(CONCATENATE("FFFF",SUBSTITUTE(MID(JG57,6,8)," ","")))," N/D"),HEX2DEC(SUBSTITUTE(MID(JG57,6,8)," ",""))))))</f>
        <v/>
      </c>
      <c r="JJ57" s="344"/>
      <c r="JK57" s="193" t="s">
        <v>1163</v>
      </c>
      <c r="JL57" s="2">
        <v>25</v>
      </c>
      <c r="JM57" s="194" t="s">
        <v>1284</v>
      </c>
      <c r="JN57" s="2">
        <f t="shared" si="1327"/>
        <v>64</v>
      </c>
      <c r="JO57" s="2">
        <f t="shared" si="201"/>
        <v>67</v>
      </c>
      <c r="JP57" s="2">
        <v>4</v>
      </c>
      <c r="JQ57" s="255" t="str">
        <f t="shared" ref="JQ57" si="1628">IF(JK$42=0,"",CONCATENATE(TRIM(MID($C$28,(JN57-1)*3+1,3))," | ",TRIM(MID($C$28,(JN57)*3+1,(JP57-1)*3))))</f>
        <v/>
      </c>
      <c r="JR57" s="255"/>
      <c r="JS57" s="231" t="str">
        <f t="shared" ref="JS57:JS66" si="1629">IF(JQ57="","",CONCATENATE(HEX2DEC(TRIM(MID(JQ57,1,3)))," | ",IF(HEX2DEC(SUBSTITUTE(MID(JQ57,6,8)," ",""))=0,"N/D",IF(HEX2DEC(SUBSTITUTE(MID(JQ57,6,8)," ",""))&gt;8388608,CONCATENATE(HEX2DEC(CONCATENATE("FFFF",SUBSTITUTE(MID(JQ57,6,8)," ","")))," N/D"),HEX2DEC(SUBSTITUTE(MID(JQ57,6,8)," ",""))))))</f>
        <v/>
      </c>
      <c r="JT57" s="344"/>
      <c r="JU57" s="193" t="s">
        <v>1163</v>
      </c>
      <c r="JV57" s="2">
        <v>25</v>
      </c>
      <c r="JW57" s="194" t="s">
        <v>1285</v>
      </c>
      <c r="JX57" s="2">
        <f t="shared" si="1328"/>
        <v>64</v>
      </c>
      <c r="JY57" s="2">
        <f t="shared" si="205"/>
        <v>67</v>
      </c>
      <c r="JZ57" s="2">
        <v>4</v>
      </c>
      <c r="KA57" s="255" t="str">
        <f t="shared" ref="KA57" si="1630">IF(JU$42=0,"",CONCATENATE(TRIM(MID($C$28,(JX57-1)*3+1,3))," | ",TRIM(MID($C$28,(JX57)*3+1,(JZ57-1)*3))))</f>
        <v/>
      </c>
      <c r="KB57" s="255"/>
      <c r="KC57" s="231" t="str">
        <f t="shared" ref="KC57:KC66" si="1631">IF(KA57="","",CONCATENATE(HEX2DEC(TRIM(MID(KA57,1,3)))," | ",IF(HEX2DEC(SUBSTITUTE(MID(KA57,6,8)," ",""))=0,"N/D",IF(HEX2DEC(SUBSTITUTE(MID(KA57,6,8)," ",""))&gt;8388608,CONCATENATE(HEX2DEC(CONCATENATE("FFFF",SUBSTITUTE(MID(KA57,6,8)," ","")))," N/D"),HEX2DEC(SUBSTITUTE(MID(KA57,6,8)," ",""))))))</f>
        <v/>
      </c>
      <c r="KD57" s="344"/>
      <c r="KE57" s="193" t="s">
        <v>1163</v>
      </c>
      <c r="KF57" s="2">
        <v>25</v>
      </c>
      <c r="KG57" s="194" t="s">
        <v>1286</v>
      </c>
      <c r="KH57" s="2">
        <f t="shared" si="1329"/>
        <v>64</v>
      </c>
      <c r="KI57" s="2">
        <f t="shared" si="209"/>
        <v>67</v>
      </c>
      <c r="KJ57" s="2">
        <v>4</v>
      </c>
      <c r="KK57" s="255" t="str">
        <f t="shared" ref="KK57" si="1632">IF(KE$42=0,"",CONCATENATE(TRIM(MID($C$28,(KH57-1)*3+1,3))," | ",TRIM(MID($C$28,(KH57)*3+1,(KJ57-1)*3))))</f>
        <v/>
      </c>
      <c r="KL57" s="255"/>
      <c r="KM57" s="231" t="str">
        <f t="shared" ref="KM57:KM66" si="1633">IF(KK57="","",CONCATENATE(HEX2DEC(TRIM(MID(KK57,1,3)))," | ",IF(HEX2DEC(SUBSTITUTE(MID(KK57,6,8)," ",""))=0,"N/D",IF(HEX2DEC(SUBSTITUTE(MID(KK57,6,8)," ",""))&gt;8388608,CONCATENATE(HEX2DEC(CONCATENATE("FFFF",SUBSTITUTE(MID(KK57,6,8)," ","")))," N/D"),HEX2DEC(SUBSTITUTE(MID(KK57,6,8)," ",""))))))</f>
        <v/>
      </c>
      <c r="KN57" s="344"/>
      <c r="KO57" s="193" t="s">
        <v>1163</v>
      </c>
      <c r="KP57" s="2">
        <v>25</v>
      </c>
      <c r="KQ57" s="194" t="s">
        <v>1287</v>
      </c>
      <c r="KR57" s="2">
        <f t="shared" si="1330"/>
        <v>64</v>
      </c>
      <c r="KS57" s="2">
        <f t="shared" si="213"/>
        <v>67</v>
      </c>
      <c r="KT57" s="2">
        <v>4</v>
      </c>
      <c r="KU57" s="255" t="str">
        <f t="shared" ref="KU57" si="1634">IF(KO$42=0,"",CONCATENATE(TRIM(MID($C$28,(KR57-1)*3+1,3))," | ",TRIM(MID($C$28,(KR57)*3+1,(KT57-1)*3))))</f>
        <v/>
      </c>
      <c r="KV57" s="255"/>
      <c r="KW57" s="231" t="str">
        <f t="shared" ref="KW57:KW66" si="1635">IF(KU57="","",CONCATENATE(HEX2DEC(TRIM(MID(KU57,1,3)))," | ",IF(HEX2DEC(SUBSTITUTE(MID(KU57,6,8)," ",""))=0,"N/D",IF(HEX2DEC(SUBSTITUTE(MID(KU57,6,8)," ",""))&gt;8388608,CONCATENATE(HEX2DEC(CONCATENATE("FFFF",SUBSTITUTE(MID(KU57,6,8)," ","")))," N/D"),HEX2DEC(SUBSTITUTE(MID(KU57,6,8)," ",""))))))</f>
        <v/>
      </c>
      <c r="KX57" s="344"/>
      <c r="KY57" s="193" t="s">
        <v>1163</v>
      </c>
      <c r="KZ57" s="2">
        <v>25</v>
      </c>
      <c r="LA57" s="194" t="s">
        <v>1288</v>
      </c>
      <c r="LB57" s="2">
        <f t="shared" si="1331"/>
        <v>64</v>
      </c>
      <c r="LC57" s="2">
        <f t="shared" si="217"/>
        <v>67</v>
      </c>
      <c r="LD57" s="2">
        <v>4</v>
      </c>
      <c r="LE57" s="255" t="str">
        <f t="shared" ref="LE57" si="1636">IF(KY$42=0,"",CONCATENATE(TRIM(MID($C$28,(LB57-1)*3+1,3))," | ",TRIM(MID($C$28,(LB57)*3+1,(LD57-1)*3))))</f>
        <v/>
      </c>
      <c r="LF57" s="255"/>
      <c r="LG57" s="231" t="str">
        <f t="shared" ref="LG57:LG66" si="1637">IF(LE57="","",CONCATENATE(HEX2DEC(TRIM(MID(LE57,1,3)))," | ",IF(HEX2DEC(SUBSTITUTE(MID(LE57,6,8)," ",""))=0,"N/D",IF(HEX2DEC(SUBSTITUTE(MID(LE57,6,8)," ",""))&gt;8388608,CONCATENATE(HEX2DEC(CONCATENATE("FFFF",SUBSTITUTE(MID(LE57,6,8)," ","")))," N/D"),HEX2DEC(SUBSTITUTE(MID(LE57,6,8)," ",""))))))</f>
        <v/>
      </c>
      <c r="LH57" s="344"/>
      <c r="LI57" s="193" t="s">
        <v>1163</v>
      </c>
      <c r="LJ57" s="2">
        <v>25</v>
      </c>
      <c r="LK57" s="194" t="s">
        <v>1289</v>
      </c>
      <c r="LL57" s="2">
        <f t="shared" si="1332"/>
        <v>64</v>
      </c>
      <c r="LM57" s="2">
        <f t="shared" si="221"/>
        <v>67</v>
      </c>
      <c r="LN57" s="2">
        <v>4</v>
      </c>
      <c r="LO57" s="255" t="str">
        <f t="shared" ref="LO57" si="1638">IF(LI$42=0,"",CONCATENATE(TRIM(MID($C$28,(LL57-1)*3+1,3))," | ",TRIM(MID($C$28,(LL57)*3+1,(LN57-1)*3))))</f>
        <v/>
      </c>
      <c r="LP57" s="255"/>
      <c r="LQ57" s="231" t="str">
        <f t="shared" ref="LQ57:LQ66" si="1639">IF(LO57="","",CONCATENATE(HEX2DEC(TRIM(MID(LO57,1,3)))," | ",IF(HEX2DEC(SUBSTITUTE(MID(LO57,6,8)," ",""))=0,"N/D",IF(HEX2DEC(SUBSTITUTE(MID(LO57,6,8)," ",""))&gt;8388608,CONCATENATE(HEX2DEC(CONCATENATE("FFFF",SUBSTITUTE(MID(LO57,6,8)," ","")))," N/D"),HEX2DEC(SUBSTITUTE(MID(LO57,6,8)," ",""))))))</f>
        <v/>
      </c>
      <c r="LR57" s="344"/>
      <c r="LS57" s="193" t="s">
        <v>1163</v>
      </c>
      <c r="LT57" s="2">
        <v>25</v>
      </c>
      <c r="LU57" s="194" t="s">
        <v>1290</v>
      </c>
      <c r="LV57" s="2">
        <f t="shared" si="1333"/>
        <v>64</v>
      </c>
      <c r="LW57" s="2">
        <f t="shared" si="225"/>
        <v>67</v>
      </c>
      <c r="LX57" s="2">
        <v>4</v>
      </c>
      <c r="LY57" s="255" t="str">
        <f t="shared" ref="LY57" si="1640">IF(LS$42=0,"",CONCATENATE(TRIM(MID($C$28,(LV57-1)*3+1,3))," | ",TRIM(MID($C$28,(LV57)*3+1,(LX57-1)*3))))</f>
        <v/>
      </c>
      <c r="LZ57" s="255"/>
      <c r="MA57" s="231" t="str">
        <f t="shared" ref="MA57:MA66" si="1641">IF(LY57="","",CONCATENATE(HEX2DEC(TRIM(MID(LY57,1,3)))," | ",IF(HEX2DEC(SUBSTITUTE(MID(LY57,6,8)," ",""))=0,"N/D",IF(HEX2DEC(SUBSTITUTE(MID(LY57,6,8)," ",""))&gt;8388608,CONCATENATE(HEX2DEC(CONCATENATE("FFFF",SUBSTITUTE(MID(LY57,6,8)," ","")))," N/D"),HEX2DEC(SUBSTITUTE(MID(LY57,6,8)," ",""))))))</f>
        <v/>
      </c>
      <c r="MB57" s="344"/>
      <c r="MC57" s="193" t="s">
        <v>1163</v>
      </c>
      <c r="MD57" s="2">
        <v>25</v>
      </c>
      <c r="ME57" s="194" t="s">
        <v>1291</v>
      </c>
      <c r="MF57" s="2">
        <f t="shared" si="1334"/>
        <v>64</v>
      </c>
      <c r="MG57" s="2">
        <f t="shared" si="229"/>
        <v>67</v>
      </c>
      <c r="MH57" s="2">
        <v>4</v>
      </c>
      <c r="MI57" s="255" t="str">
        <f t="shared" ref="MI57" si="1642">IF(MC$42=0,"",CONCATENATE(TRIM(MID($C$28,(MF57-1)*3+1,3))," | ",TRIM(MID($C$28,(MF57)*3+1,(MH57-1)*3))))</f>
        <v/>
      </c>
      <c r="MJ57" s="255"/>
      <c r="MK57" s="231" t="str">
        <f t="shared" ref="MK57:MK66" si="1643">IF(MI57="","",CONCATENATE(HEX2DEC(TRIM(MID(MI57,1,3)))," | ",IF(HEX2DEC(SUBSTITUTE(MID(MI57,6,8)," ",""))=0,"N/D",IF(HEX2DEC(SUBSTITUTE(MID(MI57,6,8)," ",""))&gt;8388608,CONCATENATE(HEX2DEC(CONCATENATE("FFFF",SUBSTITUTE(MID(MI57,6,8)," ","")))," N/D"),HEX2DEC(SUBSTITUTE(MID(MI57,6,8)," ",""))))))</f>
        <v/>
      </c>
      <c r="ML57" s="344"/>
      <c r="MM57" s="193" t="s">
        <v>1163</v>
      </c>
      <c r="MN57" s="2">
        <v>25</v>
      </c>
      <c r="MO57" s="194" t="s">
        <v>1292</v>
      </c>
      <c r="MP57" s="2">
        <f t="shared" si="1335"/>
        <v>64</v>
      </c>
      <c r="MQ57" s="2">
        <f t="shared" si="233"/>
        <v>67</v>
      </c>
      <c r="MR57" s="2">
        <v>4</v>
      </c>
      <c r="MS57" s="255" t="str">
        <f t="shared" ref="MS57" si="1644">IF(MM$42=0,"",CONCATENATE(TRIM(MID($C$28,(MP57-1)*3+1,3))," | ",TRIM(MID($C$28,(MP57)*3+1,(MR57-1)*3))))</f>
        <v/>
      </c>
      <c r="MT57" s="255"/>
      <c r="MU57" s="231" t="str">
        <f t="shared" ref="MU57:MU66" si="1645">IF(MS57="","",CONCATENATE(HEX2DEC(TRIM(MID(MS57,1,3)))," | ",IF(HEX2DEC(SUBSTITUTE(MID(MS57,6,8)," ",""))=0,"N/D",IF(HEX2DEC(SUBSTITUTE(MID(MS57,6,8)," ",""))&gt;8388608,CONCATENATE(HEX2DEC(CONCATENATE("FFFF",SUBSTITUTE(MID(MS57,6,8)," ","")))," N/D"),HEX2DEC(SUBSTITUTE(MID(MS57,6,8)," ",""))))))</f>
        <v/>
      </c>
      <c r="MV57" s="344"/>
      <c r="MW57" s="193" t="s">
        <v>1163</v>
      </c>
      <c r="MX57" s="2">
        <v>25</v>
      </c>
      <c r="MY57" s="194" t="s">
        <v>1293</v>
      </c>
      <c r="MZ57" s="2">
        <f t="shared" si="1336"/>
        <v>64</v>
      </c>
      <c r="NA57" s="2">
        <f t="shared" si="237"/>
        <v>67</v>
      </c>
      <c r="NB57" s="2">
        <v>4</v>
      </c>
      <c r="NC57" s="255" t="str">
        <f t="shared" ref="NC57" si="1646">IF(MW$42=0,"",CONCATENATE(TRIM(MID($C$28,(MZ57-1)*3+1,3))," | ",TRIM(MID($C$28,(MZ57)*3+1,(NB57-1)*3))))</f>
        <v/>
      </c>
      <c r="ND57" s="255"/>
      <c r="NE57" s="231" t="str">
        <f t="shared" ref="NE57:NE66" si="1647">IF(NC57="","",CONCATENATE(HEX2DEC(TRIM(MID(NC57,1,3)))," | ",IF(HEX2DEC(SUBSTITUTE(MID(NC57,6,8)," ",""))=0,"N/D",IF(HEX2DEC(SUBSTITUTE(MID(NC57,6,8)," ",""))&gt;8388608,CONCATENATE(HEX2DEC(CONCATENATE("FFFF",SUBSTITUTE(MID(NC57,6,8)," ","")))," N/D"),HEX2DEC(SUBSTITUTE(MID(NC57,6,8)," ",""))))))</f>
        <v/>
      </c>
      <c r="NF57" s="344"/>
      <c r="NG57" s="193" t="s">
        <v>1163</v>
      </c>
      <c r="NH57" s="2">
        <v>25</v>
      </c>
      <c r="NI57" s="194" t="s">
        <v>1294</v>
      </c>
      <c r="NJ57" s="2">
        <f t="shared" si="1337"/>
        <v>64</v>
      </c>
      <c r="NK57" s="2">
        <f t="shared" si="241"/>
        <v>67</v>
      </c>
      <c r="NL57" s="2">
        <v>4</v>
      </c>
      <c r="NM57" s="255" t="str">
        <f t="shared" ref="NM57" si="1648">IF(NG$42=0,"",CONCATENATE(TRIM(MID($C$28,(NJ57-1)*3+1,3))," | ",TRIM(MID($C$28,(NJ57)*3+1,(NL57-1)*3))))</f>
        <v/>
      </c>
      <c r="NN57" s="255"/>
      <c r="NO57" s="231" t="str">
        <f t="shared" ref="NO57:NO66" si="1649">IF(NM57="","",CONCATENATE(HEX2DEC(TRIM(MID(NM57,1,3)))," | ",IF(HEX2DEC(SUBSTITUTE(MID(NM57,6,8)," ",""))=0,"N/D",IF(HEX2DEC(SUBSTITUTE(MID(NM57,6,8)," ",""))&gt;8388608,CONCATENATE(HEX2DEC(CONCATENATE("FFFF",SUBSTITUTE(MID(NM57,6,8)," ","")))," N/D"),HEX2DEC(SUBSTITUTE(MID(NM57,6,8)," ",""))))))</f>
        <v/>
      </c>
      <c r="NP57" s="344"/>
      <c r="NQ57" s="193" t="s">
        <v>1163</v>
      </c>
      <c r="NR57" s="2">
        <v>25</v>
      </c>
      <c r="NS57" s="194" t="s">
        <v>1295</v>
      </c>
      <c r="NT57" s="2">
        <f t="shared" si="1338"/>
        <v>64</v>
      </c>
      <c r="NU57" s="2">
        <f t="shared" si="245"/>
        <v>67</v>
      </c>
      <c r="NV57" s="2">
        <v>4</v>
      </c>
      <c r="NW57" s="255" t="str">
        <f t="shared" ref="NW57" si="1650">IF(NQ$42=0,"",CONCATENATE(TRIM(MID($C$28,(NT57-1)*3+1,3))," | ",TRIM(MID($C$28,(NT57)*3+1,(NV57-1)*3))))</f>
        <v/>
      </c>
      <c r="NX57" s="255"/>
      <c r="NY57" s="231" t="str">
        <f t="shared" ref="NY57:NY66" si="1651">IF(NW57="","",CONCATENATE(HEX2DEC(TRIM(MID(NW57,1,3)))," | ",IF(HEX2DEC(SUBSTITUTE(MID(NW57,6,8)," ",""))=0,"N/D",IF(HEX2DEC(SUBSTITUTE(MID(NW57,6,8)," ",""))&gt;8388608,CONCATENATE(HEX2DEC(CONCATENATE("FFFF",SUBSTITUTE(MID(NW57,6,8)," ","")))," N/D"),HEX2DEC(SUBSTITUTE(MID(NW57,6,8)," ",""))))))</f>
        <v/>
      </c>
      <c r="NZ57" s="344"/>
      <c r="OA57" s="193" t="s">
        <v>1163</v>
      </c>
      <c r="OB57" s="2">
        <v>25</v>
      </c>
      <c r="OC57" s="194" t="s">
        <v>1296</v>
      </c>
      <c r="OD57" s="2">
        <f t="shared" si="1339"/>
        <v>64</v>
      </c>
      <c r="OE57" s="2">
        <f t="shared" si="249"/>
        <v>67</v>
      </c>
      <c r="OF57" s="2">
        <v>4</v>
      </c>
      <c r="OG57" s="255" t="str">
        <f t="shared" ref="OG57" si="1652">IF(OA$42=0,"",CONCATENATE(TRIM(MID($C$28,(OD57-1)*3+1,3))," | ",TRIM(MID($C$28,(OD57)*3+1,(OF57-1)*3))))</f>
        <v/>
      </c>
      <c r="OH57" s="255"/>
      <c r="OI57" s="231" t="str">
        <f t="shared" ref="OI57:OI66" si="1653">IF(OG57="","",CONCATENATE(HEX2DEC(TRIM(MID(OG57,1,3)))," | ",IF(HEX2DEC(SUBSTITUTE(MID(OG57,6,8)," ",""))=0,"N/D",IF(HEX2DEC(SUBSTITUTE(MID(OG57,6,8)," ",""))&gt;8388608,CONCATENATE(HEX2DEC(CONCATENATE("FFFF",SUBSTITUTE(MID(OG57,6,8)," ","")))," N/D"),HEX2DEC(SUBSTITUTE(MID(OG57,6,8)," ",""))))))</f>
        <v/>
      </c>
      <c r="OJ57" s="344"/>
      <c r="OK57" s="193" t="s">
        <v>1163</v>
      </c>
      <c r="OL57" s="2">
        <v>25</v>
      </c>
      <c r="OM57" s="194" t="s">
        <v>1297</v>
      </c>
      <c r="ON57" s="2">
        <f t="shared" si="1340"/>
        <v>64</v>
      </c>
      <c r="OO57" s="2">
        <f t="shared" si="253"/>
        <v>67</v>
      </c>
      <c r="OP57" s="2">
        <v>4</v>
      </c>
      <c r="OQ57" s="255" t="str">
        <f t="shared" ref="OQ57" si="1654">IF(OK$42=0,"",CONCATENATE(TRIM(MID($C$28,(ON57-1)*3+1,3))," | ",TRIM(MID($C$28,(ON57)*3+1,(OP57-1)*3))))</f>
        <v/>
      </c>
      <c r="OR57" s="255"/>
      <c r="OS57" s="231" t="str">
        <f t="shared" ref="OS57:OS66" si="1655">IF(OQ57="","",CONCATENATE(HEX2DEC(TRIM(MID(OQ57,1,3)))," | ",IF(HEX2DEC(SUBSTITUTE(MID(OQ57,6,8)," ",""))=0,"N/D",IF(HEX2DEC(SUBSTITUTE(MID(OQ57,6,8)," ",""))&gt;8388608,CONCATENATE(HEX2DEC(CONCATENATE("FFFF",SUBSTITUTE(MID(OQ57,6,8)," ","")))," N/D"),HEX2DEC(SUBSTITUTE(MID(OQ57,6,8)," ",""))))))</f>
        <v/>
      </c>
      <c r="OT57" s="344"/>
      <c r="OU57" s="193" t="s">
        <v>1163</v>
      </c>
      <c r="OV57" s="2">
        <v>25</v>
      </c>
      <c r="OW57" s="194" t="s">
        <v>1298</v>
      </c>
      <c r="OX57" s="2">
        <f t="shared" si="1341"/>
        <v>64</v>
      </c>
      <c r="OY57" s="2">
        <f t="shared" si="257"/>
        <v>67</v>
      </c>
      <c r="OZ57" s="2">
        <v>4</v>
      </c>
      <c r="PA57" s="255" t="str">
        <f t="shared" ref="PA57" si="1656">IF(OU$42=0,"",CONCATENATE(TRIM(MID($C$28,(OX57-1)*3+1,3))," | ",TRIM(MID($C$28,(OX57)*3+1,(OZ57-1)*3))))</f>
        <v/>
      </c>
      <c r="PB57" s="255"/>
      <c r="PC57" s="231" t="str">
        <f t="shared" ref="PC57:PC66" si="1657">IF(PA57="","",CONCATENATE(HEX2DEC(TRIM(MID(PA57,1,3)))," | ",IF(HEX2DEC(SUBSTITUTE(MID(PA57,6,8)," ",""))=0,"N/D",IF(HEX2DEC(SUBSTITUTE(MID(PA57,6,8)," ",""))&gt;8388608,CONCATENATE(HEX2DEC(CONCATENATE("FFFF",SUBSTITUTE(MID(PA57,6,8)," ","")))," N/D"),HEX2DEC(SUBSTITUTE(MID(PA57,6,8)," ",""))))))</f>
        <v/>
      </c>
      <c r="PD57" s="344"/>
      <c r="PE57" s="193" t="s">
        <v>1163</v>
      </c>
      <c r="PF57" s="2">
        <v>25</v>
      </c>
      <c r="PG57" s="194" t="s">
        <v>1299</v>
      </c>
      <c r="PH57" s="2">
        <f t="shared" si="1342"/>
        <v>64</v>
      </c>
      <c r="PI57" s="2">
        <f t="shared" si="261"/>
        <v>67</v>
      </c>
      <c r="PJ57" s="2">
        <v>4</v>
      </c>
      <c r="PK57" s="255" t="str">
        <f t="shared" ref="PK57" si="1658">IF(PE$42=0,"",CONCATENATE(TRIM(MID($C$28,(PH57-1)*3+1,3))," | ",TRIM(MID($C$28,(PH57)*3+1,(PJ57-1)*3))))</f>
        <v/>
      </c>
      <c r="PL57" s="255"/>
      <c r="PM57" s="231" t="str">
        <f t="shared" ref="PM57:PM66" si="1659">IF(PK57="","",CONCATENATE(HEX2DEC(TRIM(MID(PK57,1,3)))," | ",IF(HEX2DEC(SUBSTITUTE(MID(PK57,6,8)," ",""))=0,"N/D",IF(HEX2DEC(SUBSTITUTE(MID(PK57,6,8)," ",""))&gt;8388608,CONCATENATE(HEX2DEC(CONCATENATE("FFFF",SUBSTITUTE(MID(PK57,6,8)," ","")))," N/D"),HEX2DEC(SUBSTITUTE(MID(PK57,6,8)," ",""))))))</f>
        <v/>
      </c>
      <c r="PN57" s="344"/>
      <c r="PO57" s="193" t="s">
        <v>1163</v>
      </c>
      <c r="PP57" s="2">
        <v>25</v>
      </c>
      <c r="PQ57" s="194" t="s">
        <v>1300</v>
      </c>
      <c r="PR57" s="2">
        <f t="shared" si="1343"/>
        <v>64</v>
      </c>
      <c r="PS57" s="2">
        <f t="shared" si="265"/>
        <v>67</v>
      </c>
      <c r="PT57" s="2">
        <v>4</v>
      </c>
      <c r="PU57" s="255" t="str">
        <f t="shared" ref="PU57" si="1660">IF(PO$42=0,"",CONCATENATE(TRIM(MID($C$28,(PR57-1)*3+1,3))," | ",TRIM(MID($C$28,(PR57)*3+1,(PT57-1)*3))))</f>
        <v/>
      </c>
      <c r="PV57" s="255"/>
      <c r="PW57" s="231" t="str">
        <f t="shared" ref="PW57:PW66" si="1661">IF(PU57="","",CONCATENATE(HEX2DEC(TRIM(MID(PU57,1,3)))," | ",IF(HEX2DEC(SUBSTITUTE(MID(PU57,6,8)," ",""))=0,"N/D",IF(HEX2DEC(SUBSTITUTE(MID(PU57,6,8)," ",""))&gt;8388608,CONCATENATE(HEX2DEC(CONCATENATE("FFFF",SUBSTITUTE(MID(PU57,6,8)," ","")))," N/D"),HEX2DEC(SUBSTITUTE(MID(PU57,6,8)," ",""))))))</f>
        <v/>
      </c>
      <c r="PX57" s="344"/>
      <c r="PY57" s="193" t="s">
        <v>1163</v>
      </c>
      <c r="PZ57" s="2">
        <v>25</v>
      </c>
      <c r="QA57" s="194" t="s">
        <v>1301</v>
      </c>
      <c r="QB57" s="2">
        <f t="shared" si="1344"/>
        <v>64</v>
      </c>
      <c r="QC57" s="2">
        <f t="shared" si="269"/>
        <v>67</v>
      </c>
      <c r="QD57" s="2">
        <v>4</v>
      </c>
      <c r="QE57" s="255" t="str">
        <f t="shared" ref="QE57" si="1662">IF(PY$42=0,"",CONCATENATE(TRIM(MID($C$28,(QB57-1)*3+1,3))," | ",TRIM(MID($C$28,(QB57)*3+1,(QD57-1)*3))))</f>
        <v/>
      </c>
      <c r="QF57" s="255"/>
      <c r="QG57" s="231" t="str">
        <f t="shared" ref="QG57:QG66" si="1663">IF(QE57="","",CONCATENATE(HEX2DEC(TRIM(MID(QE57,1,3)))," | ",IF(HEX2DEC(SUBSTITUTE(MID(QE57,6,8)," ",""))=0,"N/D",IF(HEX2DEC(SUBSTITUTE(MID(QE57,6,8)," ",""))&gt;8388608,CONCATENATE(HEX2DEC(CONCATENATE("FFFF",SUBSTITUTE(MID(QE57,6,8)," ","")))," N/D"),HEX2DEC(SUBSTITUTE(MID(QE57,6,8)," ",""))))))</f>
        <v/>
      </c>
      <c r="QH57" s="344"/>
      <c r="QI57" s="193" t="s">
        <v>1163</v>
      </c>
      <c r="QJ57" s="2">
        <v>25</v>
      </c>
      <c r="QK57" s="194" t="s">
        <v>1302</v>
      </c>
      <c r="QL57" s="2">
        <f t="shared" si="1345"/>
        <v>64</v>
      </c>
      <c r="QM57" s="2">
        <f t="shared" si="273"/>
        <v>67</v>
      </c>
      <c r="QN57" s="2">
        <v>4</v>
      </c>
      <c r="QO57" s="255" t="str">
        <f t="shared" ref="QO57" si="1664">IF(QI$42=0,"",CONCATENATE(TRIM(MID($C$28,(QL57-1)*3+1,3))," | ",TRIM(MID($C$28,(QL57)*3+1,(QN57-1)*3))))</f>
        <v/>
      </c>
      <c r="QP57" s="255"/>
      <c r="QQ57" s="231" t="str">
        <f t="shared" ref="QQ57:QQ66" si="1665">IF(QO57="","",CONCATENATE(HEX2DEC(TRIM(MID(QO57,1,3)))," | ",IF(HEX2DEC(SUBSTITUTE(MID(QO57,6,8)," ",""))=0,"N/D",IF(HEX2DEC(SUBSTITUTE(MID(QO57,6,8)," ",""))&gt;8388608,CONCATENATE(HEX2DEC(CONCATENATE("FFFF",SUBSTITUTE(MID(QO57,6,8)," ","")))," N/D"),HEX2DEC(SUBSTITUTE(MID(QO57,6,8)," ",""))))))</f>
        <v/>
      </c>
      <c r="QR57" s="344"/>
      <c r="QS57" s="193" t="s">
        <v>1163</v>
      </c>
      <c r="QT57" s="2">
        <v>25</v>
      </c>
      <c r="QU57" s="194" t="s">
        <v>1303</v>
      </c>
      <c r="QV57" s="2">
        <f t="shared" si="1346"/>
        <v>64</v>
      </c>
      <c r="QW57" s="2">
        <f t="shared" si="277"/>
        <v>67</v>
      </c>
      <c r="QX57" s="2">
        <v>4</v>
      </c>
      <c r="QY57" s="255" t="str">
        <f t="shared" ref="QY57" si="1666">IF(QS$42=0,"",CONCATENATE(TRIM(MID($C$28,(QV57-1)*3+1,3))," | ",TRIM(MID($C$28,(QV57)*3+1,(QX57-1)*3))))</f>
        <v/>
      </c>
      <c r="QZ57" s="255"/>
      <c r="RA57" s="231" t="str">
        <f t="shared" ref="RA57:RA66" si="1667">IF(QY57="","",CONCATENATE(HEX2DEC(TRIM(MID(QY57,1,3)))," | ",IF(HEX2DEC(SUBSTITUTE(MID(QY57,6,8)," ",""))=0,"N/D",IF(HEX2DEC(SUBSTITUTE(MID(QY57,6,8)," ",""))&gt;8388608,CONCATENATE(HEX2DEC(CONCATENATE("FFFF",SUBSTITUTE(MID(QY57,6,8)," ","")))," N/D"),HEX2DEC(SUBSTITUTE(MID(QY57,6,8)," ",""))))))</f>
        <v/>
      </c>
      <c r="RB57" s="344"/>
      <c r="RC57" s="193" t="s">
        <v>1163</v>
      </c>
      <c r="RD57" s="2">
        <v>25</v>
      </c>
      <c r="RE57" s="194" t="s">
        <v>1304</v>
      </c>
      <c r="RF57" s="2">
        <f t="shared" si="1347"/>
        <v>64</v>
      </c>
      <c r="RG57" s="2">
        <f t="shared" si="281"/>
        <v>67</v>
      </c>
      <c r="RH57" s="2">
        <v>4</v>
      </c>
      <c r="RI57" s="255" t="str">
        <f t="shared" ref="RI57" si="1668">IF(RC$42=0,"",CONCATENATE(TRIM(MID($C$28,(RF57-1)*3+1,3))," | ",TRIM(MID($C$28,(RF57)*3+1,(RH57-1)*3))))</f>
        <v/>
      </c>
      <c r="RJ57" s="255"/>
      <c r="RK57" s="231" t="str">
        <f t="shared" ref="RK57:RK66" si="1669">IF(RI57="","",CONCATENATE(HEX2DEC(TRIM(MID(RI57,1,3)))," | ",IF(HEX2DEC(SUBSTITUTE(MID(RI57,6,8)," ",""))=0,"N/D",IF(HEX2DEC(SUBSTITUTE(MID(RI57,6,8)," ",""))&gt;8388608,CONCATENATE(HEX2DEC(CONCATENATE("FFFF",SUBSTITUTE(MID(RI57,6,8)," ","")))," N/D"),HEX2DEC(SUBSTITUTE(MID(RI57,6,8)," ",""))))))</f>
        <v/>
      </c>
      <c r="RL57" s="344"/>
      <c r="RM57" s="193" t="s">
        <v>1163</v>
      </c>
      <c r="RN57" s="2">
        <v>25</v>
      </c>
      <c r="RO57" s="194" t="s">
        <v>1305</v>
      </c>
      <c r="RP57" s="2">
        <f t="shared" si="1348"/>
        <v>64</v>
      </c>
      <c r="RQ57" s="2">
        <f t="shared" si="285"/>
        <v>67</v>
      </c>
      <c r="RR57" s="2">
        <v>4</v>
      </c>
      <c r="RS57" s="255" t="str">
        <f t="shared" ref="RS57" si="1670">IF(RM$42=0,"",CONCATENATE(TRIM(MID($C$28,(RP57-1)*3+1,3))," | ",TRIM(MID($C$28,(RP57)*3+1,(RR57-1)*3))))</f>
        <v/>
      </c>
      <c r="RT57" s="255"/>
      <c r="RU57" s="231" t="str">
        <f t="shared" ref="RU57:RU66" si="1671">IF(RS57="","",CONCATENATE(HEX2DEC(TRIM(MID(RS57,1,3)))," | ",IF(HEX2DEC(SUBSTITUTE(MID(RS57,6,8)," ",""))=0,"N/D",IF(HEX2DEC(SUBSTITUTE(MID(RS57,6,8)," ",""))&gt;8388608,CONCATENATE(HEX2DEC(CONCATENATE("FFFF",SUBSTITUTE(MID(RS57,6,8)," ","")))," N/D"),HEX2DEC(SUBSTITUTE(MID(RS57,6,8)," ",""))))))</f>
        <v/>
      </c>
      <c r="RV57" s="344"/>
      <c r="RW57" s="193" t="s">
        <v>1163</v>
      </c>
      <c r="RX57" s="2">
        <v>25</v>
      </c>
      <c r="RY57" s="194" t="s">
        <v>1306</v>
      </c>
      <c r="RZ57" s="2">
        <f t="shared" si="1349"/>
        <v>64</v>
      </c>
      <c r="SA57" s="2">
        <f t="shared" si="289"/>
        <v>67</v>
      </c>
      <c r="SB57" s="2">
        <v>4</v>
      </c>
      <c r="SC57" s="255" t="str">
        <f t="shared" ref="SC57" si="1672">IF(RW$42=0,"",CONCATENATE(TRIM(MID($C$28,(RZ57-1)*3+1,3))," | ",TRIM(MID($C$28,(RZ57)*3+1,(SB57-1)*3))))</f>
        <v/>
      </c>
      <c r="SD57" s="255"/>
      <c r="SE57" s="231" t="str">
        <f t="shared" ref="SE57:SE66" si="1673">IF(SC57="","",CONCATENATE(HEX2DEC(TRIM(MID(SC57,1,3)))," | ",IF(HEX2DEC(SUBSTITUTE(MID(SC57,6,8)," ",""))=0,"N/D",IF(HEX2DEC(SUBSTITUTE(MID(SC57,6,8)," ",""))&gt;8388608,CONCATENATE(HEX2DEC(CONCATENATE("FFFF",SUBSTITUTE(MID(SC57,6,8)," ","")))," N/D"),HEX2DEC(SUBSTITUTE(MID(SC57,6,8)," ",""))))))</f>
        <v/>
      </c>
      <c r="SF57" s="344"/>
      <c r="SG57" s="193" t="s">
        <v>1163</v>
      </c>
      <c r="SH57" s="2">
        <v>25</v>
      </c>
      <c r="SI57" s="194" t="s">
        <v>1307</v>
      </c>
      <c r="SJ57" s="2">
        <f t="shared" si="1350"/>
        <v>64</v>
      </c>
      <c r="SK57" s="2">
        <f t="shared" si="293"/>
        <v>67</v>
      </c>
      <c r="SL57" s="2">
        <v>4</v>
      </c>
      <c r="SM57" s="255" t="str">
        <f t="shared" ref="SM57" si="1674">IF(SG$42=0,"",CONCATENATE(TRIM(MID($C$28,(SJ57-1)*3+1,3))," | ",TRIM(MID($C$28,(SJ57)*3+1,(SL57-1)*3))))</f>
        <v/>
      </c>
      <c r="SN57" s="255"/>
      <c r="SO57" s="231" t="str">
        <f t="shared" ref="SO57:SO66" si="1675">IF(SM57="","",CONCATENATE(HEX2DEC(TRIM(MID(SM57,1,3)))," | ",IF(HEX2DEC(SUBSTITUTE(MID(SM57,6,8)," ",""))=0,"N/D",IF(HEX2DEC(SUBSTITUTE(MID(SM57,6,8)," ",""))&gt;8388608,CONCATENATE(HEX2DEC(CONCATENATE("FFFF",SUBSTITUTE(MID(SM57,6,8)," ","")))," N/D"),HEX2DEC(SUBSTITUTE(MID(SM57,6,8)," ",""))))))</f>
        <v/>
      </c>
      <c r="SP57" s="344"/>
      <c r="SQ57" s="193" t="s">
        <v>1163</v>
      </c>
      <c r="SR57" s="2">
        <v>25</v>
      </c>
      <c r="SS57" s="194" t="s">
        <v>1308</v>
      </c>
      <c r="ST57" s="2">
        <f t="shared" si="1351"/>
        <v>64</v>
      </c>
      <c r="SU57" s="2">
        <f t="shared" si="297"/>
        <v>67</v>
      </c>
      <c r="SV57" s="2">
        <v>4</v>
      </c>
      <c r="SW57" s="255" t="str">
        <f t="shared" ref="SW57" si="1676">IF(SQ$42=0,"",CONCATENATE(TRIM(MID($C$28,(ST57-1)*3+1,3))," | ",TRIM(MID($C$28,(ST57)*3+1,(SV57-1)*3))))</f>
        <v/>
      </c>
      <c r="SX57" s="255"/>
      <c r="SY57" s="231" t="str">
        <f t="shared" ref="SY57:SY66" si="1677">IF(SW57="","",CONCATENATE(HEX2DEC(TRIM(MID(SW57,1,3)))," | ",IF(HEX2DEC(SUBSTITUTE(MID(SW57,6,8)," ",""))=0,"N/D",IF(HEX2DEC(SUBSTITUTE(MID(SW57,6,8)," ",""))&gt;8388608,CONCATENATE(HEX2DEC(CONCATENATE("FFFF",SUBSTITUTE(MID(SW57,6,8)," ","")))," N/D"),HEX2DEC(SUBSTITUTE(MID(SW57,6,8)," ",""))))))</f>
        <v/>
      </c>
      <c r="SZ57" s="344"/>
      <c r="TA57" s="193" t="s">
        <v>1163</v>
      </c>
      <c r="TB57" s="2">
        <v>25</v>
      </c>
      <c r="TC57" s="194" t="s">
        <v>1309</v>
      </c>
      <c r="TD57" s="2">
        <f t="shared" si="1352"/>
        <v>64</v>
      </c>
      <c r="TE57" s="2">
        <f t="shared" si="301"/>
        <v>67</v>
      </c>
      <c r="TF57" s="2">
        <v>4</v>
      </c>
      <c r="TG57" s="255" t="str">
        <f t="shared" ref="TG57" si="1678">IF(TA$42=0,"",CONCATENATE(TRIM(MID($C$28,(TD57-1)*3+1,3))," | ",TRIM(MID($C$28,(TD57)*3+1,(TF57-1)*3))))</f>
        <v/>
      </c>
      <c r="TH57" s="255"/>
      <c r="TI57" s="231" t="str">
        <f t="shared" ref="TI57:TI66" si="1679">IF(TG57="","",CONCATENATE(HEX2DEC(TRIM(MID(TG57,1,3)))," | ",IF(HEX2DEC(SUBSTITUTE(MID(TG57,6,8)," ",""))=0,"N/D",IF(HEX2DEC(SUBSTITUTE(MID(TG57,6,8)," ",""))&gt;8388608,CONCATENATE(HEX2DEC(CONCATENATE("FFFF",SUBSTITUTE(MID(TG57,6,8)," ","")))," N/D"),HEX2DEC(SUBSTITUTE(MID(TG57,6,8)," ",""))))))</f>
        <v/>
      </c>
      <c r="TJ57" s="344"/>
      <c r="TK57" s="193" t="s">
        <v>1163</v>
      </c>
      <c r="TL57" s="2">
        <v>25</v>
      </c>
      <c r="TM57" s="194" t="s">
        <v>1310</v>
      </c>
      <c r="TN57" s="2">
        <f t="shared" si="1353"/>
        <v>64</v>
      </c>
      <c r="TO57" s="2">
        <f t="shared" si="305"/>
        <v>67</v>
      </c>
      <c r="TP57" s="2">
        <v>4</v>
      </c>
      <c r="TQ57" s="255" t="str">
        <f t="shared" ref="TQ57" si="1680">IF(TK$42=0,"",CONCATENATE(TRIM(MID($C$28,(TN57-1)*3+1,3))," | ",TRIM(MID($C$28,(TN57)*3+1,(TP57-1)*3))))</f>
        <v/>
      </c>
      <c r="TR57" s="255"/>
      <c r="TS57" s="231" t="str">
        <f t="shared" ref="TS57:TS66" si="1681">IF(TQ57="","",CONCATENATE(HEX2DEC(TRIM(MID(TQ57,1,3)))," | ",IF(HEX2DEC(SUBSTITUTE(MID(TQ57,6,8)," ",""))=0,"N/D",IF(HEX2DEC(SUBSTITUTE(MID(TQ57,6,8)," ",""))&gt;8388608,CONCATENATE(HEX2DEC(CONCATENATE("FFFF",SUBSTITUTE(MID(TQ57,6,8)," ","")))," N/D"),HEX2DEC(SUBSTITUTE(MID(TQ57,6,8)," ",""))))))</f>
        <v/>
      </c>
      <c r="TT57" s="344"/>
      <c r="TU57" s="193" t="s">
        <v>1163</v>
      </c>
      <c r="TV57" s="2">
        <v>25</v>
      </c>
      <c r="TW57" s="194" t="s">
        <v>1311</v>
      </c>
      <c r="TX57" s="2">
        <f t="shared" si="1354"/>
        <v>64</v>
      </c>
      <c r="TY57" s="2">
        <f t="shared" si="309"/>
        <v>67</v>
      </c>
      <c r="TZ57" s="2">
        <v>4</v>
      </c>
      <c r="UA57" s="255" t="str">
        <f t="shared" ref="UA57" si="1682">IF(TU$42=0,"",CONCATENATE(TRIM(MID($C$28,(TX57-1)*3+1,3))," | ",TRIM(MID($C$28,(TX57)*3+1,(TZ57-1)*3))))</f>
        <v/>
      </c>
      <c r="UB57" s="255"/>
      <c r="UC57" s="231" t="str">
        <f t="shared" ref="UC57:UC66" si="1683">IF(UA57="","",CONCATENATE(HEX2DEC(TRIM(MID(UA57,1,3)))," | ",IF(HEX2DEC(SUBSTITUTE(MID(UA57,6,8)," ",""))=0,"N/D",IF(HEX2DEC(SUBSTITUTE(MID(UA57,6,8)," ",""))&gt;8388608,CONCATENATE(HEX2DEC(CONCATENATE("FFFF",SUBSTITUTE(MID(UA57,6,8)," ","")))," N/D"),HEX2DEC(SUBSTITUTE(MID(UA57,6,8)," ",""))))))</f>
        <v/>
      </c>
      <c r="UD57" s="344"/>
      <c r="UE57" s="193" t="s">
        <v>1163</v>
      </c>
      <c r="UF57" s="2">
        <v>25</v>
      </c>
      <c r="UG57" s="194" t="s">
        <v>1312</v>
      </c>
      <c r="UH57" s="2">
        <f t="shared" si="1355"/>
        <v>64</v>
      </c>
      <c r="UI57" s="2">
        <f t="shared" si="313"/>
        <v>67</v>
      </c>
      <c r="UJ57" s="2">
        <v>4</v>
      </c>
      <c r="UK57" s="255" t="str">
        <f t="shared" ref="UK57" si="1684">IF(UE$42=0,"",CONCATENATE(TRIM(MID($C$28,(UH57-1)*3+1,3))," | ",TRIM(MID($C$28,(UH57)*3+1,(UJ57-1)*3))))</f>
        <v/>
      </c>
      <c r="UL57" s="255"/>
      <c r="UM57" s="231" t="str">
        <f t="shared" ref="UM57:UM66" si="1685">IF(UK57="","",CONCATENATE(HEX2DEC(TRIM(MID(UK57,1,3)))," | ",IF(HEX2DEC(SUBSTITUTE(MID(UK57,6,8)," ",""))=0,"N/D",IF(HEX2DEC(SUBSTITUTE(MID(UK57,6,8)," ",""))&gt;8388608,CONCATENATE(HEX2DEC(CONCATENATE("FFFF",SUBSTITUTE(MID(UK57,6,8)," ","")))," N/D"),HEX2DEC(SUBSTITUTE(MID(UK57,6,8)," ",""))))))</f>
        <v/>
      </c>
      <c r="UN57" s="344"/>
      <c r="UO57" s="193" t="s">
        <v>1163</v>
      </c>
      <c r="UP57" s="2">
        <v>25</v>
      </c>
      <c r="UQ57" s="194" t="s">
        <v>1313</v>
      </c>
      <c r="UR57" s="2">
        <f t="shared" si="1356"/>
        <v>64</v>
      </c>
      <c r="US57" s="2">
        <f t="shared" si="317"/>
        <v>67</v>
      </c>
      <c r="UT57" s="2">
        <v>4</v>
      </c>
      <c r="UU57" s="255" t="str">
        <f t="shared" ref="UU57" si="1686">IF(UO$42=0,"",CONCATENATE(TRIM(MID($C$28,(UR57-1)*3+1,3))," | ",TRIM(MID($C$28,(UR57)*3+1,(UT57-1)*3))))</f>
        <v/>
      </c>
      <c r="UV57" s="255"/>
      <c r="UW57" s="231" t="str">
        <f t="shared" ref="UW57:UW66" si="1687">IF(UU57="","",CONCATENATE(HEX2DEC(TRIM(MID(UU57,1,3)))," | ",IF(HEX2DEC(SUBSTITUTE(MID(UU57,6,8)," ",""))=0,"N/D",IF(HEX2DEC(SUBSTITUTE(MID(UU57,6,8)," ",""))&gt;8388608,CONCATENATE(HEX2DEC(CONCATENATE("FFFF",SUBSTITUTE(MID(UU57,6,8)," ","")))," N/D"),HEX2DEC(SUBSTITUTE(MID(UU57,6,8)," ",""))))))</f>
        <v/>
      </c>
      <c r="UX57" s="344"/>
      <c r="UY57" s="193" t="s">
        <v>1163</v>
      </c>
      <c r="UZ57" s="2">
        <v>25</v>
      </c>
      <c r="VA57" s="194" t="s">
        <v>1314</v>
      </c>
      <c r="VB57" s="2">
        <f t="shared" si="1357"/>
        <v>64</v>
      </c>
      <c r="VC57" s="2">
        <f t="shared" si="321"/>
        <v>67</v>
      </c>
      <c r="VD57" s="2">
        <v>4</v>
      </c>
      <c r="VE57" s="255" t="str">
        <f t="shared" ref="VE57" si="1688">IF(UY$42=0,"",CONCATENATE(TRIM(MID($C$28,(VB57-1)*3+1,3))," | ",TRIM(MID($C$28,(VB57)*3+1,(VD57-1)*3))))</f>
        <v/>
      </c>
      <c r="VF57" s="255"/>
      <c r="VG57" s="231" t="str">
        <f t="shared" ref="VG57:VG66" si="1689">IF(VE57="","",CONCATENATE(HEX2DEC(TRIM(MID(VE57,1,3)))," | ",IF(HEX2DEC(SUBSTITUTE(MID(VE57,6,8)," ",""))=0,"N/D",IF(HEX2DEC(SUBSTITUTE(MID(VE57,6,8)," ",""))&gt;8388608,CONCATENATE(HEX2DEC(CONCATENATE("FFFF",SUBSTITUTE(MID(VE57,6,8)," ","")))," N/D"),HEX2DEC(SUBSTITUTE(MID(VE57,6,8)," ",""))))))</f>
        <v/>
      </c>
      <c r="VH57" s="344"/>
      <c r="VI57" s="193" t="s">
        <v>1163</v>
      </c>
      <c r="VJ57" s="2">
        <v>25</v>
      </c>
      <c r="VK57" s="194" t="s">
        <v>1315</v>
      </c>
      <c r="VL57" s="2">
        <f t="shared" si="1358"/>
        <v>64</v>
      </c>
      <c r="VM57" s="2">
        <f t="shared" si="325"/>
        <v>67</v>
      </c>
      <c r="VN57" s="2">
        <v>4</v>
      </c>
      <c r="VO57" s="255" t="str">
        <f t="shared" ref="VO57" si="1690">IF(VI$42=0,"",CONCATENATE(TRIM(MID($C$28,(VL57-1)*3+1,3))," | ",TRIM(MID($C$28,(VL57)*3+1,(VN57-1)*3))))</f>
        <v/>
      </c>
      <c r="VP57" s="255"/>
      <c r="VQ57" s="231" t="str">
        <f t="shared" ref="VQ57:VQ66" si="1691">IF(VO57="","",CONCATENATE(HEX2DEC(TRIM(MID(VO57,1,3)))," | ",IF(HEX2DEC(SUBSTITUTE(MID(VO57,6,8)," ",""))=0,"N/D",IF(HEX2DEC(SUBSTITUTE(MID(VO57,6,8)," ",""))&gt;8388608,CONCATENATE(HEX2DEC(CONCATENATE("FFFF",SUBSTITUTE(MID(VO57,6,8)," ","")))," N/D"),HEX2DEC(SUBSTITUTE(MID(VO57,6,8)," ",""))))))</f>
        <v/>
      </c>
      <c r="VR57" s="344"/>
      <c r="VS57" s="193" t="s">
        <v>1163</v>
      </c>
      <c r="VT57" s="2">
        <v>25</v>
      </c>
      <c r="VU57" s="194" t="s">
        <v>1316</v>
      </c>
      <c r="VV57" s="2">
        <f t="shared" si="1359"/>
        <v>64</v>
      </c>
      <c r="VW57" s="2">
        <f t="shared" si="329"/>
        <v>67</v>
      </c>
      <c r="VX57" s="2">
        <v>4</v>
      </c>
      <c r="VY57" s="255" t="str">
        <f t="shared" ref="VY57" si="1692">IF(VS$42=0,"",CONCATENATE(TRIM(MID($C$28,(VV57-1)*3+1,3))," | ",TRIM(MID($C$28,(VV57)*3+1,(VX57-1)*3))))</f>
        <v/>
      </c>
      <c r="VZ57" s="255"/>
      <c r="WA57" s="231" t="str">
        <f t="shared" ref="WA57:WA66" si="1693">IF(VY57="","",CONCATENATE(HEX2DEC(TRIM(MID(VY57,1,3)))," | ",IF(HEX2DEC(SUBSTITUTE(MID(VY57,6,8)," ",""))=0,"N/D",IF(HEX2DEC(SUBSTITUTE(MID(VY57,6,8)," ",""))&gt;8388608,CONCATENATE(HEX2DEC(CONCATENATE("FFFF",SUBSTITUTE(MID(VY57,6,8)," ","")))," N/D"),HEX2DEC(SUBSTITUTE(MID(VY57,6,8)," ",""))))))</f>
        <v/>
      </c>
      <c r="WB57" s="344"/>
      <c r="WC57" s="193" t="s">
        <v>1163</v>
      </c>
      <c r="WD57" s="2">
        <v>25</v>
      </c>
      <c r="WE57" s="194" t="s">
        <v>1317</v>
      </c>
      <c r="WF57" s="2">
        <f t="shared" si="1360"/>
        <v>64</v>
      </c>
      <c r="WG57" s="2">
        <f t="shared" si="333"/>
        <v>67</v>
      </c>
      <c r="WH57" s="2">
        <v>4</v>
      </c>
      <c r="WI57" s="255" t="str">
        <f t="shared" ref="WI57" si="1694">IF(WC$42=0,"",CONCATENATE(TRIM(MID($C$28,(WF57-1)*3+1,3))," | ",TRIM(MID($C$28,(WF57)*3+1,(WH57-1)*3))))</f>
        <v/>
      </c>
      <c r="WJ57" s="255"/>
      <c r="WK57" s="231" t="str">
        <f t="shared" ref="WK57:WK66" si="1695">IF(WI57="","",CONCATENATE(HEX2DEC(TRIM(MID(WI57,1,3)))," | ",IF(HEX2DEC(SUBSTITUTE(MID(WI57,6,8)," ",""))=0,"N/D",IF(HEX2DEC(SUBSTITUTE(MID(WI57,6,8)," ",""))&gt;8388608,CONCATENATE(HEX2DEC(CONCATENATE("FFFF",SUBSTITUTE(MID(WI57,6,8)," ","")))," N/D"),HEX2DEC(SUBSTITUTE(MID(WI57,6,8)," ",""))))))</f>
        <v/>
      </c>
      <c r="WL57" s="344"/>
      <c r="WM57" s="193" t="s">
        <v>1163</v>
      </c>
      <c r="WN57" s="2">
        <v>25</v>
      </c>
      <c r="WO57" s="194" t="s">
        <v>1318</v>
      </c>
      <c r="WP57" s="2">
        <f t="shared" si="1361"/>
        <v>64</v>
      </c>
      <c r="WQ57" s="2">
        <f t="shared" si="337"/>
        <v>67</v>
      </c>
      <c r="WR57" s="2">
        <v>4</v>
      </c>
      <c r="WS57" s="255" t="str">
        <f t="shared" ref="WS57" si="1696">IF(WM$42=0,"",CONCATENATE(TRIM(MID($C$28,(WP57-1)*3+1,3))," | ",TRIM(MID($C$28,(WP57)*3+1,(WR57-1)*3))))</f>
        <v/>
      </c>
      <c r="WT57" s="255"/>
      <c r="WU57" s="231" t="str">
        <f t="shared" ref="WU57:WU66" si="1697">IF(WS57="","",CONCATENATE(HEX2DEC(TRIM(MID(WS57,1,3)))," | ",IF(HEX2DEC(SUBSTITUTE(MID(WS57,6,8)," ",""))=0,"N/D",IF(HEX2DEC(SUBSTITUTE(MID(WS57,6,8)," ",""))&gt;8388608,CONCATENATE(HEX2DEC(CONCATENATE("FFFF",SUBSTITUTE(MID(WS57,6,8)," ","")))," N/D"),HEX2DEC(SUBSTITUTE(MID(WS57,6,8)," ",""))))))</f>
        <v/>
      </c>
      <c r="WV57" s="344"/>
      <c r="WW57" s="193" t="s">
        <v>1163</v>
      </c>
      <c r="WX57" s="2">
        <v>25</v>
      </c>
      <c r="WY57" s="194" t="s">
        <v>1319</v>
      </c>
      <c r="WZ57" s="2">
        <f t="shared" si="1362"/>
        <v>64</v>
      </c>
      <c r="XA57" s="2">
        <f t="shared" si="341"/>
        <v>67</v>
      </c>
      <c r="XB57" s="2">
        <v>4</v>
      </c>
      <c r="XC57" s="255" t="str">
        <f t="shared" ref="XC57" si="1698">IF(WW$42=0,"",CONCATENATE(TRIM(MID($C$28,(WZ57-1)*3+1,3))," | ",TRIM(MID($C$28,(WZ57)*3+1,(XB57-1)*3))))</f>
        <v/>
      </c>
      <c r="XD57" s="255"/>
      <c r="XE57" s="231" t="str">
        <f t="shared" ref="XE57:XE66" si="1699">IF(XC57="","",CONCATENATE(HEX2DEC(TRIM(MID(XC57,1,3)))," | ",IF(HEX2DEC(SUBSTITUTE(MID(XC57,6,8)," ",""))=0,"N/D",IF(HEX2DEC(SUBSTITUTE(MID(XC57,6,8)," ",""))&gt;8388608,CONCATENATE(HEX2DEC(CONCATENATE("FFFF",SUBSTITUTE(MID(XC57,6,8)," ","")))," N/D"),HEX2DEC(SUBSTITUTE(MID(XC57,6,8)," ",""))))))</f>
        <v/>
      </c>
      <c r="XF57" s="344"/>
      <c r="XG57" s="193" t="s">
        <v>1163</v>
      </c>
      <c r="XH57" s="2">
        <v>25</v>
      </c>
      <c r="XI57" s="194" t="s">
        <v>1320</v>
      </c>
      <c r="XJ57" s="2">
        <f t="shared" si="1363"/>
        <v>64</v>
      </c>
      <c r="XK57" s="2">
        <f t="shared" si="345"/>
        <v>67</v>
      </c>
      <c r="XL57" s="2">
        <v>4</v>
      </c>
      <c r="XM57" s="255" t="str">
        <f t="shared" ref="XM57" si="1700">IF(XG$42=0,"",CONCATENATE(TRIM(MID($C$28,(XJ57-1)*3+1,3))," | ",TRIM(MID($C$28,(XJ57)*3+1,(XL57-1)*3))))</f>
        <v/>
      </c>
      <c r="XN57" s="255"/>
      <c r="XO57" s="231" t="str">
        <f t="shared" ref="XO57:XO66" si="1701">IF(XM57="","",CONCATENATE(HEX2DEC(TRIM(MID(XM57,1,3)))," | ",IF(HEX2DEC(SUBSTITUTE(MID(XM57,6,8)," ",""))=0,"N/D",IF(HEX2DEC(SUBSTITUTE(MID(XM57,6,8)," ",""))&gt;8388608,CONCATENATE(HEX2DEC(CONCATENATE("FFFF",SUBSTITUTE(MID(XM57,6,8)," ","")))," N/D"),HEX2DEC(SUBSTITUTE(MID(XM57,6,8)," ",""))))))</f>
        <v/>
      </c>
      <c r="XP57" s="344"/>
      <c r="XQ57" s="193" t="s">
        <v>1163</v>
      </c>
      <c r="XR57" s="2">
        <v>25</v>
      </c>
      <c r="XS57" s="194" t="s">
        <v>1321</v>
      </c>
      <c r="XT57" s="2">
        <f t="shared" si="1364"/>
        <v>64</v>
      </c>
      <c r="XU57" s="2">
        <f t="shared" si="349"/>
        <v>67</v>
      </c>
      <c r="XV57" s="2">
        <v>4</v>
      </c>
      <c r="XW57" s="255" t="str">
        <f t="shared" ref="XW57" si="1702">IF(XQ$42=0,"",CONCATENATE(TRIM(MID($C$28,(XT57-1)*3+1,3))," | ",TRIM(MID($C$28,(XT57)*3+1,(XV57-1)*3))))</f>
        <v/>
      </c>
      <c r="XX57" s="255"/>
      <c r="XY57" s="231" t="str">
        <f t="shared" ref="XY57:XY66" si="1703">IF(XW57="","",CONCATENATE(HEX2DEC(TRIM(MID(XW57,1,3)))," | ",IF(HEX2DEC(SUBSTITUTE(MID(XW57,6,8)," ",""))=0,"N/D",IF(HEX2DEC(SUBSTITUTE(MID(XW57,6,8)," ",""))&gt;8388608,CONCATENATE(HEX2DEC(CONCATENATE("FFFF",SUBSTITUTE(MID(XW57,6,8)," ","")))," N/D"),HEX2DEC(SUBSTITUTE(MID(XW57,6,8)," ",""))))))</f>
        <v/>
      </c>
      <c r="XZ57" s="344"/>
      <c r="YA57" s="193" t="s">
        <v>1163</v>
      </c>
      <c r="YB57" s="2">
        <v>25</v>
      </c>
      <c r="YC57" s="194" t="s">
        <v>1322</v>
      </c>
      <c r="YD57" s="2">
        <f t="shared" si="1365"/>
        <v>64</v>
      </c>
      <c r="YE57" s="2">
        <f t="shared" si="353"/>
        <v>67</v>
      </c>
      <c r="YF57" s="2">
        <v>4</v>
      </c>
      <c r="YG57" s="255" t="str">
        <f t="shared" ref="YG57" si="1704">IF(YA$42=0,"",CONCATENATE(TRIM(MID($C$28,(YD57-1)*3+1,3))," | ",TRIM(MID($C$28,(YD57)*3+1,(YF57-1)*3))))</f>
        <v/>
      </c>
      <c r="YH57" s="255"/>
      <c r="YI57" s="231" t="str">
        <f t="shared" ref="YI57:YI66" si="1705">IF(YG57="","",CONCATENATE(HEX2DEC(TRIM(MID(YG57,1,3)))," | ",IF(HEX2DEC(SUBSTITUTE(MID(YG57,6,8)," ",""))=0,"N/D",IF(HEX2DEC(SUBSTITUTE(MID(YG57,6,8)," ",""))&gt;8388608,CONCATENATE(HEX2DEC(CONCATENATE("FFFF",SUBSTITUTE(MID(YG57,6,8)," ","")))," N/D"),HEX2DEC(SUBSTITUTE(MID(YG57,6,8)," ",""))))))</f>
        <v/>
      </c>
      <c r="YJ57" s="344"/>
      <c r="YK57" s="193" t="s">
        <v>1163</v>
      </c>
      <c r="YL57" s="2">
        <v>25</v>
      </c>
      <c r="YM57" s="194" t="s">
        <v>1323</v>
      </c>
      <c r="YN57" s="2">
        <f t="shared" si="1366"/>
        <v>64</v>
      </c>
      <c r="YO57" s="2">
        <f t="shared" si="357"/>
        <v>67</v>
      </c>
      <c r="YP57" s="2">
        <v>4</v>
      </c>
      <c r="YQ57" s="255" t="str">
        <f t="shared" ref="YQ57" si="1706">IF(YK$42=0,"",CONCATENATE(TRIM(MID($C$28,(YN57-1)*3+1,3))," | ",TRIM(MID($C$28,(YN57)*3+1,(YP57-1)*3))))</f>
        <v/>
      </c>
      <c r="YR57" s="255"/>
      <c r="YS57" s="231" t="str">
        <f t="shared" ref="YS57:YS66" si="1707">IF(YQ57="","",CONCATENATE(HEX2DEC(TRIM(MID(YQ57,1,3)))," | ",IF(HEX2DEC(SUBSTITUTE(MID(YQ57,6,8)," ",""))=0,"N/D",IF(HEX2DEC(SUBSTITUTE(MID(YQ57,6,8)," ",""))&gt;8388608,CONCATENATE(HEX2DEC(CONCATENATE("FFFF",SUBSTITUTE(MID(YQ57,6,8)," ","")))," N/D"),HEX2DEC(SUBSTITUTE(MID(YQ57,6,8)," ",""))))))</f>
        <v/>
      </c>
      <c r="YT57" s="344"/>
      <c r="YU57" s="193" t="s">
        <v>1163</v>
      </c>
      <c r="YV57" s="2">
        <v>25</v>
      </c>
      <c r="YW57" s="194" t="s">
        <v>1324</v>
      </c>
      <c r="YX57" s="2">
        <f t="shared" si="1367"/>
        <v>64</v>
      </c>
      <c r="YY57" s="2">
        <f t="shared" si="361"/>
        <v>67</v>
      </c>
      <c r="YZ57" s="2">
        <v>4</v>
      </c>
      <c r="ZA57" s="255" t="str">
        <f t="shared" ref="ZA57" si="1708">IF(YU$42=0,"",CONCATENATE(TRIM(MID($C$28,(YX57-1)*3+1,3))," | ",TRIM(MID($C$28,(YX57)*3+1,(YZ57-1)*3))))</f>
        <v/>
      </c>
      <c r="ZB57" s="255"/>
      <c r="ZC57" s="231" t="str">
        <f t="shared" ref="ZC57:ZC66" si="1709">IF(ZA57="","",CONCATENATE(HEX2DEC(TRIM(MID(ZA57,1,3)))," | ",IF(HEX2DEC(SUBSTITUTE(MID(ZA57,6,8)," ",""))=0,"N/D",IF(HEX2DEC(SUBSTITUTE(MID(ZA57,6,8)," ",""))&gt;8388608,CONCATENATE(HEX2DEC(CONCATENATE("FFFF",SUBSTITUTE(MID(ZA57,6,8)," ","")))," N/D"),HEX2DEC(SUBSTITUTE(MID(ZA57,6,8)," ",""))))))</f>
        <v/>
      </c>
      <c r="ZD57" s="344"/>
      <c r="ZE57" s="193" t="s">
        <v>1163</v>
      </c>
      <c r="ZF57" s="2">
        <v>25</v>
      </c>
      <c r="ZG57" s="194" t="s">
        <v>1325</v>
      </c>
      <c r="ZH57" s="2">
        <f t="shared" si="1368"/>
        <v>64</v>
      </c>
      <c r="ZI57" s="2">
        <f t="shared" si="365"/>
        <v>67</v>
      </c>
      <c r="ZJ57" s="2">
        <v>4</v>
      </c>
      <c r="ZK57" s="255" t="str">
        <f t="shared" ref="ZK57" si="1710">IF(ZE$42=0,"",CONCATENATE(TRIM(MID($C$28,(ZH57-1)*3+1,3))," | ",TRIM(MID($C$28,(ZH57)*3+1,(ZJ57-1)*3))))</f>
        <v/>
      </c>
      <c r="ZL57" s="255"/>
      <c r="ZM57" s="231" t="str">
        <f t="shared" ref="ZM57:ZM66" si="1711">IF(ZK57="","",CONCATENATE(HEX2DEC(TRIM(MID(ZK57,1,3)))," | ",IF(HEX2DEC(SUBSTITUTE(MID(ZK57,6,8)," ",""))=0,"N/D",IF(HEX2DEC(SUBSTITUTE(MID(ZK57,6,8)," ",""))&gt;8388608,CONCATENATE(HEX2DEC(CONCATENATE("FFFF",SUBSTITUTE(MID(ZK57,6,8)," ","")))," N/D"),HEX2DEC(SUBSTITUTE(MID(ZK57,6,8)," ",""))))))</f>
        <v/>
      </c>
      <c r="ZN57" s="344"/>
      <c r="ZO57" s="193" t="s">
        <v>1163</v>
      </c>
      <c r="ZP57" s="2">
        <v>25</v>
      </c>
      <c r="ZQ57" s="194" t="s">
        <v>1326</v>
      </c>
      <c r="ZR57" s="2">
        <f t="shared" si="1369"/>
        <v>64</v>
      </c>
      <c r="ZS57" s="2">
        <f t="shared" si="369"/>
        <v>67</v>
      </c>
      <c r="ZT57" s="2">
        <v>4</v>
      </c>
      <c r="ZU57" s="255" t="str">
        <f t="shared" ref="ZU57" si="1712">IF(ZO$42=0,"",CONCATENATE(TRIM(MID($C$28,(ZR57-1)*3+1,3))," | ",TRIM(MID($C$28,(ZR57)*3+1,(ZT57-1)*3))))</f>
        <v/>
      </c>
      <c r="ZV57" s="255"/>
      <c r="ZW57" s="231" t="str">
        <f t="shared" ref="ZW57:ZW66" si="1713">IF(ZU57="","",CONCATENATE(HEX2DEC(TRIM(MID(ZU57,1,3)))," | ",IF(HEX2DEC(SUBSTITUTE(MID(ZU57,6,8)," ",""))=0,"N/D",IF(HEX2DEC(SUBSTITUTE(MID(ZU57,6,8)," ",""))&gt;8388608,CONCATENATE(HEX2DEC(CONCATENATE("FFFF",SUBSTITUTE(MID(ZU57,6,8)," ","")))," N/D"),HEX2DEC(SUBSTITUTE(MID(ZU57,6,8)," ",""))))))</f>
        <v/>
      </c>
      <c r="ZX57" s="344"/>
      <c r="ZY57" s="193" t="s">
        <v>1163</v>
      </c>
      <c r="ZZ57" s="2">
        <v>25</v>
      </c>
      <c r="AAA57" s="194" t="s">
        <v>1327</v>
      </c>
      <c r="AAB57" s="2">
        <f t="shared" si="1370"/>
        <v>64</v>
      </c>
      <c r="AAC57" s="2">
        <f t="shared" si="373"/>
        <v>67</v>
      </c>
      <c r="AAD57" s="2">
        <v>4</v>
      </c>
      <c r="AAE57" s="255" t="str">
        <f t="shared" ref="AAE57" si="1714">IF(ZY$42=0,"",CONCATENATE(TRIM(MID($C$28,(AAB57-1)*3+1,3))," | ",TRIM(MID($C$28,(AAB57)*3+1,(AAD57-1)*3))))</f>
        <v/>
      </c>
      <c r="AAF57" s="255"/>
      <c r="AAG57" s="231" t="str">
        <f t="shared" ref="AAG57:AAG66" si="1715">IF(AAE57="","",CONCATENATE(HEX2DEC(TRIM(MID(AAE57,1,3)))," | ",IF(HEX2DEC(SUBSTITUTE(MID(AAE57,6,8)," ",""))=0,"N/D",IF(HEX2DEC(SUBSTITUTE(MID(AAE57,6,8)," ",""))&gt;8388608,CONCATENATE(HEX2DEC(CONCATENATE("FFFF",SUBSTITUTE(MID(AAE57,6,8)," ","")))," N/D"),HEX2DEC(SUBSTITUTE(MID(AAE57,6,8)," ",""))))))</f>
        <v/>
      </c>
      <c r="AAH57" s="344"/>
      <c r="AAI57" s="193" t="s">
        <v>1163</v>
      </c>
      <c r="AAJ57" s="2">
        <v>25</v>
      </c>
      <c r="AAK57" s="194" t="s">
        <v>1328</v>
      </c>
      <c r="AAL57" s="2">
        <f t="shared" si="1371"/>
        <v>64</v>
      </c>
      <c r="AAM57" s="2">
        <f t="shared" si="377"/>
        <v>67</v>
      </c>
      <c r="AAN57" s="2">
        <v>4</v>
      </c>
      <c r="AAO57" s="255" t="str">
        <f t="shared" ref="AAO57" si="1716">IF(AAI$42=0,"",CONCATENATE(TRIM(MID($C$28,(AAL57-1)*3+1,3))," | ",TRIM(MID($C$28,(AAL57)*3+1,(AAN57-1)*3))))</f>
        <v/>
      </c>
      <c r="AAP57" s="255"/>
      <c r="AAQ57" s="231" t="str">
        <f t="shared" ref="AAQ57:AAQ66" si="1717">IF(AAO57="","",CONCATENATE(HEX2DEC(TRIM(MID(AAO57,1,3)))," | ",IF(HEX2DEC(SUBSTITUTE(MID(AAO57,6,8)," ",""))=0,"N/D",IF(HEX2DEC(SUBSTITUTE(MID(AAO57,6,8)," ",""))&gt;8388608,CONCATENATE(HEX2DEC(CONCATENATE("FFFF",SUBSTITUTE(MID(AAO57,6,8)," ","")))," N/D"),HEX2DEC(SUBSTITUTE(MID(AAO57,6,8)," ",""))))))</f>
        <v/>
      </c>
      <c r="AAR57" s="344"/>
      <c r="AAS57" s="193" t="s">
        <v>1163</v>
      </c>
      <c r="AAT57" s="2">
        <v>25</v>
      </c>
      <c r="AAU57" s="194" t="s">
        <v>1329</v>
      </c>
      <c r="AAV57" s="2">
        <f t="shared" si="1372"/>
        <v>64</v>
      </c>
      <c r="AAW57" s="2">
        <f t="shared" si="381"/>
        <v>67</v>
      </c>
      <c r="AAX57" s="2">
        <v>4</v>
      </c>
      <c r="AAY57" s="255" t="str">
        <f t="shared" ref="AAY57" si="1718">IF(AAS$42=0,"",CONCATENATE(TRIM(MID($C$28,(AAV57-1)*3+1,3))," | ",TRIM(MID($C$28,(AAV57)*3+1,(AAX57-1)*3))))</f>
        <v/>
      </c>
      <c r="AAZ57" s="255"/>
      <c r="ABA57" s="231" t="str">
        <f t="shared" ref="ABA57:ABA66" si="1719">IF(AAY57="","",CONCATENATE(HEX2DEC(TRIM(MID(AAY57,1,3)))," | ",IF(HEX2DEC(SUBSTITUTE(MID(AAY57,6,8)," ",""))=0,"N/D",IF(HEX2DEC(SUBSTITUTE(MID(AAY57,6,8)," ",""))&gt;8388608,CONCATENATE(HEX2DEC(CONCATENATE("FFFF",SUBSTITUTE(MID(AAY57,6,8)," ","")))," N/D"),HEX2DEC(SUBSTITUTE(MID(AAY57,6,8)," ",""))))))</f>
        <v/>
      </c>
      <c r="ABB57" s="344"/>
      <c r="ABC57" s="193" t="s">
        <v>1163</v>
      </c>
      <c r="ABD57" s="2">
        <v>25</v>
      </c>
      <c r="ABE57" s="194" t="s">
        <v>1330</v>
      </c>
      <c r="ABF57" s="2">
        <f t="shared" si="1373"/>
        <v>64</v>
      </c>
      <c r="ABG57" s="2">
        <f t="shared" si="385"/>
        <v>67</v>
      </c>
      <c r="ABH57" s="2">
        <v>4</v>
      </c>
      <c r="ABI57" s="255" t="str">
        <f t="shared" ref="ABI57" si="1720">IF(ABC$42=0,"",CONCATENATE(TRIM(MID($C$28,(ABF57-1)*3+1,3))," | ",TRIM(MID($C$28,(ABF57)*3+1,(ABH57-1)*3))))</f>
        <v/>
      </c>
      <c r="ABJ57" s="255"/>
      <c r="ABK57" s="231" t="str">
        <f t="shared" ref="ABK57:ABK66" si="1721">IF(ABI57="","",CONCATENATE(HEX2DEC(TRIM(MID(ABI57,1,3)))," | ",IF(HEX2DEC(SUBSTITUTE(MID(ABI57,6,8)," ",""))=0,"N/D",IF(HEX2DEC(SUBSTITUTE(MID(ABI57,6,8)," ",""))&gt;8388608,CONCATENATE(HEX2DEC(CONCATENATE("FFFF",SUBSTITUTE(MID(ABI57,6,8)," ","")))," N/D"),HEX2DEC(SUBSTITUTE(MID(ABI57,6,8)," ",""))))))</f>
        <v/>
      </c>
      <c r="ABL57" s="344"/>
      <c r="ABM57" s="193" t="s">
        <v>1163</v>
      </c>
      <c r="ABN57" s="2">
        <v>25</v>
      </c>
      <c r="ABO57" s="194" t="s">
        <v>1331</v>
      </c>
      <c r="ABP57" s="2">
        <f t="shared" si="1374"/>
        <v>64</v>
      </c>
      <c r="ABQ57" s="2">
        <f t="shared" si="389"/>
        <v>67</v>
      </c>
      <c r="ABR57" s="2">
        <v>4</v>
      </c>
      <c r="ABS57" s="255" t="str">
        <f t="shared" ref="ABS57" si="1722">IF(ABM$42=0,"",CONCATENATE(TRIM(MID($C$28,(ABP57-1)*3+1,3))," | ",TRIM(MID($C$28,(ABP57)*3+1,(ABR57-1)*3))))</f>
        <v/>
      </c>
      <c r="ABT57" s="255"/>
      <c r="ABU57" s="231" t="str">
        <f t="shared" ref="ABU57:ABU66" si="1723">IF(ABS57="","",CONCATENATE(HEX2DEC(TRIM(MID(ABS57,1,3)))," | ",IF(HEX2DEC(SUBSTITUTE(MID(ABS57,6,8)," ",""))=0,"N/D",IF(HEX2DEC(SUBSTITUTE(MID(ABS57,6,8)," ",""))&gt;8388608,CONCATENATE(HEX2DEC(CONCATENATE("FFFF",SUBSTITUTE(MID(ABS57,6,8)," ","")))," N/D"),HEX2DEC(SUBSTITUTE(MID(ABS57,6,8)," ",""))))))</f>
        <v/>
      </c>
      <c r="ABV57" s="344"/>
      <c r="ABW57" s="193" t="s">
        <v>1163</v>
      </c>
      <c r="ABX57" s="2">
        <v>25</v>
      </c>
      <c r="ABY57" s="194" t="s">
        <v>1332</v>
      </c>
      <c r="ABZ57" s="2">
        <f t="shared" si="1375"/>
        <v>64</v>
      </c>
      <c r="ACA57" s="2">
        <f t="shared" si="393"/>
        <v>67</v>
      </c>
      <c r="ACB57" s="2">
        <v>4</v>
      </c>
      <c r="ACC57" s="255" t="str">
        <f t="shared" ref="ACC57" si="1724">IF(ABW$42=0,"",CONCATENATE(TRIM(MID($C$28,(ABZ57-1)*3+1,3))," | ",TRIM(MID($C$28,(ABZ57)*3+1,(ACB57-1)*3))))</f>
        <v/>
      </c>
      <c r="ACD57" s="255"/>
      <c r="ACE57" s="231" t="str">
        <f t="shared" ref="ACE57:ACE66" si="1725">IF(ACC57="","",CONCATENATE(HEX2DEC(TRIM(MID(ACC57,1,3)))," | ",IF(HEX2DEC(SUBSTITUTE(MID(ACC57,6,8)," ",""))=0,"N/D",IF(HEX2DEC(SUBSTITUTE(MID(ACC57,6,8)," ",""))&gt;8388608,CONCATENATE(HEX2DEC(CONCATENATE("FFFF",SUBSTITUTE(MID(ACC57,6,8)," ","")))," N/D"),HEX2DEC(SUBSTITUTE(MID(ACC57,6,8)," ",""))))))</f>
        <v/>
      </c>
      <c r="ACF57" s="344"/>
      <c r="ACG57" s="193" t="s">
        <v>1163</v>
      </c>
      <c r="ACH57" s="2">
        <v>25</v>
      </c>
      <c r="ACI57" s="194" t="s">
        <v>1333</v>
      </c>
      <c r="ACJ57" s="2">
        <f t="shared" si="1376"/>
        <v>64</v>
      </c>
      <c r="ACK57" s="2">
        <f t="shared" si="397"/>
        <v>67</v>
      </c>
      <c r="ACL57" s="2">
        <v>4</v>
      </c>
      <c r="ACM57" s="255" t="str">
        <f t="shared" ref="ACM57" si="1726">IF(ACG$42=0,"",CONCATENATE(TRIM(MID($C$28,(ACJ57-1)*3+1,3))," | ",TRIM(MID($C$28,(ACJ57)*3+1,(ACL57-1)*3))))</f>
        <v/>
      </c>
      <c r="ACN57" s="255"/>
      <c r="ACO57" s="231" t="str">
        <f t="shared" ref="ACO57:ACO66" si="1727">IF(ACM57="","",CONCATENATE(HEX2DEC(TRIM(MID(ACM57,1,3)))," | ",IF(HEX2DEC(SUBSTITUTE(MID(ACM57,6,8)," ",""))=0,"N/D",IF(HEX2DEC(SUBSTITUTE(MID(ACM57,6,8)," ",""))&gt;8388608,CONCATENATE(HEX2DEC(CONCATENATE("FFFF",SUBSTITUTE(MID(ACM57,6,8)," ","")))," N/D"),HEX2DEC(SUBSTITUTE(MID(ACM57,6,8)," ",""))))))</f>
        <v/>
      </c>
      <c r="ACP57" s="344"/>
      <c r="ACQ57" s="193" t="s">
        <v>1163</v>
      </c>
      <c r="ACR57" s="2">
        <v>25</v>
      </c>
      <c r="ACS57" s="194" t="s">
        <v>1334</v>
      </c>
      <c r="ACT57" s="2">
        <f t="shared" si="1377"/>
        <v>64</v>
      </c>
      <c r="ACU57" s="2">
        <f t="shared" si="401"/>
        <v>67</v>
      </c>
      <c r="ACV57" s="2">
        <v>4</v>
      </c>
      <c r="ACW57" s="255" t="str">
        <f t="shared" ref="ACW57" si="1728">IF(ACQ$42=0,"",CONCATENATE(TRIM(MID($C$28,(ACT57-1)*3+1,3))," | ",TRIM(MID($C$28,(ACT57)*3+1,(ACV57-1)*3))))</f>
        <v/>
      </c>
      <c r="ACX57" s="255"/>
      <c r="ACY57" s="231" t="str">
        <f t="shared" ref="ACY57:ACY66" si="1729">IF(ACW57="","",CONCATENATE(HEX2DEC(TRIM(MID(ACW57,1,3)))," | ",IF(HEX2DEC(SUBSTITUTE(MID(ACW57,6,8)," ",""))=0,"N/D",IF(HEX2DEC(SUBSTITUTE(MID(ACW57,6,8)," ",""))&gt;8388608,CONCATENATE(HEX2DEC(CONCATENATE("FFFF",SUBSTITUTE(MID(ACW57,6,8)," ","")))," N/D"),HEX2DEC(SUBSTITUTE(MID(ACW57,6,8)," ",""))))))</f>
        <v/>
      </c>
      <c r="ACZ57" s="344"/>
      <c r="ADA57" s="193" t="s">
        <v>1163</v>
      </c>
      <c r="ADB57" s="2">
        <v>25</v>
      </c>
      <c r="ADC57" s="194" t="s">
        <v>1335</v>
      </c>
      <c r="ADD57" s="2">
        <f t="shared" si="1378"/>
        <v>64</v>
      </c>
      <c r="ADE57" s="2">
        <f t="shared" si="405"/>
        <v>67</v>
      </c>
      <c r="ADF57" s="2">
        <v>4</v>
      </c>
      <c r="ADG57" s="255" t="str">
        <f t="shared" ref="ADG57" si="1730">IF(ADA$42=0,"",CONCATENATE(TRIM(MID($C$28,(ADD57-1)*3+1,3))," | ",TRIM(MID($C$28,(ADD57)*3+1,(ADF57-1)*3))))</f>
        <v/>
      </c>
      <c r="ADH57" s="255"/>
      <c r="ADI57" s="231" t="str">
        <f t="shared" ref="ADI57:ADI66" si="1731">IF(ADG57="","",CONCATENATE(HEX2DEC(TRIM(MID(ADG57,1,3)))," | ",IF(HEX2DEC(SUBSTITUTE(MID(ADG57,6,8)," ",""))=0,"N/D",IF(HEX2DEC(SUBSTITUTE(MID(ADG57,6,8)," ",""))&gt;8388608,CONCATENATE(HEX2DEC(CONCATENATE("FFFF",SUBSTITUTE(MID(ADG57,6,8)," ","")))," N/D"),HEX2DEC(SUBSTITUTE(MID(ADG57,6,8)," ",""))))))</f>
        <v/>
      </c>
      <c r="ADJ57" s="344"/>
      <c r="ADK57" s="193" t="s">
        <v>1163</v>
      </c>
      <c r="ADL57" s="2">
        <v>25</v>
      </c>
      <c r="ADM57" s="194" t="s">
        <v>1336</v>
      </c>
      <c r="ADN57" s="2">
        <f t="shared" si="1379"/>
        <v>64</v>
      </c>
      <c r="ADO57" s="2">
        <f t="shared" si="409"/>
        <v>67</v>
      </c>
      <c r="ADP57" s="2">
        <v>4</v>
      </c>
      <c r="ADQ57" s="255" t="str">
        <f t="shared" ref="ADQ57" si="1732">IF(ADK$42=0,"",CONCATENATE(TRIM(MID($C$28,(ADN57-1)*3+1,3))," | ",TRIM(MID($C$28,(ADN57)*3+1,(ADP57-1)*3))))</f>
        <v/>
      </c>
      <c r="ADR57" s="255"/>
      <c r="ADS57" s="231" t="str">
        <f t="shared" ref="ADS57:ADS66" si="1733">IF(ADQ57="","",CONCATENATE(HEX2DEC(TRIM(MID(ADQ57,1,3)))," | ",IF(HEX2DEC(SUBSTITUTE(MID(ADQ57,6,8)," ",""))=0,"N/D",IF(HEX2DEC(SUBSTITUTE(MID(ADQ57,6,8)," ",""))&gt;8388608,CONCATENATE(HEX2DEC(CONCATENATE("FFFF",SUBSTITUTE(MID(ADQ57,6,8)," ","")))," N/D"),HEX2DEC(SUBSTITUTE(MID(ADQ57,6,8)," ",""))))))</f>
        <v/>
      </c>
      <c r="ADT57" s="344"/>
      <c r="ADU57" s="193" t="s">
        <v>1163</v>
      </c>
      <c r="ADV57" s="2">
        <v>25</v>
      </c>
      <c r="ADW57" s="194" t="s">
        <v>1337</v>
      </c>
      <c r="ADX57" s="2">
        <f t="shared" si="1380"/>
        <v>64</v>
      </c>
      <c r="ADY57" s="2">
        <f t="shared" si="413"/>
        <v>67</v>
      </c>
      <c r="ADZ57" s="2">
        <v>4</v>
      </c>
      <c r="AEA57" s="255" t="str">
        <f t="shared" ref="AEA57" si="1734">IF(ADU$42=0,"",CONCATENATE(TRIM(MID($C$28,(ADX57-1)*3+1,3))," | ",TRIM(MID($C$28,(ADX57)*3+1,(ADZ57-1)*3))))</f>
        <v/>
      </c>
      <c r="AEB57" s="255"/>
      <c r="AEC57" s="231" t="str">
        <f t="shared" ref="AEC57:AEC66" si="1735">IF(AEA57="","",CONCATENATE(HEX2DEC(TRIM(MID(AEA57,1,3)))," | ",IF(HEX2DEC(SUBSTITUTE(MID(AEA57,6,8)," ",""))=0,"N/D",IF(HEX2DEC(SUBSTITUTE(MID(AEA57,6,8)," ",""))&gt;8388608,CONCATENATE(HEX2DEC(CONCATENATE("FFFF",SUBSTITUTE(MID(AEA57,6,8)," ","")))," N/D"),HEX2DEC(SUBSTITUTE(MID(AEA57,6,8)," ",""))))))</f>
        <v/>
      </c>
      <c r="AED57" s="344"/>
      <c r="AEE57" s="193" t="s">
        <v>1163</v>
      </c>
      <c r="AEF57" s="2">
        <v>25</v>
      </c>
      <c r="AEG57" s="194" t="s">
        <v>1338</v>
      </c>
      <c r="AEH57" s="2">
        <f t="shared" si="1381"/>
        <v>64</v>
      </c>
      <c r="AEI57" s="2">
        <f t="shared" si="417"/>
        <v>67</v>
      </c>
      <c r="AEJ57" s="2">
        <v>4</v>
      </c>
      <c r="AEK57" s="255" t="str">
        <f t="shared" ref="AEK57" si="1736">IF(AEE$42=0,"",CONCATENATE(TRIM(MID($C$28,(AEH57-1)*3+1,3))," | ",TRIM(MID($C$28,(AEH57)*3+1,(AEJ57-1)*3))))</f>
        <v/>
      </c>
      <c r="AEL57" s="255"/>
      <c r="AEM57" s="231" t="str">
        <f t="shared" ref="AEM57:AEM66" si="1737">IF(AEK57="","",CONCATENATE(HEX2DEC(TRIM(MID(AEK57,1,3)))," | ",IF(HEX2DEC(SUBSTITUTE(MID(AEK57,6,8)," ",""))=0,"N/D",IF(HEX2DEC(SUBSTITUTE(MID(AEK57,6,8)," ",""))&gt;8388608,CONCATENATE(HEX2DEC(CONCATENATE("FFFF",SUBSTITUTE(MID(AEK57,6,8)," ","")))," N/D"),HEX2DEC(SUBSTITUTE(MID(AEK57,6,8)," ",""))))))</f>
        <v/>
      </c>
      <c r="AEN57" s="344"/>
      <c r="AEO57" s="193" t="s">
        <v>1163</v>
      </c>
      <c r="AEP57" s="2">
        <v>25</v>
      </c>
      <c r="AEQ57" s="194" t="s">
        <v>1339</v>
      </c>
      <c r="AER57" s="2">
        <f t="shared" si="1382"/>
        <v>64</v>
      </c>
      <c r="AES57" s="2">
        <f t="shared" si="421"/>
        <v>67</v>
      </c>
      <c r="AET57" s="2">
        <v>4</v>
      </c>
      <c r="AEU57" s="255" t="str">
        <f t="shared" ref="AEU57" si="1738">IF(AEO$42=0,"",CONCATENATE(TRIM(MID($C$28,(AER57-1)*3+1,3))," | ",TRIM(MID($C$28,(AER57)*3+1,(AET57-1)*3))))</f>
        <v/>
      </c>
      <c r="AEV57" s="255"/>
      <c r="AEW57" s="231" t="str">
        <f t="shared" ref="AEW57:AEW66" si="1739">IF(AEU57="","",CONCATENATE(HEX2DEC(TRIM(MID(AEU57,1,3)))," | ",IF(HEX2DEC(SUBSTITUTE(MID(AEU57,6,8)," ",""))=0,"N/D",IF(HEX2DEC(SUBSTITUTE(MID(AEU57,6,8)," ",""))&gt;8388608,CONCATENATE(HEX2DEC(CONCATENATE("FFFF",SUBSTITUTE(MID(AEU57,6,8)," ","")))," N/D"),HEX2DEC(SUBSTITUTE(MID(AEU57,6,8)," ",""))))))</f>
        <v/>
      </c>
      <c r="AEX57" s="344"/>
      <c r="AEY57" s="193" t="s">
        <v>1163</v>
      </c>
      <c r="AEZ57" s="2">
        <v>25</v>
      </c>
      <c r="AFA57" s="194" t="s">
        <v>1340</v>
      </c>
      <c r="AFB57" s="2">
        <f t="shared" si="1383"/>
        <v>64</v>
      </c>
      <c r="AFC57" s="2">
        <f t="shared" si="425"/>
        <v>67</v>
      </c>
      <c r="AFD57" s="2">
        <v>4</v>
      </c>
      <c r="AFE57" s="255" t="str">
        <f t="shared" ref="AFE57" si="1740">IF(AEY$42=0,"",CONCATENATE(TRIM(MID($C$28,(AFB57-1)*3+1,3))," | ",TRIM(MID($C$28,(AFB57)*3+1,(AFD57-1)*3))))</f>
        <v/>
      </c>
      <c r="AFF57" s="255"/>
      <c r="AFG57" s="231" t="str">
        <f t="shared" ref="AFG57:AFG66" si="1741">IF(AFE57="","",CONCATENATE(HEX2DEC(TRIM(MID(AFE57,1,3)))," | ",IF(HEX2DEC(SUBSTITUTE(MID(AFE57,6,8)," ",""))=0,"N/D",IF(HEX2DEC(SUBSTITUTE(MID(AFE57,6,8)," ",""))&gt;8388608,CONCATENATE(HEX2DEC(CONCATENATE("FFFF",SUBSTITUTE(MID(AFE57,6,8)," ","")))," N/D"),HEX2DEC(SUBSTITUTE(MID(AFE57,6,8)," ",""))))))</f>
        <v/>
      </c>
      <c r="AFH57" s="344"/>
      <c r="AFI57" s="193" t="s">
        <v>1163</v>
      </c>
      <c r="AFJ57" s="2">
        <v>25</v>
      </c>
      <c r="AFK57" s="194" t="s">
        <v>1341</v>
      </c>
      <c r="AFL57" s="2">
        <f t="shared" si="1384"/>
        <v>64</v>
      </c>
      <c r="AFM57" s="2">
        <f t="shared" si="429"/>
        <v>67</v>
      </c>
      <c r="AFN57" s="2">
        <v>4</v>
      </c>
      <c r="AFO57" s="255" t="str">
        <f t="shared" ref="AFO57" si="1742">IF(AFI$42=0,"",CONCATENATE(TRIM(MID($C$28,(AFL57-1)*3+1,3))," | ",TRIM(MID($C$28,(AFL57)*3+1,(AFN57-1)*3))))</f>
        <v/>
      </c>
      <c r="AFP57" s="255"/>
      <c r="AFQ57" s="231" t="str">
        <f t="shared" ref="AFQ57:AFQ66" si="1743">IF(AFO57="","",CONCATENATE(HEX2DEC(TRIM(MID(AFO57,1,3)))," | ",IF(HEX2DEC(SUBSTITUTE(MID(AFO57,6,8)," ",""))=0,"N/D",IF(HEX2DEC(SUBSTITUTE(MID(AFO57,6,8)," ",""))&gt;8388608,CONCATENATE(HEX2DEC(CONCATENATE("FFFF",SUBSTITUTE(MID(AFO57,6,8)," ","")))," N/D"),HEX2DEC(SUBSTITUTE(MID(AFO57,6,8)," ",""))))))</f>
        <v/>
      </c>
      <c r="AFR57" s="344"/>
      <c r="AFS57" s="193" t="s">
        <v>1163</v>
      </c>
      <c r="AFT57" s="2">
        <v>25</v>
      </c>
      <c r="AFU57" s="194" t="s">
        <v>1342</v>
      </c>
      <c r="AFV57" s="2">
        <f t="shared" si="1385"/>
        <v>64</v>
      </c>
      <c r="AFW57" s="2">
        <f t="shared" si="433"/>
        <v>67</v>
      </c>
      <c r="AFX57" s="2">
        <v>4</v>
      </c>
      <c r="AFY57" s="255" t="str">
        <f t="shared" ref="AFY57" si="1744">IF(AFS$42=0,"",CONCATENATE(TRIM(MID($C$28,(AFV57-1)*3+1,3))," | ",TRIM(MID($C$28,(AFV57)*3+1,(AFX57-1)*3))))</f>
        <v/>
      </c>
      <c r="AFZ57" s="255"/>
      <c r="AGA57" s="231" t="str">
        <f t="shared" ref="AGA57:AGA66" si="1745">IF(AFY57="","",CONCATENATE(HEX2DEC(TRIM(MID(AFY57,1,3)))," | ",IF(HEX2DEC(SUBSTITUTE(MID(AFY57,6,8)," ",""))=0,"N/D",IF(HEX2DEC(SUBSTITUTE(MID(AFY57,6,8)," ",""))&gt;8388608,CONCATENATE(HEX2DEC(CONCATENATE("FFFF",SUBSTITUTE(MID(AFY57,6,8)," ","")))," N/D"),HEX2DEC(SUBSTITUTE(MID(AFY57,6,8)," ",""))))))</f>
        <v/>
      </c>
      <c r="AGB57" s="344"/>
      <c r="AGC57" s="193" t="s">
        <v>1163</v>
      </c>
      <c r="AGD57" s="2">
        <v>25</v>
      </c>
      <c r="AGE57" s="194" t="s">
        <v>1343</v>
      </c>
      <c r="AGF57" s="2">
        <f t="shared" si="1386"/>
        <v>64</v>
      </c>
      <c r="AGG57" s="2">
        <f t="shared" si="437"/>
        <v>67</v>
      </c>
      <c r="AGH57" s="2">
        <v>4</v>
      </c>
      <c r="AGI57" s="255" t="str">
        <f t="shared" ref="AGI57" si="1746">IF(AGC$42=0,"",CONCATENATE(TRIM(MID($C$28,(AGF57-1)*3+1,3))," | ",TRIM(MID($C$28,(AGF57)*3+1,(AGH57-1)*3))))</f>
        <v/>
      </c>
      <c r="AGJ57" s="255"/>
      <c r="AGK57" s="231" t="str">
        <f t="shared" ref="AGK57:AGK66" si="1747">IF(AGI57="","",CONCATENATE(HEX2DEC(TRIM(MID(AGI57,1,3)))," | ",IF(HEX2DEC(SUBSTITUTE(MID(AGI57,6,8)," ",""))=0,"N/D",IF(HEX2DEC(SUBSTITUTE(MID(AGI57,6,8)," ",""))&gt;8388608,CONCATENATE(HEX2DEC(CONCATENATE("FFFF",SUBSTITUTE(MID(AGI57,6,8)," ","")))," N/D"),HEX2DEC(SUBSTITUTE(MID(AGI57,6,8)," ",""))))))</f>
        <v/>
      </c>
      <c r="AGL57" s="344"/>
      <c r="AGM57" s="193" t="s">
        <v>1163</v>
      </c>
      <c r="AGN57" s="2">
        <v>25</v>
      </c>
      <c r="AGO57" s="194" t="s">
        <v>1344</v>
      </c>
      <c r="AGP57" s="2">
        <f t="shared" si="1387"/>
        <v>64</v>
      </c>
      <c r="AGQ57" s="2">
        <f t="shared" si="441"/>
        <v>67</v>
      </c>
      <c r="AGR57" s="2">
        <v>4</v>
      </c>
      <c r="AGS57" s="255" t="str">
        <f t="shared" ref="AGS57" si="1748">IF(AGM$42=0,"",CONCATENATE(TRIM(MID($C$28,(AGP57-1)*3+1,3))," | ",TRIM(MID($C$28,(AGP57)*3+1,(AGR57-1)*3))))</f>
        <v/>
      </c>
      <c r="AGT57" s="255"/>
      <c r="AGU57" s="231" t="str">
        <f t="shared" ref="AGU57:AGU66" si="1749">IF(AGS57="","",CONCATENATE(HEX2DEC(TRIM(MID(AGS57,1,3)))," | ",IF(HEX2DEC(SUBSTITUTE(MID(AGS57,6,8)," ",""))=0,"N/D",IF(HEX2DEC(SUBSTITUTE(MID(AGS57,6,8)," ",""))&gt;8388608,CONCATENATE(HEX2DEC(CONCATENATE("FFFF",SUBSTITUTE(MID(AGS57,6,8)," ","")))," N/D"),HEX2DEC(SUBSTITUTE(MID(AGS57,6,8)," ",""))))))</f>
        <v/>
      </c>
      <c r="AGV57" s="344"/>
      <c r="AGW57" s="193" t="s">
        <v>1163</v>
      </c>
      <c r="AGX57" s="2">
        <v>25</v>
      </c>
      <c r="AGY57" s="194" t="s">
        <v>1345</v>
      </c>
      <c r="AGZ57" s="2">
        <f t="shared" si="1388"/>
        <v>64</v>
      </c>
      <c r="AHA57" s="2">
        <f t="shared" si="445"/>
        <v>67</v>
      </c>
      <c r="AHB57" s="2">
        <v>4</v>
      </c>
      <c r="AHC57" s="255" t="str">
        <f t="shared" ref="AHC57" si="1750">IF(AGW$42=0,"",CONCATENATE(TRIM(MID($C$28,(AGZ57-1)*3+1,3))," | ",TRIM(MID($C$28,(AGZ57)*3+1,(AHB57-1)*3))))</f>
        <v/>
      </c>
      <c r="AHD57" s="255"/>
      <c r="AHE57" s="231" t="str">
        <f t="shared" ref="AHE57:AHE66" si="1751">IF(AHC57="","",CONCATENATE(HEX2DEC(TRIM(MID(AHC57,1,3)))," | ",IF(HEX2DEC(SUBSTITUTE(MID(AHC57,6,8)," ",""))=0,"N/D",IF(HEX2DEC(SUBSTITUTE(MID(AHC57,6,8)," ",""))&gt;8388608,CONCATENATE(HEX2DEC(CONCATENATE("FFFF",SUBSTITUTE(MID(AHC57,6,8)," ","")))," N/D"),HEX2DEC(SUBSTITUTE(MID(AHC57,6,8)," ",""))))))</f>
        <v/>
      </c>
      <c r="AHF57" s="344"/>
      <c r="AHG57" s="193" t="s">
        <v>1163</v>
      </c>
      <c r="AHH57" s="2">
        <v>25</v>
      </c>
      <c r="AHI57" s="194" t="s">
        <v>1346</v>
      </c>
      <c r="AHJ57" s="2">
        <f t="shared" si="1389"/>
        <v>64</v>
      </c>
      <c r="AHK57" s="2">
        <f t="shared" si="449"/>
        <v>67</v>
      </c>
      <c r="AHL57" s="2">
        <v>4</v>
      </c>
      <c r="AHM57" s="255" t="str">
        <f t="shared" ref="AHM57" si="1752">IF(AHG$42=0,"",CONCATENATE(TRIM(MID($C$28,(AHJ57-1)*3+1,3))," | ",TRIM(MID($C$28,(AHJ57)*3+1,(AHL57-1)*3))))</f>
        <v/>
      </c>
      <c r="AHN57" s="255"/>
      <c r="AHO57" s="231" t="str">
        <f t="shared" ref="AHO57:AHO66" si="1753">IF(AHM57="","",CONCATENATE(HEX2DEC(TRIM(MID(AHM57,1,3)))," | ",IF(HEX2DEC(SUBSTITUTE(MID(AHM57,6,8)," ",""))=0,"N/D",IF(HEX2DEC(SUBSTITUTE(MID(AHM57,6,8)," ",""))&gt;8388608,CONCATENATE(HEX2DEC(CONCATENATE("FFFF",SUBSTITUTE(MID(AHM57,6,8)," ","")))," N/D"),HEX2DEC(SUBSTITUTE(MID(AHM57,6,8)," ",""))))))</f>
        <v/>
      </c>
      <c r="AHP57" s="344"/>
      <c r="AHQ57" s="193" t="s">
        <v>1163</v>
      </c>
      <c r="AHR57" s="2">
        <v>25</v>
      </c>
      <c r="AHS57" s="194" t="s">
        <v>1347</v>
      </c>
      <c r="AHT57" s="2">
        <f t="shared" si="1390"/>
        <v>64</v>
      </c>
      <c r="AHU57" s="2">
        <f t="shared" si="453"/>
        <v>67</v>
      </c>
      <c r="AHV57" s="2">
        <v>4</v>
      </c>
      <c r="AHW57" s="255" t="str">
        <f t="shared" ref="AHW57" si="1754">IF(AHQ$42=0,"",CONCATENATE(TRIM(MID($C$28,(AHT57-1)*3+1,3))," | ",TRIM(MID($C$28,(AHT57)*3+1,(AHV57-1)*3))))</f>
        <v/>
      </c>
      <c r="AHX57" s="255"/>
      <c r="AHY57" s="231" t="str">
        <f t="shared" ref="AHY57:AHY66" si="1755">IF(AHW57="","",CONCATENATE(HEX2DEC(TRIM(MID(AHW57,1,3)))," | ",IF(HEX2DEC(SUBSTITUTE(MID(AHW57,6,8)," ",""))=0,"N/D",IF(HEX2DEC(SUBSTITUTE(MID(AHW57,6,8)," ",""))&gt;8388608,CONCATENATE(HEX2DEC(CONCATENATE("FFFF",SUBSTITUTE(MID(AHW57,6,8)," ","")))," N/D"),HEX2DEC(SUBSTITUTE(MID(AHW57,6,8)," ",""))))))</f>
        <v/>
      </c>
      <c r="AHZ57" s="344"/>
      <c r="AIA57" s="193" t="s">
        <v>1163</v>
      </c>
      <c r="AIB57" s="2">
        <v>25</v>
      </c>
      <c r="AIC57" s="194" t="s">
        <v>1348</v>
      </c>
      <c r="AID57" s="2">
        <f t="shared" si="1391"/>
        <v>64</v>
      </c>
      <c r="AIE57" s="2">
        <f t="shared" si="457"/>
        <v>67</v>
      </c>
      <c r="AIF57" s="2">
        <v>4</v>
      </c>
      <c r="AIG57" s="255" t="str">
        <f t="shared" ref="AIG57" si="1756">IF(AIA$42=0,"",CONCATENATE(TRIM(MID($C$28,(AID57-1)*3+1,3))," | ",TRIM(MID($C$28,(AID57)*3+1,(AIF57-1)*3))))</f>
        <v/>
      </c>
      <c r="AIH57" s="255"/>
      <c r="AII57" s="231" t="str">
        <f t="shared" ref="AII57:AII66" si="1757">IF(AIG57="","",CONCATENATE(HEX2DEC(TRIM(MID(AIG57,1,3)))," | ",IF(HEX2DEC(SUBSTITUTE(MID(AIG57,6,8)," ",""))=0,"N/D",IF(HEX2DEC(SUBSTITUTE(MID(AIG57,6,8)," ",""))&gt;8388608,CONCATENATE(HEX2DEC(CONCATENATE("FFFF",SUBSTITUTE(MID(AIG57,6,8)," ","")))," N/D"),HEX2DEC(SUBSTITUTE(MID(AIG57,6,8)," ",""))))))</f>
        <v/>
      </c>
      <c r="AIJ57" s="344"/>
      <c r="AIK57" s="193" t="s">
        <v>1163</v>
      </c>
      <c r="AIL57" s="2">
        <v>25</v>
      </c>
      <c r="AIM57" s="194" t="s">
        <v>1349</v>
      </c>
      <c r="AIN57" s="2">
        <f t="shared" si="1392"/>
        <v>64</v>
      </c>
      <c r="AIO57" s="2">
        <f t="shared" si="461"/>
        <v>67</v>
      </c>
      <c r="AIP57" s="2">
        <v>4</v>
      </c>
      <c r="AIQ57" s="255" t="str">
        <f t="shared" ref="AIQ57" si="1758">IF(AIK$42=0,"",CONCATENATE(TRIM(MID($C$28,(AIN57-1)*3+1,3))," | ",TRIM(MID($C$28,(AIN57)*3+1,(AIP57-1)*3))))</f>
        <v/>
      </c>
      <c r="AIR57" s="255"/>
      <c r="AIS57" s="231" t="str">
        <f t="shared" ref="AIS57:AIS66" si="1759">IF(AIQ57="","",CONCATENATE(HEX2DEC(TRIM(MID(AIQ57,1,3)))," | ",IF(HEX2DEC(SUBSTITUTE(MID(AIQ57,6,8)," ",""))=0,"N/D",IF(HEX2DEC(SUBSTITUTE(MID(AIQ57,6,8)," ",""))&gt;8388608,CONCATENATE(HEX2DEC(CONCATENATE("FFFF",SUBSTITUTE(MID(AIQ57,6,8)," ","")))," N/D"),HEX2DEC(SUBSTITUTE(MID(AIQ57,6,8)," ",""))))))</f>
        <v/>
      </c>
      <c r="AIT57" s="344"/>
      <c r="AIU57" s="193" t="s">
        <v>1163</v>
      </c>
      <c r="AIV57" s="2">
        <v>25</v>
      </c>
      <c r="AIW57" s="194" t="s">
        <v>1350</v>
      </c>
      <c r="AIX57" s="2">
        <f t="shared" si="1393"/>
        <v>64</v>
      </c>
      <c r="AIY57" s="2">
        <f t="shared" si="465"/>
        <v>67</v>
      </c>
      <c r="AIZ57" s="2">
        <v>4</v>
      </c>
      <c r="AJA57" s="255" t="str">
        <f t="shared" ref="AJA57" si="1760">IF(AIU$42=0,"",CONCATENATE(TRIM(MID($C$28,(AIX57-1)*3+1,3))," | ",TRIM(MID($C$28,(AIX57)*3+1,(AIZ57-1)*3))))</f>
        <v/>
      </c>
      <c r="AJB57" s="255"/>
      <c r="AJC57" s="231" t="str">
        <f t="shared" ref="AJC57:AJC66" si="1761">IF(AJA57="","",CONCATENATE(HEX2DEC(TRIM(MID(AJA57,1,3)))," | ",IF(HEX2DEC(SUBSTITUTE(MID(AJA57,6,8)," ",""))=0,"N/D",IF(HEX2DEC(SUBSTITUTE(MID(AJA57,6,8)," ",""))&gt;8388608,CONCATENATE(HEX2DEC(CONCATENATE("FFFF",SUBSTITUTE(MID(AJA57,6,8)," ","")))," N/D"),HEX2DEC(SUBSTITUTE(MID(AJA57,6,8)," ",""))))))</f>
        <v/>
      </c>
      <c r="AJD57" s="344"/>
    </row>
    <row r="58" spans="1:940">
      <c r="B58" s="42">
        <v>2</v>
      </c>
      <c r="C58" s="19" t="str">
        <f>CONCATENATE("Outcome Index ",B58,"  | Odd ",B58)</f>
        <v>Outcome Index 2  | Odd 2</v>
      </c>
      <c r="D58" s="18">
        <f t="shared" si="561"/>
        <v>68</v>
      </c>
      <c r="E58" s="18">
        <f t="shared" si="1117"/>
        <v>71</v>
      </c>
      <c r="F58" s="18">
        <v>4</v>
      </c>
      <c r="G58" s="301" t="str">
        <f>IF(A$42=0,"",IF(B58&lt;=I$56,CONCATENATE(TRIM(MID($C$28,(D58-1)*3+1,3))," | ",TRIM(MID($C$28,(D58)*3+1,(F58-1)*3))),""))</f>
        <v/>
      </c>
      <c r="H58" s="301"/>
      <c r="I58" s="302" t="str">
        <f>IF(G58="","",CONCATENATE(HEX2DEC(TRIM(MID(G58,1,3)))," | ",IF(HEX2DEC(SUBSTITUTE(MID(G58,6,8)," ",""))=0,"N/D",IF(HEX2DEC(SUBSTITUTE(MID(G58,6,8)," ",""))&gt;8388608,CONCATENATE(HEX2DEC(CONCATENATE("FFFF",SUBSTITUTE(MID(G58,6,8)," ","")))," N/D"),HEX2DEC(SUBSTITUTE(MID(G58,6,8)," ",""))))))</f>
        <v/>
      </c>
      <c r="J58" s="305"/>
      <c r="K58" s="40"/>
      <c r="L58" s="62">
        <v>2</v>
      </c>
      <c r="M58" s="19" t="str">
        <f>CONCATENATE("Outcome Index ",L58,"  | Odd ",L58)</f>
        <v>Outcome Index 2  | Odd 2</v>
      </c>
      <c r="N58" s="18">
        <f t="shared" si="562"/>
        <v>68</v>
      </c>
      <c r="O58" s="18">
        <f t="shared" si="97"/>
        <v>71</v>
      </c>
      <c r="P58" s="18">
        <v>4</v>
      </c>
      <c r="Q58" s="301" t="str">
        <f>IF(K$42=0,"",IF(L58&lt;=S$56,CONCATENATE(TRIM(MID($C$28,(N58-1)*3+1,3))," | ",TRIM(MID($C$28,(N58)*3+1,(P58-1)*3))),""))</f>
        <v/>
      </c>
      <c r="R58" s="301"/>
      <c r="S58" s="302" t="str">
        <f>IF(Q58="","",CONCATENATE(HEX2DEC(TRIM(MID(Q58,1,3)))," | ",IF(HEX2DEC(SUBSTITUTE(MID(Q58,6,8)," ",""))=0,"N/D",IF(HEX2DEC(SUBSTITUTE(MID(Q58,6,8)," ",""))&gt;8388608,CONCATENATE(HEX2DEC(CONCATENATE("FFFF",SUBSTITUTE(MID(Q58,6,8)," ","")))," N/D"),HEX2DEC(SUBSTITUTE(MID(Q58,6,8)," ",""))))))</f>
        <v/>
      </c>
      <c r="T58" s="349"/>
      <c r="U58" s="40"/>
      <c r="V58" s="62">
        <v>2</v>
      </c>
      <c r="W58" s="19" t="str">
        <f t="shared" ref="W58:W66" si="1762">CONCATENATE("Outcome Index ",V58,"  | Odd ",V58)</f>
        <v>Outcome Index 2  | Odd 2</v>
      </c>
      <c r="X58" s="18">
        <f t="shared" si="1302"/>
        <v>68</v>
      </c>
      <c r="Y58" s="18">
        <f t="shared" si="101"/>
        <v>71</v>
      </c>
      <c r="Z58" s="18">
        <v>4</v>
      </c>
      <c r="AA58" s="301" t="str">
        <f t="shared" ref="AA58:AA66" si="1763">IF(U$42=0,"",IF(V58&lt;=AC$56,CONCATENATE(TRIM(MID($C$28,(X58-1)*3+1,3))," | ",TRIM(MID($C$28,(X58)*3+1,(Z58-1)*3))),""))</f>
        <v/>
      </c>
      <c r="AB58" s="301"/>
      <c r="AC58" s="302" t="str">
        <f t="shared" si="1579"/>
        <v/>
      </c>
      <c r="AD58" s="349"/>
      <c r="AE58" s="40"/>
      <c r="AF58" s="62">
        <v>2</v>
      </c>
      <c r="AG58" s="19" t="str">
        <f t="shared" ref="AG58:AG66" si="1764">CONCATENATE("Outcome Index ",AF58,"  | Odd ",AF58)</f>
        <v>Outcome Index 2  | Odd 2</v>
      </c>
      <c r="AH58" s="18">
        <f t="shared" si="1303"/>
        <v>68</v>
      </c>
      <c r="AI58" s="18">
        <f t="shared" si="105"/>
        <v>71</v>
      </c>
      <c r="AJ58" s="18">
        <v>4</v>
      </c>
      <c r="AK58" s="301" t="str">
        <f t="shared" ref="AK58:AK66" si="1765">IF(AE$42=0,"",IF(AF58&lt;=AM$56,CONCATENATE(TRIM(MID($C$28,(AH58-1)*3+1,3))," | ",TRIM(MID($C$28,(AH58)*3+1,(AJ58-1)*3))),""))</f>
        <v/>
      </c>
      <c r="AL58" s="301"/>
      <c r="AM58" s="302" t="str">
        <f t="shared" si="1581"/>
        <v/>
      </c>
      <c r="AN58" s="349"/>
      <c r="AO58" s="40"/>
      <c r="AP58" s="62">
        <v>2</v>
      </c>
      <c r="AQ58" s="19" t="str">
        <f t="shared" ref="AQ58:AQ66" si="1766">CONCATENATE("Outcome Index ",AP58,"  | Odd ",AP58)</f>
        <v>Outcome Index 2  | Odd 2</v>
      </c>
      <c r="AR58" s="18">
        <f t="shared" si="1304"/>
        <v>68</v>
      </c>
      <c r="AS58" s="18">
        <f t="shared" si="109"/>
        <v>71</v>
      </c>
      <c r="AT58" s="18">
        <v>4</v>
      </c>
      <c r="AU58" s="301" t="str">
        <f t="shared" ref="AU58:AU66" si="1767">IF(AO$42=0,"",IF(AP58&lt;=AW$56,CONCATENATE(TRIM(MID($C$28,(AR58-1)*3+1,3))," | ",TRIM(MID($C$28,(AR58)*3+1,(AT58-1)*3))),""))</f>
        <v/>
      </c>
      <c r="AV58" s="301"/>
      <c r="AW58" s="302" t="str">
        <f t="shared" si="1583"/>
        <v/>
      </c>
      <c r="AX58" s="349"/>
      <c r="AY58" s="40"/>
      <c r="AZ58" s="62">
        <v>2</v>
      </c>
      <c r="BA58" s="19" t="str">
        <f t="shared" ref="BA58:BA66" si="1768">CONCATENATE("Outcome Index ",AZ58,"  | Odd ",AZ58)</f>
        <v>Outcome Index 2  | Odd 2</v>
      </c>
      <c r="BB58" s="18">
        <f t="shared" si="1305"/>
        <v>68</v>
      </c>
      <c r="BC58" s="18">
        <f t="shared" si="113"/>
        <v>71</v>
      </c>
      <c r="BD58" s="18">
        <v>4</v>
      </c>
      <c r="BE58" s="301" t="str">
        <f t="shared" ref="BE58:BE66" si="1769">IF(AY$42=0,"",IF(AZ58&lt;=BG$56,CONCATENATE(TRIM(MID($C$28,(BB58-1)*3+1,3))," | ",TRIM(MID($C$28,(BB58)*3+1,(BD58-1)*3))),""))</f>
        <v/>
      </c>
      <c r="BF58" s="301"/>
      <c r="BG58" s="302" t="str">
        <f t="shared" si="1585"/>
        <v/>
      </c>
      <c r="BH58" s="349"/>
      <c r="BI58" s="40"/>
      <c r="BJ58" s="62">
        <v>2</v>
      </c>
      <c r="BK58" s="19" t="str">
        <f t="shared" ref="BK58:BK66" si="1770">CONCATENATE("Outcome Index ",BJ58,"  | Odd ",BJ58)</f>
        <v>Outcome Index 2  | Odd 2</v>
      </c>
      <c r="BL58" s="18">
        <f t="shared" si="1306"/>
        <v>68</v>
      </c>
      <c r="BM58" s="18">
        <f t="shared" si="117"/>
        <v>71</v>
      </c>
      <c r="BN58" s="18">
        <v>4</v>
      </c>
      <c r="BO58" s="301" t="str">
        <f t="shared" ref="BO58:BO66" si="1771">IF(BI$42=0,"",IF(BJ58&lt;=BQ$56,CONCATENATE(TRIM(MID($C$28,(BL58-1)*3+1,3))," | ",TRIM(MID($C$28,(BL58)*3+1,(BN58-1)*3))),""))</f>
        <v/>
      </c>
      <c r="BP58" s="301"/>
      <c r="BQ58" s="302" t="str">
        <f t="shared" si="1587"/>
        <v/>
      </c>
      <c r="BR58" s="349"/>
      <c r="BS58" s="40"/>
      <c r="BT58" s="62">
        <v>2</v>
      </c>
      <c r="BU58" s="19" t="str">
        <f t="shared" ref="BU58:BU66" si="1772">CONCATENATE("Outcome Index ",BT58,"  | Odd ",BT58)</f>
        <v>Outcome Index 2  | Odd 2</v>
      </c>
      <c r="BV58" s="18">
        <f t="shared" si="1307"/>
        <v>68</v>
      </c>
      <c r="BW58" s="18">
        <f t="shared" si="121"/>
        <v>71</v>
      </c>
      <c r="BX58" s="18">
        <v>4</v>
      </c>
      <c r="BY58" s="301" t="str">
        <f t="shared" ref="BY58:BY66" si="1773">IF(BS$42=0,"",IF(BT58&lt;=CA$56,CONCATENATE(TRIM(MID($C$28,(BV58-1)*3+1,3))," | ",TRIM(MID($C$28,(BV58)*3+1,(BX58-1)*3))),""))</f>
        <v/>
      </c>
      <c r="BZ58" s="301"/>
      <c r="CA58" s="302" t="str">
        <f t="shared" si="1589"/>
        <v/>
      </c>
      <c r="CB58" s="349"/>
      <c r="CC58" s="40"/>
      <c r="CD58" s="62">
        <v>2</v>
      </c>
      <c r="CE58" s="19" t="str">
        <f t="shared" ref="CE58:CE66" si="1774">CONCATENATE("Outcome Index ",CD58,"  | Odd ",CD58)</f>
        <v>Outcome Index 2  | Odd 2</v>
      </c>
      <c r="CF58" s="18">
        <f t="shared" si="1308"/>
        <v>68</v>
      </c>
      <c r="CG58" s="18">
        <f t="shared" si="125"/>
        <v>71</v>
      </c>
      <c r="CH58" s="18">
        <v>4</v>
      </c>
      <c r="CI58" s="301" t="str">
        <f t="shared" ref="CI58:CI66" si="1775">IF(CC$42=0,"",IF(CD58&lt;=CK$56,CONCATENATE(TRIM(MID($C$28,(CF58-1)*3+1,3))," | ",TRIM(MID($C$28,(CF58)*3+1,(CH58-1)*3))),""))</f>
        <v/>
      </c>
      <c r="CJ58" s="301"/>
      <c r="CK58" s="302" t="str">
        <f t="shared" si="1591"/>
        <v/>
      </c>
      <c r="CL58" s="349"/>
      <c r="CM58" s="40"/>
      <c r="CN58" s="62">
        <v>2</v>
      </c>
      <c r="CO58" s="19" t="str">
        <f t="shared" ref="CO58:CO66" si="1776">CONCATENATE("Outcome Index ",CN58,"  | Odd ",CN58)</f>
        <v>Outcome Index 2  | Odd 2</v>
      </c>
      <c r="CP58" s="18">
        <f t="shared" si="1309"/>
        <v>68</v>
      </c>
      <c r="CQ58" s="18">
        <f t="shared" si="129"/>
        <v>71</v>
      </c>
      <c r="CR58" s="18">
        <v>4</v>
      </c>
      <c r="CS58" s="301" t="str">
        <f t="shared" ref="CS58:CS66" si="1777">IF(CM$42=0,"",IF(CN58&lt;=CU$56,CONCATENATE(TRIM(MID($C$28,(CP58-1)*3+1,3))," | ",TRIM(MID($C$28,(CP58)*3+1,(CR58-1)*3))),""))</f>
        <v/>
      </c>
      <c r="CT58" s="301"/>
      <c r="CU58" s="302" t="str">
        <f t="shared" si="1593"/>
        <v/>
      </c>
      <c r="CV58" s="349"/>
      <c r="CW58" s="40"/>
      <c r="CX58" s="62">
        <v>2</v>
      </c>
      <c r="CY58" s="19" t="str">
        <f t="shared" ref="CY58:CY66" si="1778">CONCATENATE("Outcome Index ",CX58,"  | Odd ",CX58)</f>
        <v>Outcome Index 2  | Odd 2</v>
      </c>
      <c r="CZ58" s="18">
        <f t="shared" si="1310"/>
        <v>68</v>
      </c>
      <c r="DA58" s="18">
        <f t="shared" si="133"/>
        <v>71</v>
      </c>
      <c r="DB58" s="18">
        <v>4</v>
      </c>
      <c r="DC58" s="301" t="str">
        <f t="shared" ref="DC58:DC66" si="1779">IF(CW$42=0,"",IF(CX58&lt;=DE$56,CONCATENATE(TRIM(MID($C$28,(CZ58-1)*3+1,3))," | ",TRIM(MID($C$28,(CZ58)*3+1,(DB58-1)*3))),""))</f>
        <v/>
      </c>
      <c r="DD58" s="301"/>
      <c r="DE58" s="302" t="str">
        <f t="shared" si="1595"/>
        <v/>
      </c>
      <c r="DF58" s="349"/>
      <c r="DG58" s="40"/>
      <c r="DH58" s="62">
        <v>2</v>
      </c>
      <c r="DI58" s="19" t="str">
        <f t="shared" ref="DI58:DI66" si="1780">CONCATENATE("Outcome Index ",DH58,"  | Odd ",DH58)</f>
        <v>Outcome Index 2  | Odd 2</v>
      </c>
      <c r="DJ58" s="18">
        <f t="shared" si="1311"/>
        <v>68</v>
      </c>
      <c r="DK58" s="18">
        <f t="shared" si="137"/>
        <v>71</v>
      </c>
      <c r="DL58" s="18">
        <v>4</v>
      </c>
      <c r="DM58" s="301" t="str">
        <f t="shared" ref="DM58:DM66" si="1781">IF(DG$42=0,"",IF(DH58&lt;=DO$56,CONCATENATE(TRIM(MID($C$28,(DJ58-1)*3+1,3))," | ",TRIM(MID($C$28,(DJ58)*3+1,(DL58-1)*3))),""))</f>
        <v/>
      </c>
      <c r="DN58" s="301"/>
      <c r="DO58" s="302" t="str">
        <f t="shared" si="1597"/>
        <v/>
      </c>
      <c r="DP58" s="349"/>
      <c r="DQ58" s="40"/>
      <c r="DR58" s="62">
        <v>2</v>
      </c>
      <c r="DS58" s="19" t="str">
        <f t="shared" ref="DS58:DS66" si="1782">CONCATENATE("Outcome Index ",DR58,"  | Odd ",DR58)</f>
        <v>Outcome Index 2  | Odd 2</v>
      </c>
      <c r="DT58" s="18">
        <f t="shared" si="1312"/>
        <v>68</v>
      </c>
      <c r="DU58" s="18">
        <f t="shared" si="141"/>
        <v>71</v>
      </c>
      <c r="DV58" s="18">
        <v>4</v>
      </c>
      <c r="DW58" s="301" t="str">
        <f t="shared" ref="DW58:DW66" si="1783">IF(DQ$42=0,"",IF(DR58&lt;=DY$56,CONCATENATE(TRIM(MID($C$28,(DT58-1)*3+1,3))," | ",TRIM(MID($C$28,(DT58)*3+1,(DV58-1)*3))),""))</f>
        <v/>
      </c>
      <c r="DX58" s="301"/>
      <c r="DY58" s="302" t="str">
        <f t="shared" si="1599"/>
        <v/>
      </c>
      <c r="DZ58" s="349"/>
      <c r="EA58" s="40"/>
      <c r="EB58" s="62">
        <v>2</v>
      </c>
      <c r="EC58" s="19" t="str">
        <f t="shared" ref="EC58:EC66" si="1784">CONCATENATE("Outcome Index ",EB58,"  | Odd ",EB58)</f>
        <v>Outcome Index 2  | Odd 2</v>
      </c>
      <c r="ED58" s="18">
        <f t="shared" si="1313"/>
        <v>68</v>
      </c>
      <c r="EE58" s="18">
        <f t="shared" si="145"/>
        <v>71</v>
      </c>
      <c r="EF58" s="18">
        <v>4</v>
      </c>
      <c r="EG58" s="301" t="str">
        <f t="shared" ref="EG58:EG66" si="1785">IF(EA$42=0,"",IF(EB58&lt;=EI$56,CONCATENATE(TRIM(MID($C$28,(ED58-1)*3+1,3))," | ",TRIM(MID($C$28,(ED58)*3+1,(EF58-1)*3))),""))</f>
        <v/>
      </c>
      <c r="EH58" s="301"/>
      <c r="EI58" s="302" t="str">
        <f t="shared" si="1601"/>
        <v/>
      </c>
      <c r="EJ58" s="349"/>
      <c r="EK58" s="40"/>
      <c r="EL58" s="62">
        <v>2</v>
      </c>
      <c r="EM58" s="19" t="str">
        <f t="shared" ref="EM58:EM66" si="1786">CONCATENATE("Outcome Index ",EL58,"  | Odd ",EL58)</f>
        <v>Outcome Index 2  | Odd 2</v>
      </c>
      <c r="EN58" s="18">
        <f t="shared" si="1314"/>
        <v>68</v>
      </c>
      <c r="EO58" s="18">
        <f t="shared" si="149"/>
        <v>71</v>
      </c>
      <c r="EP58" s="18">
        <v>4</v>
      </c>
      <c r="EQ58" s="301" t="str">
        <f t="shared" ref="EQ58:EQ66" si="1787">IF(EK$42=0,"",IF(EL58&lt;=ES$56,CONCATENATE(TRIM(MID($C$28,(EN58-1)*3+1,3))," | ",TRIM(MID($C$28,(EN58)*3+1,(EP58-1)*3))),""))</f>
        <v/>
      </c>
      <c r="ER58" s="301"/>
      <c r="ES58" s="302" t="str">
        <f t="shared" si="1603"/>
        <v/>
      </c>
      <c r="ET58" s="349"/>
      <c r="EU58" s="40"/>
      <c r="EV58" s="62">
        <v>2</v>
      </c>
      <c r="EW58" s="19" t="str">
        <f t="shared" ref="EW58:EW66" si="1788">CONCATENATE("Outcome Index ",EV58,"  | Odd ",EV58)</f>
        <v>Outcome Index 2  | Odd 2</v>
      </c>
      <c r="EX58" s="18">
        <f t="shared" si="1315"/>
        <v>68</v>
      </c>
      <c r="EY58" s="18">
        <f t="shared" si="153"/>
        <v>71</v>
      </c>
      <c r="EZ58" s="18">
        <v>4</v>
      </c>
      <c r="FA58" s="301" t="str">
        <f t="shared" ref="FA58:FA66" si="1789">IF(EU$42=0,"",IF(EV58&lt;=FC$56,CONCATENATE(TRIM(MID($C$28,(EX58-1)*3+1,3))," | ",TRIM(MID($C$28,(EX58)*3+1,(EZ58-1)*3))),""))</f>
        <v/>
      </c>
      <c r="FB58" s="301"/>
      <c r="FC58" s="302" t="str">
        <f t="shared" si="1605"/>
        <v/>
      </c>
      <c r="FD58" s="349"/>
      <c r="FE58" s="40"/>
      <c r="FF58" s="62">
        <v>2</v>
      </c>
      <c r="FG58" s="19" t="str">
        <f t="shared" ref="FG58:FG66" si="1790">CONCATENATE("Outcome Index ",FF58,"  | Odd ",FF58)</f>
        <v>Outcome Index 2  | Odd 2</v>
      </c>
      <c r="FH58" s="18">
        <f t="shared" si="1316"/>
        <v>68</v>
      </c>
      <c r="FI58" s="18">
        <f t="shared" si="157"/>
        <v>71</v>
      </c>
      <c r="FJ58" s="18">
        <v>4</v>
      </c>
      <c r="FK58" s="301" t="str">
        <f t="shared" ref="FK58:FK66" si="1791">IF(FE$42=0,"",IF(FF58&lt;=FM$56,CONCATENATE(TRIM(MID($C$28,(FH58-1)*3+1,3))," | ",TRIM(MID($C$28,(FH58)*3+1,(FJ58-1)*3))),""))</f>
        <v/>
      </c>
      <c r="FL58" s="301"/>
      <c r="FM58" s="302" t="str">
        <f t="shared" si="1607"/>
        <v/>
      </c>
      <c r="FN58" s="349"/>
      <c r="FO58" s="40"/>
      <c r="FP58" s="62">
        <v>2</v>
      </c>
      <c r="FQ58" s="19" t="str">
        <f t="shared" ref="FQ58:FQ66" si="1792">CONCATENATE("Outcome Index ",FP58,"  | Odd ",FP58)</f>
        <v>Outcome Index 2  | Odd 2</v>
      </c>
      <c r="FR58" s="18">
        <f t="shared" si="1317"/>
        <v>68</v>
      </c>
      <c r="FS58" s="18">
        <f t="shared" si="161"/>
        <v>71</v>
      </c>
      <c r="FT58" s="18">
        <v>4</v>
      </c>
      <c r="FU58" s="301" t="str">
        <f t="shared" ref="FU58:FU66" si="1793">IF(FO$42=0,"",IF(FP58&lt;=FW$56,CONCATENATE(TRIM(MID($C$28,(FR58-1)*3+1,3))," | ",TRIM(MID($C$28,(FR58)*3+1,(FT58-1)*3))),""))</f>
        <v/>
      </c>
      <c r="FV58" s="301"/>
      <c r="FW58" s="302" t="str">
        <f t="shared" si="1609"/>
        <v/>
      </c>
      <c r="FX58" s="349"/>
      <c r="FY58" s="40"/>
      <c r="FZ58" s="62">
        <v>2</v>
      </c>
      <c r="GA58" s="19" t="str">
        <f t="shared" ref="GA58:GA66" si="1794">CONCATENATE("Outcome Index ",FZ58,"  | Odd ",FZ58)</f>
        <v>Outcome Index 2  | Odd 2</v>
      </c>
      <c r="GB58" s="18">
        <f t="shared" si="1318"/>
        <v>68</v>
      </c>
      <c r="GC58" s="18">
        <f t="shared" si="165"/>
        <v>71</v>
      </c>
      <c r="GD58" s="18">
        <v>4</v>
      </c>
      <c r="GE58" s="301" t="str">
        <f t="shared" ref="GE58:GE66" si="1795">IF(FY$42=0,"",IF(FZ58&lt;=GG$56,CONCATENATE(TRIM(MID($C$28,(GB58-1)*3+1,3))," | ",TRIM(MID($C$28,(GB58)*3+1,(GD58-1)*3))),""))</f>
        <v/>
      </c>
      <c r="GF58" s="301"/>
      <c r="GG58" s="302" t="str">
        <f t="shared" si="1611"/>
        <v/>
      </c>
      <c r="GH58" s="349"/>
      <c r="GI58" s="40"/>
      <c r="GJ58" s="62">
        <v>2</v>
      </c>
      <c r="GK58" s="19" t="str">
        <f t="shared" ref="GK58:GK66" si="1796">CONCATENATE("Outcome Index ",GJ58,"  | Odd ",GJ58)</f>
        <v>Outcome Index 2  | Odd 2</v>
      </c>
      <c r="GL58" s="18">
        <f t="shared" si="1319"/>
        <v>68</v>
      </c>
      <c r="GM58" s="18">
        <f t="shared" si="169"/>
        <v>71</v>
      </c>
      <c r="GN58" s="18">
        <v>4</v>
      </c>
      <c r="GO58" s="301" t="str">
        <f t="shared" ref="GO58:GO66" si="1797">IF(GI$42=0,"",IF(GJ58&lt;=GQ$56,CONCATENATE(TRIM(MID($C$28,(GL58-1)*3+1,3))," | ",TRIM(MID($C$28,(GL58)*3+1,(GN58-1)*3))),""))</f>
        <v/>
      </c>
      <c r="GP58" s="301"/>
      <c r="GQ58" s="302" t="str">
        <f t="shared" si="1613"/>
        <v/>
      </c>
      <c r="GR58" s="349"/>
      <c r="GS58" s="40"/>
      <c r="GT58" s="62">
        <v>2</v>
      </c>
      <c r="GU58" s="19" t="str">
        <f t="shared" ref="GU58:GU66" si="1798">CONCATENATE("Outcome Index ",GT58,"  | Odd ",GT58)</f>
        <v>Outcome Index 2  | Odd 2</v>
      </c>
      <c r="GV58" s="18">
        <f t="shared" si="1320"/>
        <v>68</v>
      </c>
      <c r="GW58" s="18">
        <f t="shared" si="173"/>
        <v>71</v>
      </c>
      <c r="GX58" s="18">
        <v>4</v>
      </c>
      <c r="GY58" s="301" t="str">
        <f t="shared" ref="GY58:GY66" si="1799">IF(GS$42=0,"",IF(GT58&lt;=HA$56,CONCATENATE(TRIM(MID($C$28,(GV58-1)*3+1,3))," | ",TRIM(MID($C$28,(GV58)*3+1,(GX58-1)*3))),""))</f>
        <v/>
      </c>
      <c r="GZ58" s="301"/>
      <c r="HA58" s="302" t="str">
        <f t="shared" si="1615"/>
        <v/>
      </c>
      <c r="HB58" s="349"/>
      <c r="HC58" s="40"/>
      <c r="HD58" s="62">
        <v>2</v>
      </c>
      <c r="HE58" s="19" t="str">
        <f t="shared" ref="HE58:HE66" si="1800">CONCATENATE("Outcome Index ",HD58,"  | Odd ",HD58)</f>
        <v>Outcome Index 2  | Odd 2</v>
      </c>
      <c r="HF58" s="18">
        <f t="shared" si="1321"/>
        <v>68</v>
      </c>
      <c r="HG58" s="18">
        <f t="shared" si="177"/>
        <v>71</v>
      </c>
      <c r="HH58" s="18">
        <v>4</v>
      </c>
      <c r="HI58" s="301" t="str">
        <f t="shared" ref="HI58:HI66" si="1801">IF(HC$42=0,"",IF(HD58&lt;=HK$56,CONCATENATE(TRIM(MID($C$28,(HF58-1)*3+1,3))," | ",TRIM(MID($C$28,(HF58)*3+1,(HH58-1)*3))),""))</f>
        <v/>
      </c>
      <c r="HJ58" s="301"/>
      <c r="HK58" s="302" t="str">
        <f t="shared" si="1617"/>
        <v/>
      </c>
      <c r="HL58" s="349"/>
      <c r="HM58" s="40"/>
      <c r="HN58" s="62">
        <v>2</v>
      </c>
      <c r="HO58" s="19" t="str">
        <f t="shared" ref="HO58:HO66" si="1802">CONCATENATE("Outcome Index ",HN58,"  | Odd ",HN58)</f>
        <v>Outcome Index 2  | Odd 2</v>
      </c>
      <c r="HP58" s="18">
        <f t="shared" si="1322"/>
        <v>68</v>
      </c>
      <c r="HQ58" s="18">
        <f t="shared" si="181"/>
        <v>71</v>
      </c>
      <c r="HR58" s="18">
        <v>4</v>
      </c>
      <c r="HS58" s="301" t="str">
        <f t="shared" ref="HS58:HS66" si="1803">IF(HM$42=0,"",IF(HN58&lt;=HU$56,CONCATENATE(TRIM(MID($C$28,(HP58-1)*3+1,3))," | ",TRIM(MID($C$28,(HP58)*3+1,(HR58-1)*3))),""))</f>
        <v/>
      </c>
      <c r="HT58" s="301"/>
      <c r="HU58" s="302" t="str">
        <f t="shared" si="1619"/>
        <v/>
      </c>
      <c r="HV58" s="349"/>
      <c r="HW58" s="40"/>
      <c r="HX58" s="62">
        <v>2</v>
      </c>
      <c r="HY58" s="19" t="str">
        <f t="shared" ref="HY58:HY66" si="1804">CONCATENATE("Outcome Index ",HX58,"  | Odd ",HX58)</f>
        <v>Outcome Index 2  | Odd 2</v>
      </c>
      <c r="HZ58" s="18">
        <f t="shared" si="1323"/>
        <v>68</v>
      </c>
      <c r="IA58" s="18">
        <f t="shared" si="185"/>
        <v>71</v>
      </c>
      <c r="IB58" s="18">
        <v>4</v>
      </c>
      <c r="IC58" s="301" t="str">
        <f t="shared" ref="IC58:IC66" si="1805">IF(HW$42=0,"",IF(HX58&lt;=IE$56,CONCATENATE(TRIM(MID($C$28,(HZ58-1)*3+1,3))," | ",TRIM(MID($C$28,(HZ58)*3+1,(IB58-1)*3))),""))</f>
        <v/>
      </c>
      <c r="ID58" s="301"/>
      <c r="IE58" s="302" t="str">
        <f t="shared" si="1621"/>
        <v/>
      </c>
      <c r="IF58" s="349"/>
      <c r="IG58" s="40"/>
      <c r="IH58" s="62">
        <v>2</v>
      </c>
      <c r="II58" s="19" t="str">
        <f t="shared" ref="II58:II66" si="1806">CONCATENATE("Outcome Index ",IH58,"  | Odd ",IH58)</f>
        <v>Outcome Index 2  | Odd 2</v>
      </c>
      <c r="IJ58" s="18">
        <f t="shared" si="1324"/>
        <v>68</v>
      </c>
      <c r="IK58" s="18">
        <f t="shared" si="189"/>
        <v>71</v>
      </c>
      <c r="IL58" s="18">
        <v>4</v>
      </c>
      <c r="IM58" s="301" t="str">
        <f t="shared" ref="IM58:IM66" si="1807">IF(IG$42=0,"",IF(IH58&lt;=IO$56,CONCATENATE(TRIM(MID($C$28,(IJ58-1)*3+1,3))," | ",TRIM(MID($C$28,(IJ58)*3+1,(IL58-1)*3))),""))</f>
        <v/>
      </c>
      <c r="IN58" s="301"/>
      <c r="IO58" s="302" t="str">
        <f t="shared" si="1623"/>
        <v/>
      </c>
      <c r="IP58" s="349"/>
      <c r="IQ58" s="40"/>
      <c r="IR58" s="62">
        <v>2</v>
      </c>
      <c r="IS58" s="19" t="str">
        <f t="shared" ref="IS58:IS66" si="1808">CONCATENATE("Outcome Index ",IR58,"  | Odd ",IR58)</f>
        <v>Outcome Index 2  | Odd 2</v>
      </c>
      <c r="IT58" s="18">
        <f t="shared" si="1325"/>
        <v>68</v>
      </c>
      <c r="IU58" s="18">
        <f t="shared" si="193"/>
        <v>71</v>
      </c>
      <c r="IV58" s="18">
        <v>4</v>
      </c>
      <c r="IW58" s="301" t="str">
        <f t="shared" ref="IW58:IW66" si="1809">IF(IQ$42=0,"",IF(IR58&lt;=IY$56,CONCATENATE(TRIM(MID($C$28,(IT58-1)*3+1,3))," | ",TRIM(MID($C$28,(IT58)*3+1,(IV58-1)*3))),""))</f>
        <v/>
      </c>
      <c r="IX58" s="301"/>
      <c r="IY58" s="302" t="str">
        <f t="shared" si="1625"/>
        <v/>
      </c>
      <c r="IZ58" s="349"/>
      <c r="JA58" s="40"/>
      <c r="JB58" s="62">
        <v>2</v>
      </c>
      <c r="JC58" s="19" t="str">
        <f t="shared" ref="JC58:JC66" si="1810">CONCATENATE("Outcome Index ",JB58,"  | Odd ",JB58)</f>
        <v>Outcome Index 2  | Odd 2</v>
      </c>
      <c r="JD58" s="18">
        <f t="shared" si="1326"/>
        <v>68</v>
      </c>
      <c r="JE58" s="18">
        <f t="shared" si="197"/>
        <v>71</v>
      </c>
      <c r="JF58" s="18">
        <v>4</v>
      </c>
      <c r="JG58" s="301" t="str">
        <f t="shared" ref="JG58:JG66" si="1811">IF(JA$42=0,"",IF(JB58&lt;=JI$56,CONCATENATE(TRIM(MID($C$28,(JD58-1)*3+1,3))," | ",TRIM(MID($C$28,(JD58)*3+1,(JF58-1)*3))),""))</f>
        <v/>
      </c>
      <c r="JH58" s="301"/>
      <c r="JI58" s="302" t="str">
        <f t="shared" si="1627"/>
        <v/>
      </c>
      <c r="JJ58" s="349"/>
      <c r="JK58" s="40"/>
      <c r="JL58" s="62">
        <v>2</v>
      </c>
      <c r="JM58" s="19" t="str">
        <f t="shared" ref="JM58:JM66" si="1812">CONCATENATE("Outcome Index ",JL58,"  | Odd ",JL58)</f>
        <v>Outcome Index 2  | Odd 2</v>
      </c>
      <c r="JN58" s="18">
        <f t="shared" si="1327"/>
        <v>68</v>
      </c>
      <c r="JO58" s="18">
        <f t="shared" si="201"/>
        <v>71</v>
      </c>
      <c r="JP58" s="18">
        <v>4</v>
      </c>
      <c r="JQ58" s="301" t="str">
        <f t="shared" ref="JQ58:JQ66" si="1813">IF(JK$42=0,"",IF(JL58&lt;=JS$56,CONCATENATE(TRIM(MID($C$28,(JN58-1)*3+1,3))," | ",TRIM(MID($C$28,(JN58)*3+1,(JP58-1)*3))),""))</f>
        <v/>
      </c>
      <c r="JR58" s="301"/>
      <c r="JS58" s="302" t="str">
        <f t="shared" si="1629"/>
        <v/>
      </c>
      <c r="JT58" s="349"/>
      <c r="JU58" s="40"/>
      <c r="JV58" s="62">
        <v>2</v>
      </c>
      <c r="JW58" s="19" t="str">
        <f t="shared" ref="JW58:JW66" si="1814">CONCATENATE("Outcome Index ",JV58,"  | Odd ",JV58)</f>
        <v>Outcome Index 2  | Odd 2</v>
      </c>
      <c r="JX58" s="18">
        <f t="shared" si="1328"/>
        <v>68</v>
      </c>
      <c r="JY58" s="18">
        <f t="shared" si="205"/>
        <v>71</v>
      </c>
      <c r="JZ58" s="18">
        <v>4</v>
      </c>
      <c r="KA58" s="301" t="str">
        <f t="shared" ref="KA58:KA66" si="1815">IF(JU$42=0,"",IF(JV58&lt;=KC$56,CONCATENATE(TRIM(MID($C$28,(JX58-1)*3+1,3))," | ",TRIM(MID($C$28,(JX58)*3+1,(JZ58-1)*3))),""))</f>
        <v/>
      </c>
      <c r="KB58" s="301"/>
      <c r="KC58" s="302" t="str">
        <f t="shared" si="1631"/>
        <v/>
      </c>
      <c r="KD58" s="349"/>
      <c r="KE58" s="40"/>
      <c r="KF58" s="62">
        <v>2</v>
      </c>
      <c r="KG58" s="19" t="str">
        <f t="shared" ref="KG58:KG66" si="1816">CONCATENATE("Outcome Index ",KF58,"  | Odd ",KF58)</f>
        <v>Outcome Index 2  | Odd 2</v>
      </c>
      <c r="KH58" s="18">
        <f t="shared" si="1329"/>
        <v>68</v>
      </c>
      <c r="KI58" s="18">
        <f t="shared" si="209"/>
        <v>71</v>
      </c>
      <c r="KJ58" s="18">
        <v>4</v>
      </c>
      <c r="KK58" s="301" t="str">
        <f t="shared" ref="KK58:KK66" si="1817">IF(KE$42=0,"",IF(KF58&lt;=KM$56,CONCATENATE(TRIM(MID($C$28,(KH58-1)*3+1,3))," | ",TRIM(MID($C$28,(KH58)*3+1,(KJ58-1)*3))),""))</f>
        <v/>
      </c>
      <c r="KL58" s="301"/>
      <c r="KM58" s="302" t="str">
        <f t="shared" si="1633"/>
        <v/>
      </c>
      <c r="KN58" s="349"/>
      <c r="KO58" s="40"/>
      <c r="KP58" s="62">
        <v>2</v>
      </c>
      <c r="KQ58" s="19" t="str">
        <f t="shared" ref="KQ58:KQ66" si="1818">CONCATENATE("Outcome Index ",KP58,"  | Odd ",KP58)</f>
        <v>Outcome Index 2  | Odd 2</v>
      </c>
      <c r="KR58" s="18">
        <f t="shared" si="1330"/>
        <v>68</v>
      </c>
      <c r="KS58" s="18">
        <f t="shared" si="213"/>
        <v>71</v>
      </c>
      <c r="KT58" s="18">
        <v>4</v>
      </c>
      <c r="KU58" s="301" t="str">
        <f t="shared" ref="KU58:KU66" si="1819">IF(KO$42=0,"",IF(KP58&lt;=KW$56,CONCATENATE(TRIM(MID($C$28,(KR58-1)*3+1,3))," | ",TRIM(MID($C$28,(KR58)*3+1,(KT58-1)*3))),""))</f>
        <v/>
      </c>
      <c r="KV58" s="301"/>
      <c r="KW58" s="302" t="str">
        <f t="shared" si="1635"/>
        <v/>
      </c>
      <c r="KX58" s="349"/>
      <c r="KY58" s="40"/>
      <c r="KZ58" s="62">
        <v>2</v>
      </c>
      <c r="LA58" s="19" t="str">
        <f t="shared" ref="LA58:LA66" si="1820">CONCATENATE("Outcome Index ",KZ58,"  | Odd ",KZ58)</f>
        <v>Outcome Index 2  | Odd 2</v>
      </c>
      <c r="LB58" s="18">
        <f t="shared" si="1331"/>
        <v>68</v>
      </c>
      <c r="LC58" s="18">
        <f t="shared" si="217"/>
        <v>71</v>
      </c>
      <c r="LD58" s="18">
        <v>4</v>
      </c>
      <c r="LE58" s="301" t="str">
        <f t="shared" ref="LE58:LE66" si="1821">IF(KY$42=0,"",IF(KZ58&lt;=LG$56,CONCATENATE(TRIM(MID($C$28,(LB58-1)*3+1,3))," | ",TRIM(MID($C$28,(LB58)*3+1,(LD58-1)*3))),""))</f>
        <v/>
      </c>
      <c r="LF58" s="301"/>
      <c r="LG58" s="302" t="str">
        <f t="shared" si="1637"/>
        <v/>
      </c>
      <c r="LH58" s="349"/>
      <c r="LI58" s="40"/>
      <c r="LJ58" s="62">
        <v>2</v>
      </c>
      <c r="LK58" s="19" t="str">
        <f t="shared" ref="LK58:LK66" si="1822">CONCATENATE("Outcome Index ",LJ58,"  | Odd ",LJ58)</f>
        <v>Outcome Index 2  | Odd 2</v>
      </c>
      <c r="LL58" s="18">
        <f t="shared" si="1332"/>
        <v>68</v>
      </c>
      <c r="LM58" s="18">
        <f t="shared" si="221"/>
        <v>71</v>
      </c>
      <c r="LN58" s="18">
        <v>4</v>
      </c>
      <c r="LO58" s="301" t="str">
        <f t="shared" ref="LO58:LO66" si="1823">IF(LI$42=0,"",IF(LJ58&lt;=LQ$56,CONCATENATE(TRIM(MID($C$28,(LL58-1)*3+1,3))," | ",TRIM(MID($C$28,(LL58)*3+1,(LN58-1)*3))),""))</f>
        <v/>
      </c>
      <c r="LP58" s="301"/>
      <c r="LQ58" s="302" t="str">
        <f t="shared" si="1639"/>
        <v/>
      </c>
      <c r="LR58" s="349"/>
      <c r="LS58" s="40"/>
      <c r="LT58" s="62">
        <v>2</v>
      </c>
      <c r="LU58" s="19" t="str">
        <f t="shared" ref="LU58:LU66" si="1824">CONCATENATE("Outcome Index ",LT58,"  | Odd ",LT58)</f>
        <v>Outcome Index 2  | Odd 2</v>
      </c>
      <c r="LV58" s="18">
        <f t="shared" si="1333"/>
        <v>68</v>
      </c>
      <c r="LW58" s="18">
        <f t="shared" si="225"/>
        <v>71</v>
      </c>
      <c r="LX58" s="18">
        <v>4</v>
      </c>
      <c r="LY58" s="301" t="str">
        <f t="shared" ref="LY58:LY66" si="1825">IF(LS$42=0,"",IF(LT58&lt;=MA$56,CONCATENATE(TRIM(MID($C$28,(LV58-1)*3+1,3))," | ",TRIM(MID($C$28,(LV58)*3+1,(LX58-1)*3))),""))</f>
        <v/>
      </c>
      <c r="LZ58" s="301"/>
      <c r="MA58" s="302" t="str">
        <f t="shared" si="1641"/>
        <v/>
      </c>
      <c r="MB58" s="349"/>
      <c r="MC58" s="40"/>
      <c r="MD58" s="62">
        <v>2</v>
      </c>
      <c r="ME58" s="19" t="str">
        <f t="shared" ref="ME58:ME66" si="1826">CONCATENATE("Outcome Index ",MD58,"  | Odd ",MD58)</f>
        <v>Outcome Index 2  | Odd 2</v>
      </c>
      <c r="MF58" s="18">
        <f t="shared" si="1334"/>
        <v>68</v>
      </c>
      <c r="MG58" s="18">
        <f t="shared" si="229"/>
        <v>71</v>
      </c>
      <c r="MH58" s="18">
        <v>4</v>
      </c>
      <c r="MI58" s="301" t="str">
        <f t="shared" ref="MI58:MI66" si="1827">IF(MC$42=0,"",IF(MD58&lt;=MK$56,CONCATENATE(TRIM(MID($C$28,(MF58-1)*3+1,3))," | ",TRIM(MID($C$28,(MF58)*3+1,(MH58-1)*3))),""))</f>
        <v/>
      </c>
      <c r="MJ58" s="301"/>
      <c r="MK58" s="302" t="str">
        <f t="shared" si="1643"/>
        <v/>
      </c>
      <c r="ML58" s="349"/>
      <c r="MM58" s="40"/>
      <c r="MN58" s="62">
        <v>2</v>
      </c>
      <c r="MO58" s="19" t="str">
        <f t="shared" ref="MO58:MO66" si="1828">CONCATENATE("Outcome Index ",MN58,"  | Odd ",MN58)</f>
        <v>Outcome Index 2  | Odd 2</v>
      </c>
      <c r="MP58" s="18">
        <f t="shared" si="1335"/>
        <v>68</v>
      </c>
      <c r="MQ58" s="18">
        <f t="shared" si="233"/>
        <v>71</v>
      </c>
      <c r="MR58" s="18">
        <v>4</v>
      </c>
      <c r="MS58" s="301" t="str">
        <f t="shared" ref="MS58:MS66" si="1829">IF(MM$42=0,"",IF(MN58&lt;=MU$56,CONCATENATE(TRIM(MID($C$28,(MP58-1)*3+1,3))," | ",TRIM(MID($C$28,(MP58)*3+1,(MR58-1)*3))),""))</f>
        <v/>
      </c>
      <c r="MT58" s="301"/>
      <c r="MU58" s="302" t="str">
        <f t="shared" si="1645"/>
        <v/>
      </c>
      <c r="MV58" s="349"/>
      <c r="MW58" s="40"/>
      <c r="MX58" s="62">
        <v>2</v>
      </c>
      <c r="MY58" s="19" t="str">
        <f t="shared" ref="MY58:MY66" si="1830">CONCATENATE("Outcome Index ",MX58,"  | Odd ",MX58)</f>
        <v>Outcome Index 2  | Odd 2</v>
      </c>
      <c r="MZ58" s="18">
        <f t="shared" si="1336"/>
        <v>68</v>
      </c>
      <c r="NA58" s="18">
        <f t="shared" si="237"/>
        <v>71</v>
      </c>
      <c r="NB58" s="18">
        <v>4</v>
      </c>
      <c r="NC58" s="301" t="str">
        <f t="shared" ref="NC58:NC66" si="1831">IF(MW$42=0,"",IF(MX58&lt;=NE$56,CONCATENATE(TRIM(MID($C$28,(MZ58-1)*3+1,3))," | ",TRIM(MID($C$28,(MZ58)*3+1,(NB58-1)*3))),""))</f>
        <v/>
      </c>
      <c r="ND58" s="301"/>
      <c r="NE58" s="302" t="str">
        <f t="shared" si="1647"/>
        <v/>
      </c>
      <c r="NF58" s="349"/>
      <c r="NG58" s="40"/>
      <c r="NH58" s="62">
        <v>2</v>
      </c>
      <c r="NI58" s="19" t="str">
        <f t="shared" ref="NI58:NI66" si="1832">CONCATENATE("Outcome Index ",NH58,"  | Odd ",NH58)</f>
        <v>Outcome Index 2  | Odd 2</v>
      </c>
      <c r="NJ58" s="18">
        <f t="shared" si="1337"/>
        <v>68</v>
      </c>
      <c r="NK58" s="18">
        <f t="shared" si="241"/>
        <v>71</v>
      </c>
      <c r="NL58" s="18">
        <v>4</v>
      </c>
      <c r="NM58" s="301" t="str">
        <f t="shared" ref="NM58:NM66" si="1833">IF(NG$42=0,"",IF(NH58&lt;=NO$56,CONCATENATE(TRIM(MID($C$28,(NJ58-1)*3+1,3))," | ",TRIM(MID($C$28,(NJ58)*3+1,(NL58-1)*3))),""))</f>
        <v/>
      </c>
      <c r="NN58" s="301"/>
      <c r="NO58" s="302" t="str">
        <f t="shared" si="1649"/>
        <v/>
      </c>
      <c r="NP58" s="349"/>
      <c r="NQ58" s="40"/>
      <c r="NR58" s="62">
        <v>2</v>
      </c>
      <c r="NS58" s="19" t="str">
        <f t="shared" ref="NS58:NS66" si="1834">CONCATENATE("Outcome Index ",NR58,"  | Odd ",NR58)</f>
        <v>Outcome Index 2  | Odd 2</v>
      </c>
      <c r="NT58" s="18">
        <f t="shared" si="1338"/>
        <v>68</v>
      </c>
      <c r="NU58" s="18">
        <f t="shared" si="245"/>
        <v>71</v>
      </c>
      <c r="NV58" s="18">
        <v>4</v>
      </c>
      <c r="NW58" s="301" t="str">
        <f t="shared" ref="NW58:NW66" si="1835">IF(NQ$42=0,"",IF(NR58&lt;=NY$56,CONCATENATE(TRIM(MID($C$28,(NT58-1)*3+1,3))," | ",TRIM(MID($C$28,(NT58)*3+1,(NV58-1)*3))),""))</f>
        <v/>
      </c>
      <c r="NX58" s="301"/>
      <c r="NY58" s="302" t="str">
        <f t="shared" si="1651"/>
        <v/>
      </c>
      <c r="NZ58" s="349"/>
      <c r="OA58" s="40"/>
      <c r="OB58" s="62">
        <v>2</v>
      </c>
      <c r="OC58" s="19" t="str">
        <f t="shared" ref="OC58:OC66" si="1836">CONCATENATE("Outcome Index ",OB58,"  | Odd ",OB58)</f>
        <v>Outcome Index 2  | Odd 2</v>
      </c>
      <c r="OD58" s="18">
        <f t="shared" si="1339"/>
        <v>68</v>
      </c>
      <c r="OE58" s="18">
        <f t="shared" si="249"/>
        <v>71</v>
      </c>
      <c r="OF58" s="18">
        <v>4</v>
      </c>
      <c r="OG58" s="301" t="str">
        <f t="shared" ref="OG58:OG66" si="1837">IF(OA$42=0,"",IF(OB58&lt;=OI$56,CONCATENATE(TRIM(MID($C$28,(OD58-1)*3+1,3))," | ",TRIM(MID($C$28,(OD58)*3+1,(OF58-1)*3))),""))</f>
        <v/>
      </c>
      <c r="OH58" s="301"/>
      <c r="OI58" s="302" t="str">
        <f t="shared" si="1653"/>
        <v/>
      </c>
      <c r="OJ58" s="349"/>
      <c r="OK58" s="40"/>
      <c r="OL58" s="62">
        <v>2</v>
      </c>
      <c r="OM58" s="19" t="str">
        <f t="shared" ref="OM58:OM66" si="1838">CONCATENATE("Outcome Index ",OL58,"  | Odd ",OL58)</f>
        <v>Outcome Index 2  | Odd 2</v>
      </c>
      <c r="ON58" s="18">
        <f t="shared" si="1340"/>
        <v>68</v>
      </c>
      <c r="OO58" s="18">
        <f t="shared" si="253"/>
        <v>71</v>
      </c>
      <c r="OP58" s="18">
        <v>4</v>
      </c>
      <c r="OQ58" s="301" t="str">
        <f t="shared" ref="OQ58:OQ66" si="1839">IF(OK$42=0,"",IF(OL58&lt;=OS$56,CONCATENATE(TRIM(MID($C$28,(ON58-1)*3+1,3))," | ",TRIM(MID($C$28,(ON58)*3+1,(OP58-1)*3))),""))</f>
        <v/>
      </c>
      <c r="OR58" s="301"/>
      <c r="OS58" s="302" t="str">
        <f t="shared" si="1655"/>
        <v/>
      </c>
      <c r="OT58" s="349"/>
      <c r="OU58" s="40"/>
      <c r="OV58" s="62">
        <v>2</v>
      </c>
      <c r="OW58" s="19" t="str">
        <f t="shared" ref="OW58:OW66" si="1840">CONCATENATE("Outcome Index ",OV58,"  | Odd ",OV58)</f>
        <v>Outcome Index 2  | Odd 2</v>
      </c>
      <c r="OX58" s="18">
        <f t="shared" si="1341"/>
        <v>68</v>
      </c>
      <c r="OY58" s="18">
        <f t="shared" si="257"/>
        <v>71</v>
      </c>
      <c r="OZ58" s="18">
        <v>4</v>
      </c>
      <c r="PA58" s="301" t="str">
        <f t="shared" ref="PA58:PA66" si="1841">IF(OU$42=0,"",IF(OV58&lt;=PC$56,CONCATENATE(TRIM(MID($C$28,(OX58-1)*3+1,3))," | ",TRIM(MID($C$28,(OX58)*3+1,(OZ58-1)*3))),""))</f>
        <v/>
      </c>
      <c r="PB58" s="301"/>
      <c r="PC58" s="302" t="str">
        <f t="shared" si="1657"/>
        <v/>
      </c>
      <c r="PD58" s="349"/>
      <c r="PE58" s="40"/>
      <c r="PF58" s="62">
        <v>2</v>
      </c>
      <c r="PG58" s="19" t="str">
        <f t="shared" ref="PG58:PG66" si="1842">CONCATENATE("Outcome Index ",PF58,"  | Odd ",PF58)</f>
        <v>Outcome Index 2  | Odd 2</v>
      </c>
      <c r="PH58" s="18">
        <f t="shared" si="1342"/>
        <v>68</v>
      </c>
      <c r="PI58" s="18">
        <f t="shared" si="261"/>
        <v>71</v>
      </c>
      <c r="PJ58" s="18">
        <v>4</v>
      </c>
      <c r="PK58" s="301" t="str">
        <f t="shared" ref="PK58:PK66" si="1843">IF(PE$42=0,"",IF(PF58&lt;=PM$56,CONCATENATE(TRIM(MID($C$28,(PH58-1)*3+1,3))," | ",TRIM(MID($C$28,(PH58)*3+1,(PJ58-1)*3))),""))</f>
        <v/>
      </c>
      <c r="PL58" s="301"/>
      <c r="PM58" s="302" t="str">
        <f t="shared" si="1659"/>
        <v/>
      </c>
      <c r="PN58" s="349"/>
      <c r="PO58" s="40"/>
      <c r="PP58" s="62">
        <v>2</v>
      </c>
      <c r="PQ58" s="19" t="str">
        <f t="shared" ref="PQ58:PQ66" si="1844">CONCATENATE("Outcome Index ",PP58,"  | Odd ",PP58)</f>
        <v>Outcome Index 2  | Odd 2</v>
      </c>
      <c r="PR58" s="18">
        <f t="shared" si="1343"/>
        <v>68</v>
      </c>
      <c r="PS58" s="18">
        <f t="shared" si="265"/>
        <v>71</v>
      </c>
      <c r="PT58" s="18">
        <v>4</v>
      </c>
      <c r="PU58" s="301" t="str">
        <f t="shared" ref="PU58:PU66" si="1845">IF(PO$42=0,"",IF(PP58&lt;=PW$56,CONCATENATE(TRIM(MID($C$28,(PR58-1)*3+1,3))," | ",TRIM(MID($C$28,(PR58)*3+1,(PT58-1)*3))),""))</f>
        <v/>
      </c>
      <c r="PV58" s="301"/>
      <c r="PW58" s="302" t="str">
        <f t="shared" si="1661"/>
        <v/>
      </c>
      <c r="PX58" s="349"/>
      <c r="PY58" s="40"/>
      <c r="PZ58" s="62">
        <v>2</v>
      </c>
      <c r="QA58" s="19" t="str">
        <f t="shared" ref="QA58:QA66" si="1846">CONCATENATE("Outcome Index ",PZ58,"  | Odd ",PZ58)</f>
        <v>Outcome Index 2  | Odd 2</v>
      </c>
      <c r="QB58" s="18">
        <f t="shared" si="1344"/>
        <v>68</v>
      </c>
      <c r="QC58" s="18">
        <f t="shared" si="269"/>
        <v>71</v>
      </c>
      <c r="QD58" s="18">
        <v>4</v>
      </c>
      <c r="QE58" s="301" t="str">
        <f t="shared" ref="QE58:QE66" si="1847">IF(PY$42=0,"",IF(PZ58&lt;=QG$56,CONCATENATE(TRIM(MID($C$28,(QB58-1)*3+1,3))," | ",TRIM(MID($C$28,(QB58)*3+1,(QD58-1)*3))),""))</f>
        <v/>
      </c>
      <c r="QF58" s="301"/>
      <c r="QG58" s="302" t="str">
        <f t="shared" si="1663"/>
        <v/>
      </c>
      <c r="QH58" s="349"/>
      <c r="QI58" s="40"/>
      <c r="QJ58" s="62">
        <v>2</v>
      </c>
      <c r="QK58" s="19" t="str">
        <f t="shared" ref="QK58:QK66" si="1848">CONCATENATE("Outcome Index ",QJ58,"  | Odd ",QJ58)</f>
        <v>Outcome Index 2  | Odd 2</v>
      </c>
      <c r="QL58" s="18">
        <f t="shared" si="1345"/>
        <v>68</v>
      </c>
      <c r="QM58" s="18">
        <f t="shared" si="273"/>
        <v>71</v>
      </c>
      <c r="QN58" s="18">
        <v>4</v>
      </c>
      <c r="QO58" s="301" t="str">
        <f t="shared" ref="QO58:QO66" si="1849">IF(QI$42=0,"",IF(QJ58&lt;=QQ$56,CONCATENATE(TRIM(MID($C$28,(QL58-1)*3+1,3))," | ",TRIM(MID($C$28,(QL58)*3+1,(QN58-1)*3))),""))</f>
        <v/>
      </c>
      <c r="QP58" s="301"/>
      <c r="QQ58" s="302" t="str">
        <f t="shared" si="1665"/>
        <v/>
      </c>
      <c r="QR58" s="349"/>
      <c r="QS58" s="40"/>
      <c r="QT58" s="62">
        <v>2</v>
      </c>
      <c r="QU58" s="19" t="str">
        <f t="shared" ref="QU58:QU66" si="1850">CONCATENATE("Outcome Index ",QT58,"  | Odd ",QT58)</f>
        <v>Outcome Index 2  | Odd 2</v>
      </c>
      <c r="QV58" s="18">
        <f t="shared" si="1346"/>
        <v>68</v>
      </c>
      <c r="QW58" s="18">
        <f t="shared" si="277"/>
        <v>71</v>
      </c>
      <c r="QX58" s="18">
        <v>4</v>
      </c>
      <c r="QY58" s="301" t="str">
        <f t="shared" ref="QY58:QY66" si="1851">IF(QS$42=0,"",IF(QT58&lt;=RA$56,CONCATENATE(TRIM(MID($C$28,(QV58-1)*3+1,3))," | ",TRIM(MID($C$28,(QV58)*3+1,(QX58-1)*3))),""))</f>
        <v/>
      </c>
      <c r="QZ58" s="301"/>
      <c r="RA58" s="302" t="str">
        <f t="shared" si="1667"/>
        <v/>
      </c>
      <c r="RB58" s="349"/>
      <c r="RC58" s="40"/>
      <c r="RD58" s="62">
        <v>2</v>
      </c>
      <c r="RE58" s="19" t="str">
        <f t="shared" ref="RE58:RE66" si="1852">CONCATENATE("Outcome Index ",RD58,"  | Odd ",RD58)</f>
        <v>Outcome Index 2  | Odd 2</v>
      </c>
      <c r="RF58" s="18">
        <f t="shared" si="1347"/>
        <v>68</v>
      </c>
      <c r="RG58" s="18">
        <f t="shared" si="281"/>
        <v>71</v>
      </c>
      <c r="RH58" s="18">
        <v>4</v>
      </c>
      <c r="RI58" s="301" t="str">
        <f t="shared" ref="RI58:RI66" si="1853">IF(RC$42=0,"",IF(RD58&lt;=RK$56,CONCATENATE(TRIM(MID($C$28,(RF58-1)*3+1,3))," | ",TRIM(MID($C$28,(RF58)*3+1,(RH58-1)*3))),""))</f>
        <v/>
      </c>
      <c r="RJ58" s="301"/>
      <c r="RK58" s="302" t="str">
        <f t="shared" si="1669"/>
        <v/>
      </c>
      <c r="RL58" s="349"/>
      <c r="RM58" s="40"/>
      <c r="RN58" s="62">
        <v>2</v>
      </c>
      <c r="RO58" s="19" t="str">
        <f t="shared" ref="RO58:RO66" si="1854">CONCATENATE("Outcome Index ",RN58,"  | Odd ",RN58)</f>
        <v>Outcome Index 2  | Odd 2</v>
      </c>
      <c r="RP58" s="18">
        <f t="shared" si="1348"/>
        <v>68</v>
      </c>
      <c r="RQ58" s="18">
        <f t="shared" si="285"/>
        <v>71</v>
      </c>
      <c r="RR58" s="18">
        <v>4</v>
      </c>
      <c r="RS58" s="301" t="str">
        <f t="shared" ref="RS58:RS66" si="1855">IF(RM$42=0,"",IF(RN58&lt;=RU$56,CONCATENATE(TRIM(MID($C$28,(RP58-1)*3+1,3))," | ",TRIM(MID($C$28,(RP58)*3+1,(RR58-1)*3))),""))</f>
        <v/>
      </c>
      <c r="RT58" s="301"/>
      <c r="RU58" s="302" t="str">
        <f t="shared" si="1671"/>
        <v/>
      </c>
      <c r="RV58" s="349"/>
      <c r="RW58" s="40"/>
      <c r="RX58" s="62">
        <v>2</v>
      </c>
      <c r="RY58" s="19" t="str">
        <f t="shared" ref="RY58:RY66" si="1856">CONCATENATE("Outcome Index ",RX58,"  | Odd ",RX58)</f>
        <v>Outcome Index 2  | Odd 2</v>
      </c>
      <c r="RZ58" s="18">
        <f t="shared" si="1349"/>
        <v>68</v>
      </c>
      <c r="SA58" s="18">
        <f t="shared" si="289"/>
        <v>71</v>
      </c>
      <c r="SB58" s="18">
        <v>4</v>
      </c>
      <c r="SC58" s="301" t="str">
        <f t="shared" ref="SC58:SC66" si="1857">IF(RW$42=0,"",IF(RX58&lt;=SE$56,CONCATENATE(TRIM(MID($C$28,(RZ58-1)*3+1,3))," | ",TRIM(MID($C$28,(RZ58)*3+1,(SB58-1)*3))),""))</f>
        <v/>
      </c>
      <c r="SD58" s="301"/>
      <c r="SE58" s="302" t="str">
        <f t="shared" si="1673"/>
        <v/>
      </c>
      <c r="SF58" s="349"/>
      <c r="SG58" s="40"/>
      <c r="SH58" s="62">
        <v>2</v>
      </c>
      <c r="SI58" s="19" t="str">
        <f t="shared" ref="SI58:SI66" si="1858">CONCATENATE("Outcome Index ",SH58,"  | Odd ",SH58)</f>
        <v>Outcome Index 2  | Odd 2</v>
      </c>
      <c r="SJ58" s="18">
        <f t="shared" si="1350"/>
        <v>68</v>
      </c>
      <c r="SK58" s="18">
        <f t="shared" si="293"/>
        <v>71</v>
      </c>
      <c r="SL58" s="18">
        <v>4</v>
      </c>
      <c r="SM58" s="301" t="str">
        <f t="shared" ref="SM58:SM66" si="1859">IF(SG$42=0,"",IF(SH58&lt;=SO$56,CONCATENATE(TRIM(MID($C$28,(SJ58-1)*3+1,3))," | ",TRIM(MID($C$28,(SJ58)*3+1,(SL58-1)*3))),""))</f>
        <v/>
      </c>
      <c r="SN58" s="301"/>
      <c r="SO58" s="302" t="str">
        <f t="shared" si="1675"/>
        <v/>
      </c>
      <c r="SP58" s="349"/>
      <c r="SQ58" s="40"/>
      <c r="SR58" s="62">
        <v>2</v>
      </c>
      <c r="SS58" s="19" t="str">
        <f t="shared" ref="SS58:SS66" si="1860">CONCATENATE("Outcome Index ",SR58,"  | Odd ",SR58)</f>
        <v>Outcome Index 2  | Odd 2</v>
      </c>
      <c r="ST58" s="18">
        <f t="shared" si="1351"/>
        <v>68</v>
      </c>
      <c r="SU58" s="18">
        <f t="shared" si="297"/>
        <v>71</v>
      </c>
      <c r="SV58" s="18">
        <v>4</v>
      </c>
      <c r="SW58" s="301" t="str">
        <f t="shared" ref="SW58:SW66" si="1861">IF(SQ$42=0,"",IF(SR58&lt;=SY$56,CONCATENATE(TRIM(MID($C$28,(ST58-1)*3+1,3))," | ",TRIM(MID($C$28,(ST58)*3+1,(SV58-1)*3))),""))</f>
        <v/>
      </c>
      <c r="SX58" s="301"/>
      <c r="SY58" s="302" t="str">
        <f t="shared" si="1677"/>
        <v/>
      </c>
      <c r="SZ58" s="349"/>
      <c r="TA58" s="40"/>
      <c r="TB58" s="62">
        <v>2</v>
      </c>
      <c r="TC58" s="19" t="str">
        <f t="shared" ref="TC58:TC66" si="1862">CONCATENATE("Outcome Index ",TB58,"  | Odd ",TB58)</f>
        <v>Outcome Index 2  | Odd 2</v>
      </c>
      <c r="TD58" s="18">
        <f t="shared" si="1352"/>
        <v>68</v>
      </c>
      <c r="TE58" s="18">
        <f t="shared" si="301"/>
        <v>71</v>
      </c>
      <c r="TF58" s="18">
        <v>4</v>
      </c>
      <c r="TG58" s="301" t="str">
        <f t="shared" ref="TG58:TG66" si="1863">IF(TA$42=0,"",IF(TB58&lt;=TI$56,CONCATENATE(TRIM(MID($C$28,(TD58-1)*3+1,3))," | ",TRIM(MID($C$28,(TD58)*3+1,(TF58-1)*3))),""))</f>
        <v/>
      </c>
      <c r="TH58" s="301"/>
      <c r="TI58" s="302" t="str">
        <f t="shared" si="1679"/>
        <v/>
      </c>
      <c r="TJ58" s="349"/>
      <c r="TK58" s="40"/>
      <c r="TL58" s="62">
        <v>2</v>
      </c>
      <c r="TM58" s="19" t="str">
        <f t="shared" ref="TM58:TM66" si="1864">CONCATENATE("Outcome Index ",TL58,"  | Odd ",TL58)</f>
        <v>Outcome Index 2  | Odd 2</v>
      </c>
      <c r="TN58" s="18">
        <f t="shared" si="1353"/>
        <v>68</v>
      </c>
      <c r="TO58" s="18">
        <f t="shared" si="305"/>
        <v>71</v>
      </c>
      <c r="TP58" s="18">
        <v>4</v>
      </c>
      <c r="TQ58" s="301" t="str">
        <f t="shared" ref="TQ58:TQ66" si="1865">IF(TK$42=0,"",IF(TL58&lt;=TS$56,CONCATENATE(TRIM(MID($C$28,(TN58-1)*3+1,3))," | ",TRIM(MID($C$28,(TN58)*3+1,(TP58-1)*3))),""))</f>
        <v/>
      </c>
      <c r="TR58" s="301"/>
      <c r="TS58" s="302" t="str">
        <f t="shared" si="1681"/>
        <v/>
      </c>
      <c r="TT58" s="349"/>
      <c r="TU58" s="40"/>
      <c r="TV58" s="62">
        <v>2</v>
      </c>
      <c r="TW58" s="19" t="str">
        <f t="shared" ref="TW58:TW66" si="1866">CONCATENATE("Outcome Index ",TV58,"  | Odd ",TV58)</f>
        <v>Outcome Index 2  | Odd 2</v>
      </c>
      <c r="TX58" s="18">
        <f t="shared" si="1354"/>
        <v>68</v>
      </c>
      <c r="TY58" s="18">
        <f t="shared" si="309"/>
        <v>71</v>
      </c>
      <c r="TZ58" s="18">
        <v>4</v>
      </c>
      <c r="UA58" s="301" t="str">
        <f t="shared" ref="UA58:UA66" si="1867">IF(TU$42=0,"",IF(TV58&lt;=UC$56,CONCATENATE(TRIM(MID($C$28,(TX58-1)*3+1,3))," | ",TRIM(MID($C$28,(TX58)*3+1,(TZ58-1)*3))),""))</f>
        <v/>
      </c>
      <c r="UB58" s="301"/>
      <c r="UC58" s="302" t="str">
        <f t="shared" si="1683"/>
        <v/>
      </c>
      <c r="UD58" s="349"/>
      <c r="UE58" s="40"/>
      <c r="UF58" s="62">
        <v>2</v>
      </c>
      <c r="UG58" s="19" t="str">
        <f t="shared" ref="UG58:UG66" si="1868">CONCATENATE("Outcome Index ",UF58,"  | Odd ",UF58)</f>
        <v>Outcome Index 2  | Odd 2</v>
      </c>
      <c r="UH58" s="18">
        <f t="shared" si="1355"/>
        <v>68</v>
      </c>
      <c r="UI58" s="18">
        <f t="shared" si="313"/>
        <v>71</v>
      </c>
      <c r="UJ58" s="18">
        <v>4</v>
      </c>
      <c r="UK58" s="301" t="str">
        <f t="shared" ref="UK58:UK66" si="1869">IF(UE$42=0,"",IF(UF58&lt;=UM$56,CONCATENATE(TRIM(MID($C$28,(UH58-1)*3+1,3))," | ",TRIM(MID($C$28,(UH58)*3+1,(UJ58-1)*3))),""))</f>
        <v/>
      </c>
      <c r="UL58" s="301"/>
      <c r="UM58" s="302" t="str">
        <f t="shared" si="1685"/>
        <v/>
      </c>
      <c r="UN58" s="349"/>
      <c r="UO58" s="40"/>
      <c r="UP58" s="62">
        <v>2</v>
      </c>
      <c r="UQ58" s="19" t="str">
        <f t="shared" ref="UQ58:UQ66" si="1870">CONCATENATE("Outcome Index ",UP58,"  | Odd ",UP58)</f>
        <v>Outcome Index 2  | Odd 2</v>
      </c>
      <c r="UR58" s="18">
        <f t="shared" si="1356"/>
        <v>68</v>
      </c>
      <c r="US58" s="18">
        <f t="shared" si="317"/>
        <v>71</v>
      </c>
      <c r="UT58" s="18">
        <v>4</v>
      </c>
      <c r="UU58" s="301" t="str">
        <f t="shared" ref="UU58:UU66" si="1871">IF(UO$42=0,"",IF(UP58&lt;=UW$56,CONCATENATE(TRIM(MID($C$28,(UR58-1)*3+1,3))," | ",TRIM(MID($C$28,(UR58)*3+1,(UT58-1)*3))),""))</f>
        <v/>
      </c>
      <c r="UV58" s="301"/>
      <c r="UW58" s="302" t="str">
        <f t="shared" si="1687"/>
        <v/>
      </c>
      <c r="UX58" s="349"/>
      <c r="UY58" s="40"/>
      <c r="UZ58" s="62">
        <v>2</v>
      </c>
      <c r="VA58" s="19" t="str">
        <f t="shared" ref="VA58:VA66" si="1872">CONCATENATE("Outcome Index ",UZ58,"  | Odd ",UZ58)</f>
        <v>Outcome Index 2  | Odd 2</v>
      </c>
      <c r="VB58" s="18">
        <f t="shared" si="1357"/>
        <v>68</v>
      </c>
      <c r="VC58" s="18">
        <f t="shared" si="321"/>
        <v>71</v>
      </c>
      <c r="VD58" s="18">
        <v>4</v>
      </c>
      <c r="VE58" s="301" t="str">
        <f t="shared" ref="VE58:VE66" si="1873">IF(UY$42=0,"",IF(UZ58&lt;=VG$56,CONCATENATE(TRIM(MID($C$28,(VB58-1)*3+1,3))," | ",TRIM(MID($C$28,(VB58)*3+1,(VD58-1)*3))),""))</f>
        <v/>
      </c>
      <c r="VF58" s="301"/>
      <c r="VG58" s="302" t="str">
        <f t="shared" si="1689"/>
        <v/>
      </c>
      <c r="VH58" s="349"/>
      <c r="VI58" s="40"/>
      <c r="VJ58" s="62">
        <v>2</v>
      </c>
      <c r="VK58" s="19" t="str">
        <f t="shared" ref="VK58:VK66" si="1874">CONCATENATE("Outcome Index ",VJ58,"  | Odd ",VJ58)</f>
        <v>Outcome Index 2  | Odd 2</v>
      </c>
      <c r="VL58" s="18">
        <f t="shared" si="1358"/>
        <v>68</v>
      </c>
      <c r="VM58" s="18">
        <f t="shared" si="325"/>
        <v>71</v>
      </c>
      <c r="VN58" s="18">
        <v>4</v>
      </c>
      <c r="VO58" s="301" t="str">
        <f t="shared" ref="VO58:VO66" si="1875">IF(VI$42=0,"",IF(VJ58&lt;=VQ$56,CONCATENATE(TRIM(MID($C$28,(VL58-1)*3+1,3))," | ",TRIM(MID($C$28,(VL58)*3+1,(VN58-1)*3))),""))</f>
        <v/>
      </c>
      <c r="VP58" s="301"/>
      <c r="VQ58" s="302" t="str">
        <f t="shared" si="1691"/>
        <v/>
      </c>
      <c r="VR58" s="349"/>
      <c r="VS58" s="40"/>
      <c r="VT58" s="62">
        <v>2</v>
      </c>
      <c r="VU58" s="19" t="str">
        <f t="shared" ref="VU58:VU66" si="1876">CONCATENATE("Outcome Index ",VT58,"  | Odd ",VT58)</f>
        <v>Outcome Index 2  | Odd 2</v>
      </c>
      <c r="VV58" s="18">
        <f t="shared" si="1359"/>
        <v>68</v>
      </c>
      <c r="VW58" s="18">
        <f t="shared" si="329"/>
        <v>71</v>
      </c>
      <c r="VX58" s="18">
        <v>4</v>
      </c>
      <c r="VY58" s="301" t="str">
        <f t="shared" ref="VY58:VY66" si="1877">IF(VS$42=0,"",IF(VT58&lt;=WA$56,CONCATENATE(TRIM(MID($C$28,(VV58-1)*3+1,3))," | ",TRIM(MID($C$28,(VV58)*3+1,(VX58-1)*3))),""))</f>
        <v/>
      </c>
      <c r="VZ58" s="301"/>
      <c r="WA58" s="302" t="str">
        <f t="shared" si="1693"/>
        <v/>
      </c>
      <c r="WB58" s="349"/>
      <c r="WC58" s="40"/>
      <c r="WD58" s="62">
        <v>2</v>
      </c>
      <c r="WE58" s="19" t="str">
        <f t="shared" ref="WE58:WE66" si="1878">CONCATENATE("Outcome Index ",WD58,"  | Odd ",WD58)</f>
        <v>Outcome Index 2  | Odd 2</v>
      </c>
      <c r="WF58" s="18">
        <f t="shared" si="1360"/>
        <v>68</v>
      </c>
      <c r="WG58" s="18">
        <f t="shared" si="333"/>
        <v>71</v>
      </c>
      <c r="WH58" s="18">
        <v>4</v>
      </c>
      <c r="WI58" s="301" t="str">
        <f t="shared" ref="WI58:WI66" si="1879">IF(WC$42=0,"",IF(WD58&lt;=WK$56,CONCATENATE(TRIM(MID($C$28,(WF58-1)*3+1,3))," | ",TRIM(MID($C$28,(WF58)*3+1,(WH58-1)*3))),""))</f>
        <v/>
      </c>
      <c r="WJ58" s="301"/>
      <c r="WK58" s="302" t="str">
        <f t="shared" si="1695"/>
        <v/>
      </c>
      <c r="WL58" s="349"/>
      <c r="WM58" s="40"/>
      <c r="WN58" s="62">
        <v>2</v>
      </c>
      <c r="WO58" s="19" t="str">
        <f t="shared" ref="WO58:WO66" si="1880">CONCATENATE("Outcome Index ",WN58,"  | Odd ",WN58)</f>
        <v>Outcome Index 2  | Odd 2</v>
      </c>
      <c r="WP58" s="18">
        <f t="shared" si="1361"/>
        <v>68</v>
      </c>
      <c r="WQ58" s="18">
        <f t="shared" si="337"/>
        <v>71</v>
      </c>
      <c r="WR58" s="18">
        <v>4</v>
      </c>
      <c r="WS58" s="301" t="str">
        <f t="shared" ref="WS58:WS66" si="1881">IF(WM$42=0,"",IF(WN58&lt;=WU$56,CONCATENATE(TRIM(MID($C$28,(WP58-1)*3+1,3))," | ",TRIM(MID($C$28,(WP58)*3+1,(WR58-1)*3))),""))</f>
        <v/>
      </c>
      <c r="WT58" s="301"/>
      <c r="WU58" s="302" t="str">
        <f t="shared" si="1697"/>
        <v/>
      </c>
      <c r="WV58" s="349"/>
      <c r="WW58" s="40"/>
      <c r="WX58" s="62">
        <v>2</v>
      </c>
      <c r="WY58" s="19" t="str">
        <f t="shared" ref="WY58:WY66" si="1882">CONCATENATE("Outcome Index ",WX58,"  | Odd ",WX58)</f>
        <v>Outcome Index 2  | Odd 2</v>
      </c>
      <c r="WZ58" s="18">
        <f t="shared" si="1362"/>
        <v>68</v>
      </c>
      <c r="XA58" s="18">
        <f t="shared" si="341"/>
        <v>71</v>
      </c>
      <c r="XB58" s="18">
        <v>4</v>
      </c>
      <c r="XC58" s="301" t="str">
        <f t="shared" ref="XC58:XC66" si="1883">IF(WW$42=0,"",IF(WX58&lt;=XE$56,CONCATENATE(TRIM(MID($C$28,(WZ58-1)*3+1,3))," | ",TRIM(MID($C$28,(WZ58)*3+1,(XB58-1)*3))),""))</f>
        <v/>
      </c>
      <c r="XD58" s="301"/>
      <c r="XE58" s="302" t="str">
        <f t="shared" si="1699"/>
        <v/>
      </c>
      <c r="XF58" s="349"/>
      <c r="XG58" s="40"/>
      <c r="XH58" s="62">
        <v>2</v>
      </c>
      <c r="XI58" s="19" t="str">
        <f t="shared" ref="XI58:XI66" si="1884">CONCATENATE("Outcome Index ",XH58,"  | Odd ",XH58)</f>
        <v>Outcome Index 2  | Odd 2</v>
      </c>
      <c r="XJ58" s="18">
        <f t="shared" si="1363"/>
        <v>68</v>
      </c>
      <c r="XK58" s="18">
        <f t="shared" si="345"/>
        <v>71</v>
      </c>
      <c r="XL58" s="18">
        <v>4</v>
      </c>
      <c r="XM58" s="301" t="str">
        <f t="shared" ref="XM58:XM66" si="1885">IF(XG$42=0,"",IF(XH58&lt;=XO$56,CONCATENATE(TRIM(MID($C$28,(XJ58-1)*3+1,3))," | ",TRIM(MID($C$28,(XJ58)*3+1,(XL58-1)*3))),""))</f>
        <v/>
      </c>
      <c r="XN58" s="301"/>
      <c r="XO58" s="302" t="str">
        <f t="shared" si="1701"/>
        <v/>
      </c>
      <c r="XP58" s="349"/>
      <c r="XQ58" s="40"/>
      <c r="XR58" s="62">
        <v>2</v>
      </c>
      <c r="XS58" s="19" t="str">
        <f t="shared" ref="XS58:XS66" si="1886">CONCATENATE("Outcome Index ",XR58,"  | Odd ",XR58)</f>
        <v>Outcome Index 2  | Odd 2</v>
      </c>
      <c r="XT58" s="18">
        <f t="shared" si="1364"/>
        <v>68</v>
      </c>
      <c r="XU58" s="18">
        <f t="shared" si="349"/>
        <v>71</v>
      </c>
      <c r="XV58" s="18">
        <v>4</v>
      </c>
      <c r="XW58" s="301" t="str">
        <f t="shared" ref="XW58:XW66" si="1887">IF(XQ$42=0,"",IF(XR58&lt;=XY$56,CONCATENATE(TRIM(MID($C$28,(XT58-1)*3+1,3))," | ",TRIM(MID($C$28,(XT58)*3+1,(XV58-1)*3))),""))</f>
        <v/>
      </c>
      <c r="XX58" s="301"/>
      <c r="XY58" s="302" t="str">
        <f t="shared" si="1703"/>
        <v/>
      </c>
      <c r="XZ58" s="349"/>
      <c r="YA58" s="40"/>
      <c r="YB58" s="62">
        <v>2</v>
      </c>
      <c r="YC58" s="19" t="str">
        <f t="shared" ref="YC58:YC66" si="1888">CONCATENATE("Outcome Index ",YB58,"  | Odd ",YB58)</f>
        <v>Outcome Index 2  | Odd 2</v>
      </c>
      <c r="YD58" s="18">
        <f t="shared" si="1365"/>
        <v>68</v>
      </c>
      <c r="YE58" s="18">
        <f t="shared" si="353"/>
        <v>71</v>
      </c>
      <c r="YF58" s="18">
        <v>4</v>
      </c>
      <c r="YG58" s="301" t="str">
        <f t="shared" ref="YG58:YG66" si="1889">IF(YA$42=0,"",IF(YB58&lt;=YI$56,CONCATENATE(TRIM(MID($C$28,(YD58-1)*3+1,3))," | ",TRIM(MID($C$28,(YD58)*3+1,(YF58-1)*3))),""))</f>
        <v/>
      </c>
      <c r="YH58" s="301"/>
      <c r="YI58" s="302" t="str">
        <f t="shared" si="1705"/>
        <v/>
      </c>
      <c r="YJ58" s="349"/>
      <c r="YK58" s="40"/>
      <c r="YL58" s="62">
        <v>2</v>
      </c>
      <c r="YM58" s="19" t="str">
        <f t="shared" ref="YM58:YM66" si="1890">CONCATENATE("Outcome Index ",YL58,"  | Odd ",YL58)</f>
        <v>Outcome Index 2  | Odd 2</v>
      </c>
      <c r="YN58" s="18">
        <f t="shared" si="1366"/>
        <v>68</v>
      </c>
      <c r="YO58" s="18">
        <f t="shared" si="357"/>
        <v>71</v>
      </c>
      <c r="YP58" s="18">
        <v>4</v>
      </c>
      <c r="YQ58" s="301" t="str">
        <f t="shared" ref="YQ58:YQ66" si="1891">IF(YK$42=0,"",IF(YL58&lt;=YS$56,CONCATENATE(TRIM(MID($C$28,(YN58-1)*3+1,3))," | ",TRIM(MID($C$28,(YN58)*3+1,(YP58-1)*3))),""))</f>
        <v/>
      </c>
      <c r="YR58" s="301"/>
      <c r="YS58" s="302" t="str">
        <f t="shared" si="1707"/>
        <v/>
      </c>
      <c r="YT58" s="349"/>
      <c r="YU58" s="40"/>
      <c r="YV58" s="62">
        <v>2</v>
      </c>
      <c r="YW58" s="19" t="str">
        <f t="shared" ref="YW58:YW66" si="1892">CONCATENATE("Outcome Index ",YV58,"  | Odd ",YV58)</f>
        <v>Outcome Index 2  | Odd 2</v>
      </c>
      <c r="YX58" s="18">
        <f t="shared" si="1367"/>
        <v>68</v>
      </c>
      <c r="YY58" s="18">
        <f t="shared" si="361"/>
        <v>71</v>
      </c>
      <c r="YZ58" s="18">
        <v>4</v>
      </c>
      <c r="ZA58" s="301" t="str">
        <f t="shared" ref="ZA58:ZA66" si="1893">IF(YU$42=0,"",IF(YV58&lt;=ZC$56,CONCATENATE(TRIM(MID($C$28,(YX58-1)*3+1,3))," | ",TRIM(MID($C$28,(YX58)*3+1,(YZ58-1)*3))),""))</f>
        <v/>
      </c>
      <c r="ZB58" s="301"/>
      <c r="ZC58" s="302" t="str">
        <f t="shared" si="1709"/>
        <v/>
      </c>
      <c r="ZD58" s="349"/>
      <c r="ZE58" s="40"/>
      <c r="ZF58" s="62">
        <v>2</v>
      </c>
      <c r="ZG58" s="19" t="str">
        <f t="shared" ref="ZG58:ZG66" si="1894">CONCATENATE("Outcome Index ",ZF58,"  | Odd ",ZF58)</f>
        <v>Outcome Index 2  | Odd 2</v>
      </c>
      <c r="ZH58" s="18">
        <f t="shared" si="1368"/>
        <v>68</v>
      </c>
      <c r="ZI58" s="18">
        <f t="shared" si="365"/>
        <v>71</v>
      </c>
      <c r="ZJ58" s="18">
        <v>4</v>
      </c>
      <c r="ZK58" s="301" t="str">
        <f t="shared" ref="ZK58:ZK66" si="1895">IF(ZE$42=0,"",IF(ZF58&lt;=ZM$56,CONCATENATE(TRIM(MID($C$28,(ZH58-1)*3+1,3))," | ",TRIM(MID($C$28,(ZH58)*3+1,(ZJ58-1)*3))),""))</f>
        <v/>
      </c>
      <c r="ZL58" s="301"/>
      <c r="ZM58" s="302" t="str">
        <f t="shared" si="1711"/>
        <v/>
      </c>
      <c r="ZN58" s="349"/>
      <c r="ZO58" s="40"/>
      <c r="ZP58" s="62">
        <v>2</v>
      </c>
      <c r="ZQ58" s="19" t="str">
        <f t="shared" ref="ZQ58:ZQ66" si="1896">CONCATENATE("Outcome Index ",ZP58,"  | Odd ",ZP58)</f>
        <v>Outcome Index 2  | Odd 2</v>
      </c>
      <c r="ZR58" s="18">
        <f t="shared" si="1369"/>
        <v>68</v>
      </c>
      <c r="ZS58" s="18">
        <f t="shared" si="369"/>
        <v>71</v>
      </c>
      <c r="ZT58" s="18">
        <v>4</v>
      </c>
      <c r="ZU58" s="301" t="str">
        <f t="shared" ref="ZU58:ZU66" si="1897">IF(ZO$42=0,"",IF(ZP58&lt;=ZW$56,CONCATENATE(TRIM(MID($C$28,(ZR58-1)*3+1,3))," | ",TRIM(MID($C$28,(ZR58)*3+1,(ZT58-1)*3))),""))</f>
        <v/>
      </c>
      <c r="ZV58" s="301"/>
      <c r="ZW58" s="302" t="str">
        <f t="shared" si="1713"/>
        <v/>
      </c>
      <c r="ZX58" s="349"/>
      <c r="ZY58" s="40"/>
      <c r="ZZ58" s="62">
        <v>2</v>
      </c>
      <c r="AAA58" s="19" t="str">
        <f t="shared" ref="AAA58:AAA66" si="1898">CONCATENATE("Outcome Index ",ZZ58,"  | Odd ",ZZ58)</f>
        <v>Outcome Index 2  | Odd 2</v>
      </c>
      <c r="AAB58" s="18">
        <f t="shared" si="1370"/>
        <v>68</v>
      </c>
      <c r="AAC58" s="18">
        <f t="shared" si="373"/>
        <v>71</v>
      </c>
      <c r="AAD58" s="18">
        <v>4</v>
      </c>
      <c r="AAE58" s="301" t="str">
        <f t="shared" ref="AAE58:AAE66" si="1899">IF(ZY$42=0,"",IF(ZZ58&lt;=AAG$56,CONCATENATE(TRIM(MID($C$28,(AAB58-1)*3+1,3))," | ",TRIM(MID($C$28,(AAB58)*3+1,(AAD58-1)*3))),""))</f>
        <v/>
      </c>
      <c r="AAF58" s="301"/>
      <c r="AAG58" s="302" t="str">
        <f t="shared" si="1715"/>
        <v/>
      </c>
      <c r="AAH58" s="349"/>
      <c r="AAI58" s="40"/>
      <c r="AAJ58" s="62">
        <v>2</v>
      </c>
      <c r="AAK58" s="19" t="str">
        <f t="shared" ref="AAK58:AAK66" si="1900">CONCATENATE("Outcome Index ",AAJ58,"  | Odd ",AAJ58)</f>
        <v>Outcome Index 2  | Odd 2</v>
      </c>
      <c r="AAL58" s="18">
        <f t="shared" si="1371"/>
        <v>68</v>
      </c>
      <c r="AAM58" s="18">
        <f t="shared" si="377"/>
        <v>71</v>
      </c>
      <c r="AAN58" s="18">
        <v>4</v>
      </c>
      <c r="AAO58" s="301" t="str">
        <f t="shared" ref="AAO58:AAO66" si="1901">IF(AAI$42=0,"",IF(AAJ58&lt;=AAQ$56,CONCATENATE(TRIM(MID($C$28,(AAL58-1)*3+1,3))," | ",TRIM(MID($C$28,(AAL58)*3+1,(AAN58-1)*3))),""))</f>
        <v/>
      </c>
      <c r="AAP58" s="301"/>
      <c r="AAQ58" s="302" t="str">
        <f t="shared" si="1717"/>
        <v/>
      </c>
      <c r="AAR58" s="349"/>
      <c r="AAS58" s="40"/>
      <c r="AAT58" s="62">
        <v>2</v>
      </c>
      <c r="AAU58" s="19" t="str">
        <f t="shared" ref="AAU58:AAU66" si="1902">CONCATENATE("Outcome Index ",AAT58,"  | Odd ",AAT58)</f>
        <v>Outcome Index 2  | Odd 2</v>
      </c>
      <c r="AAV58" s="18">
        <f t="shared" si="1372"/>
        <v>68</v>
      </c>
      <c r="AAW58" s="18">
        <f t="shared" si="381"/>
        <v>71</v>
      </c>
      <c r="AAX58" s="18">
        <v>4</v>
      </c>
      <c r="AAY58" s="301" t="str">
        <f t="shared" ref="AAY58:AAY66" si="1903">IF(AAS$42=0,"",IF(AAT58&lt;=ABA$56,CONCATENATE(TRIM(MID($C$28,(AAV58-1)*3+1,3))," | ",TRIM(MID($C$28,(AAV58)*3+1,(AAX58-1)*3))),""))</f>
        <v/>
      </c>
      <c r="AAZ58" s="301"/>
      <c r="ABA58" s="302" t="str">
        <f t="shared" si="1719"/>
        <v/>
      </c>
      <c r="ABB58" s="349"/>
      <c r="ABC58" s="40"/>
      <c r="ABD58" s="62">
        <v>2</v>
      </c>
      <c r="ABE58" s="19" t="str">
        <f t="shared" ref="ABE58:ABE66" si="1904">CONCATENATE("Outcome Index ",ABD58,"  | Odd ",ABD58)</f>
        <v>Outcome Index 2  | Odd 2</v>
      </c>
      <c r="ABF58" s="18">
        <f t="shared" si="1373"/>
        <v>68</v>
      </c>
      <c r="ABG58" s="18">
        <f t="shared" si="385"/>
        <v>71</v>
      </c>
      <c r="ABH58" s="18">
        <v>4</v>
      </c>
      <c r="ABI58" s="301" t="str">
        <f t="shared" ref="ABI58:ABI66" si="1905">IF(ABC$42=0,"",IF(ABD58&lt;=ABK$56,CONCATENATE(TRIM(MID($C$28,(ABF58-1)*3+1,3))," | ",TRIM(MID($C$28,(ABF58)*3+1,(ABH58-1)*3))),""))</f>
        <v/>
      </c>
      <c r="ABJ58" s="301"/>
      <c r="ABK58" s="302" t="str">
        <f t="shared" si="1721"/>
        <v/>
      </c>
      <c r="ABL58" s="349"/>
      <c r="ABM58" s="40"/>
      <c r="ABN58" s="62">
        <v>2</v>
      </c>
      <c r="ABO58" s="19" t="str">
        <f t="shared" ref="ABO58:ABO66" si="1906">CONCATENATE("Outcome Index ",ABN58,"  | Odd ",ABN58)</f>
        <v>Outcome Index 2  | Odd 2</v>
      </c>
      <c r="ABP58" s="18">
        <f t="shared" si="1374"/>
        <v>68</v>
      </c>
      <c r="ABQ58" s="18">
        <f t="shared" si="389"/>
        <v>71</v>
      </c>
      <c r="ABR58" s="18">
        <v>4</v>
      </c>
      <c r="ABS58" s="301" t="str">
        <f t="shared" ref="ABS58:ABS66" si="1907">IF(ABM$42=0,"",IF(ABN58&lt;=ABU$56,CONCATENATE(TRIM(MID($C$28,(ABP58-1)*3+1,3))," | ",TRIM(MID($C$28,(ABP58)*3+1,(ABR58-1)*3))),""))</f>
        <v/>
      </c>
      <c r="ABT58" s="301"/>
      <c r="ABU58" s="302" t="str">
        <f t="shared" si="1723"/>
        <v/>
      </c>
      <c r="ABV58" s="349"/>
      <c r="ABW58" s="40"/>
      <c r="ABX58" s="62">
        <v>2</v>
      </c>
      <c r="ABY58" s="19" t="str">
        <f t="shared" ref="ABY58:ABY66" si="1908">CONCATENATE("Outcome Index ",ABX58,"  | Odd ",ABX58)</f>
        <v>Outcome Index 2  | Odd 2</v>
      </c>
      <c r="ABZ58" s="18">
        <f t="shared" si="1375"/>
        <v>68</v>
      </c>
      <c r="ACA58" s="18">
        <f t="shared" si="393"/>
        <v>71</v>
      </c>
      <c r="ACB58" s="18">
        <v>4</v>
      </c>
      <c r="ACC58" s="301" t="str">
        <f t="shared" ref="ACC58:ACC66" si="1909">IF(ABW$42=0,"",IF(ABX58&lt;=ACE$56,CONCATENATE(TRIM(MID($C$28,(ABZ58-1)*3+1,3))," | ",TRIM(MID($C$28,(ABZ58)*3+1,(ACB58-1)*3))),""))</f>
        <v/>
      </c>
      <c r="ACD58" s="301"/>
      <c r="ACE58" s="302" t="str">
        <f t="shared" si="1725"/>
        <v/>
      </c>
      <c r="ACF58" s="349"/>
      <c r="ACG58" s="40"/>
      <c r="ACH58" s="62">
        <v>2</v>
      </c>
      <c r="ACI58" s="19" t="str">
        <f t="shared" ref="ACI58:ACI66" si="1910">CONCATENATE("Outcome Index ",ACH58,"  | Odd ",ACH58)</f>
        <v>Outcome Index 2  | Odd 2</v>
      </c>
      <c r="ACJ58" s="18">
        <f t="shared" si="1376"/>
        <v>68</v>
      </c>
      <c r="ACK58" s="18">
        <f t="shared" si="397"/>
        <v>71</v>
      </c>
      <c r="ACL58" s="18">
        <v>4</v>
      </c>
      <c r="ACM58" s="301" t="str">
        <f t="shared" ref="ACM58:ACM66" si="1911">IF(ACG$42=0,"",IF(ACH58&lt;=ACO$56,CONCATENATE(TRIM(MID($C$28,(ACJ58-1)*3+1,3))," | ",TRIM(MID($C$28,(ACJ58)*3+1,(ACL58-1)*3))),""))</f>
        <v/>
      </c>
      <c r="ACN58" s="301"/>
      <c r="ACO58" s="302" t="str">
        <f t="shared" si="1727"/>
        <v/>
      </c>
      <c r="ACP58" s="349"/>
      <c r="ACQ58" s="40"/>
      <c r="ACR58" s="62">
        <v>2</v>
      </c>
      <c r="ACS58" s="19" t="str">
        <f t="shared" ref="ACS58:ACS66" si="1912">CONCATENATE("Outcome Index ",ACR58,"  | Odd ",ACR58)</f>
        <v>Outcome Index 2  | Odd 2</v>
      </c>
      <c r="ACT58" s="18">
        <f t="shared" si="1377"/>
        <v>68</v>
      </c>
      <c r="ACU58" s="18">
        <f t="shared" si="401"/>
        <v>71</v>
      </c>
      <c r="ACV58" s="18">
        <v>4</v>
      </c>
      <c r="ACW58" s="301" t="str">
        <f t="shared" ref="ACW58:ACW66" si="1913">IF(ACQ$42=0,"",IF(ACR58&lt;=ACY$56,CONCATENATE(TRIM(MID($C$28,(ACT58-1)*3+1,3))," | ",TRIM(MID($C$28,(ACT58)*3+1,(ACV58-1)*3))),""))</f>
        <v/>
      </c>
      <c r="ACX58" s="301"/>
      <c r="ACY58" s="302" t="str">
        <f t="shared" si="1729"/>
        <v/>
      </c>
      <c r="ACZ58" s="349"/>
      <c r="ADA58" s="40"/>
      <c r="ADB58" s="62">
        <v>2</v>
      </c>
      <c r="ADC58" s="19" t="str">
        <f t="shared" ref="ADC58:ADC66" si="1914">CONCATENATE("Outcome Index ",ADB58,"  | Odd ",ADB58)</f>
        <v>Outcome Index 2  | Odd 2</v>
      </c>
      <c r="ADD58" s="18">
        <f t="shared" si="1378"/>
        <v>68</v>
      </c>
      <c r="ADE58" s="18">
        <f t="shared" si="405"/>
        <v>71</v>
      </c>
      <c r="ADF58" s="18">
        <v>4</v>
      </c>
      <c r="ADG58" s="301" t="str">
        <f t="shared" ref="ADG58:ADG66" si="1915">IF(ADA$42=0,"",IF(ADB58&lt;=ADI$56,CONCATENATE(TRIM(MID($C$28,(ADD58-1)*3+1,3))," | ",TRIM(MID($C$28,(ADD58)*3+1,(ADF58-1)*3))),""))</f>
        <v/>
      </c>
      <c r="ADH58" s="301"/>
      <c r="ADI58" s="302" t="str">
        <f t="shared" si="1731"/>
        <v/>
      </c>
      <c r="ADJ58" s="349"/>
      <c r="ADK58" s="40"/>
      <c r="ADL58" s="62">
        <v>2</v>
      </c>
      <c r="ADM58" s="19" t="str">
        <f t="shared" ref="ADM58:ADM66" si="1916">CONCATENATE("Outcome Index ",ADL58,"  | Odd ",ADL58)</f>
        <v>Outcome Index 2  | Odd 2</v>
      </c>
      <c r="ADN58" s="18">
        <f t="shared" si="1379"/>
        <v>68</v>
      </c>
      <c r="ADO58" s="18">
        <f t="shared" si="409"/>
        <v>71</v>
      </c>
      <c r="ADP58" s="18">
        <v>4</v>
      </c>
      <c r="ADQ58" s="301" t="str">
        <f t="shared" ref="ADQ58:ADQ66" si="1917">IF(ADK$42=0,"",IF(ADL58&lt;=ADS$56,CONCATENATE(TRIM(MID($C$28,(ADN58-1)*3+1,3))," | ",TRIM(MID($C$28,(ADN58)*3+1,(ADP58-1)*3))),""))</f>
        <v/>
      </c>
      <c r="ADR58" s="301"/>
      <c r="ADS58" s="302" t="str">
        <f t="shared" si="1733"/>
        <v/>
      </c>
      <c r="ADT58" s="349"/>
      <c r="ADU58" s="40"/>
      <c r="ADV58" s="62">
        <v>2</v>
      </c>
      <c r="ADW58" s="19" t="str">
        <f t="shared" ref="ADW58:ADW66" si="1918">CONCATENATE("Outcome Index ",ADV58,"  | Odd ",ADV58)</f>
        <v>Outcome Index 2  | Odd 2</v>
      </c>
      <c r="ADX58" s="18">
        <f t="shared" si="1380"/>
        <v>68</v>
      </c>
      <c r="ADY58" s="18">
        <f t="shared" si="413"/>
        <v>71</v>
      </c>
      <c r="ADZ58" s="18">
        <v>4</v>
      </c>
      <c r="AEA58" s="301" t="str">
        <f t="shared" ref="AEA58:AEA66" si="1919">IF(ADU$42=0,"",IF(ADV58&lt;=AEC$56,CONCATENATE(TRIM(MID($C$28,(ADX58-1)*3+1,3))," | ",TRIM(MID($C$28,(ADX58)*3+1,(ADZ58-1)*3))),""))</f>
        <v/>
      </c>
      <c r="AEB58" s="301"/>
      <c r="AEC58" s="302" t="str">
        <f t="shared" si="1735"/>
        <v/>
      </c>
      <c r="AED58" s="349"/>
      <c r="AEE58" s="40"/>
      <c r="AEF58" s="62">
        <v>2</v>
      </c>
      <c r="AEG58" s="19" t="str">
        <f t="shared" ref="AEG58:AEG66" si="1920">CONCATENATE("Outcome Index ",AEF58,"  | Odd ",AEF58)</f>
        <v>Outcome Index 2  | Odd 2</v>
      </c>
      <c r="AEH58" s="18">
        <f t="shared" si="1381"/>
        <v>68</v>
      </c>
      <c r="AEI58" s="18">
        <f t="shared" si="417"/>
        <v>71</v>
      </c>
      <c r="AEJ58" s="18">
        <v>4</v>
      </c>
      <c r="AEK58" s="301" t="str">
        <f t="shared" ref="AEK58:AEK66" si="1921">IF(AEE$42=0,"",IF(AEF58&lt;=AEM$56,CONCATENATE(TRIM(MID($C$28,(AEH58-1)*3+1,3))," | ",TRIM(MID($C$28,(AEH58)*3+1,(AEJ58-1)*3))),""))</f>
        <v/>
      </c>
      <c r="AEL58" s="301"/>
      <c r="AEM58" s="302" t="str">
        <f t="shared" si="1737"/>
        <v/>
      </c>
      <c r="AEN58" s="349"/>
      <c r="AEO58" s="40"/>
      <c r="AEP58" s="62">
        <v>2</v>
      </c>
      <c r="AEQ58" s="19" t="str">
        <f t="shared" ref="AEQ58:AEQ66" si="1922">CONCATENATE("Outcome Index ",AEP58,"  | Odd ",AEP58)</f>
        <v>Outcome Index 2  | Odd 2</v>
      </c>
      <c r="AER58" s="18">
        <f t="shared" si="1382"/>
        <v>68</v>
      </c>
      <c r="AES58" s="18">
        <f t="shared" si="421"/>
        <v>71</v>
      </c>
      <c r="AET58" s="18">
        <v>4</v>
      </c>
      <c r="AEU58" s="301" t="str">
        <f t="shared" ref="AEU58:AEU66" si="1923">IF(AEO$42=0,"",IF(AEP58&lt;=AEW$56,CONCATENATE(TRIM(MID($C$28,(AER58-1)*3+1,3))," | ",TRIM(MID($C$28,(AER58)*3+1,(AET58-1)*3))),""))</f>
        <v/>
      </c>
      <c r="AEV58" s="301"/>
      <c r="AEW58" s="302" t="str">
        <f t="shared" si="1739"/>
        <v/>
      </c>
      <c r="AEX58" s="349"/>
      <c r="AEY58" s="40"/>
      <c r="AEZ58" s="62">
        <v>2</v>
      </c>
      <c r="AFA58" s="19" t="str">
        <f t="shared" ref="AFA58:AFA66" si="1924">CONCATENATE("Outcome Index ",AEZ58,"  | Odd ",AEZ58)</f>
        <v>Outcome Index 2  | Odd 2</v>
      </c>
      <c r="AFB58" s="18">
        <f t="shared" si="1383"/>
        <v>68</v>
      </c>
      <c r="AFC58" s="18">
        <f t="shared" si="425"/>
        <v>71</v>
      </c>
      <c r="AFD58" s="18">
        <v>4</v>
      </c>
      <c r="AFE58" s="301" t="str">
        <f t="shared" ref="AFE58:AFE66" si="1925">IF(AEY$42=0,"",IF(AEZ58&lt;=AFG$56,CONCATENATE(TRIM(MID($C$28,(AFB58-1)*3+1,3))," | ",TRIM(MID($C$28,(AFB58)*3+1,(AFD58-1)*3))),""))</f>
        <v/>
      </c>
      <c r="AFF58" s="301"/>
      <c r="AFG58" s="302" t="str">
        <f t="shared" si="1741"/>
        <v/>
      </c>
      <c r="AFH58" s="349"/>
      <c r="AFI58" s="40"/>
      <c r="AFJ58" s="62">
        <v>2</v>
      </c>
      <c r="AFK58" s="19" t="str">
        <f t="shared" ref="AFK58:AFK66" si="1926">CONCATENATE("Outcome Index ",AFJ58,"  | Odd ",AFJ58)</f>
        <v>Outcome Index 2  | Odd 2</v>
      </c>
      <c r="AFL58" s="18">
        <f t="shared" si="1384"/>
        <v>68</v>
      </c>
      <c r="AFM58" s="18">
        <f t="shared" si="429"/>
        <v>71</v>
      </c>
      <c r="AFN58" s="18">
        <v>4</v>
      </c>
      <c r="AFO58" s="301" t="str">
        <f t="shared" ref="AFO58:AFO66" si="1927">IF(AFI$42=0,"",IF(AFJ58&lt;=AFQ$56,CONCATENATE(TRIM(MID($C$28,(AFL58-1)*3+1,3))," | ",TRIM(MID($C$28,(AFL58)*3+1,(AFN58-1)*3))),""))</f>
        <v/>
      </c>
      <c r="AFP58" s="301"/>
      <c r="AFQ58" s="302" t="str">
        <f t="shared" si="1743"/>
        <v/>
      </c>
      <c r="AFR58" s="349"/>
      <c r="AFS58" s="40"/>
      <c r="AFT58" s="62">
        <v>2</v>
      </c>
      <c r="AFU58" s="19" t="str">
        <f t="shared" ref="AFU58:AFU66" si="1928">CONCATENATE("Outcome Index ",AFT58,"  | Odd ",AFT58)</f>
        <v>Outcome Index 2  | Odd 2</v>
      </c>
      <c r="AFV58" s="18">
        <f t="shared" si="1385"/>
        <v>68</v>
      </c>
      <c r="AFW58" s="18">
        <f t="shared" si="433"/>
        <v>71</v>
      </c>
      <c r="AFX58" s="18">
        <v>4</v>
      </c>
      <c r="AFY58" s="301" t="str">
        <f t="shared" ref="AFY58:AFY66" si="1929">IF(AFS$42=0,"",IF(AFT58&lt;=AGA$56,CONCATENATE(TRIM(MID($C$28,(AFV58-1)*3+1,3))," | ",TRIM(MID($C$28,(AFV58)*3+1,(AFX58-1)*3))),""))</f>
        <v/>
      </c>
      <c r="AFZ58" s="301"/>
      <c r="AGA58" s="302" t="str">
        <f t="shared" si="1745"/>
        <v/>
      </c>
      <c r="AGB58" s="349"/>
      <c r="AGC58" s="40"/>
      <c r="AGD58" s="62">
        <v>2</v>
      </c>
      <c r="AGE58" s="19" t="str">
        <f t="shared" ref="AGE58:AGE66" si="1930">CONCATENATE("Outcome Index ",AGD58,"  | Odd ",AGD58)</f>
        <v>Outcome Index 2  | Odd 2</v>
      </c>
      <c r="AGF58" s="18">
        <f t="shared" si="1386"/>
        <v>68</v>
      </c>
      <c r="AGG58" s="18">
        <f t="shared" si="437"/>
        <v>71</v>
      </c>
      <c r="AGH58" s="18">
        <v>4</v>
      </c>
      <c r="AGI58" s="301" t="str">
        <f t="shared" ref="AGI58:AGI66" si="1931">IF(AGC$42=0,"",IF(AGD58&lt;=AGK$56,CONCATENATE(TRIM(MID($C$28,(AGF58-1)*3+1,3))," | ",TRIM(MID($C$28,(AGF58)*3+1,(AGH58-1)*3))),""))</f>
        <v/>
      </c>
      <c r="AGJ58" s="301"/>
      <c r="AGK58" s="302" t="str">
        <f t="shared" si="1747"/>
        <v/>
      </c>
      <c r="AGL58" s="349"/>
      <c r="AGM58" s="40"/>
      <c r="AGN58" s="62">
        <v>2</v>
      </c>
      <c r="AGO58" s="19" t="str">
        <f t="shared" ref="AGO58:AGO66" si="1932">CONCATENATE("Outcome Index ",AGN58,"  | Odd ",AGN58)</f>
        <v>Outcome Index 2  | Odd 2</v>
      </c>
      <c r="AGP58" s="18">
        <f t="shared" si="1387"/>
        <v>68</v>
      </c>
      <c r="AGQ58" s="18">
        <f t="shared" si="441"/>
        <v>71</v>
      </c>
      <c r="AGR58" s="18">
        <v>4</v>
      </c>
      <c r="AGS58" s="301" t="str">
        <f t="shared" ref="AGS58:AGS66" si="1933">IF(AGM$42=0,"",IF(AGN58&lt;=AGU$56,CONCATENATE(TRIM(MID($C$28,(AGP58-1)*3+1,3))," | ",TRIM(MID($C$28,(AGP58)*3+1,(AGR58-1)*3))),""))</f>
        <v/>
      </c>
      <c r="AGT58" s="301"/>
      <c r="AGU58" s="302" t="str">
        <f t="shared" si="1749"/>
        <v/>
      </c>
      <c r="AGV58" s="349"/>
      <c r="AGW58" s="40"/>
      <c r="AGX58" s="62">
        <v>2</v>
      </c>
      <c r="AGY58" s="19" t="str">
        <f t="shared" ref="AGY58:AGY66" si="1934">CONCATENATE("Outcome Index ",AGX58,"  | Odd ",AGX58)</f>
        <v>Outcome Index 2  | Odd 2</v>
      </c>
      <c r="AGZ58" s="18">
        <f t="shared" si="1388"/>
        <v>68</v>
      </c>
      <c r="AHA58" s="18">
        <f t="shared" si="445"/>
        <v>71</v>
      </c>
      <c r="AHB58" s="18">
        <v>4</v>
      </c>
      <c r="AHC58" s="301" t="str">
        <f t="shared" ref="AHC58:AHC66" si="1935">IF(AGW$42=0,"",IF(AGX58&lt;=AHE$56,CONCATENATE(TRIM(MID($C$28,(AGZ58-1)*3+1,3))," | ",TRIM(MID($C$28,(AGZ58)*3+1,(AHB58-1)*3))),""))</f>
        <v/>
      </c>
      <c r="AHD58" s="301"/>
      <c r="AHE58" s="302" t="str">
        <f t="shared" si="1751"/>
        <v/>
      </c>
      <c r="AHF58" s="349"/>
      <c r="AHG58" s="40"/>
      <c r="AHH58" s="62">
        <v>2</v>
      </c>
      <c r="AHI58" s="19" t="str">
        <f t="shared" ref="AHI58:AHI66" si="1936">CONCATENATE("Outcome Index ",AHH58,"  | Odd ",AHH58)</f>
        <v>Outcome Index 2  | Odd 2</v>
      </c>
      <c r="AHJ58" s="18">
        <f t="shared" si="1389"/>
        <v>68</v>
      </c>
      <c r="AHK58" s="18">
        <f t="shared" si="449"/>
        <v>71</v>
      </c>
      <c r="AHL58" s="18">
        <v>4</v>
      </c>
      <c r="AHM58" s="301" t="str">
        <f t="shared" ref="AHM58:AHM66" si="1937">IF(AHG$42=0,"",IF(AHH58&lt;=AHO$56,CONCATENATE(TRIM(MID($C$28,(AHJ58-1)*3+1,3))," | ",TRIM(MID($C$28,(AHJ58)*3+1,(AHL58-1)*3))),""))</f>
        <v/>
      </c>
      <c r="AHN58" s="301"/>
      <c r="AHO58" s="302" t="str">
        <f t="shared" si="1753"/>
        <v/>
      </c>
      <c r="AHP58" s="349"/>
      <c r="AHQ58" s="40"/>
      <c r="AHR58" s="62">
        <v>2</v>
      </c>
      <c r="AHS58" s="19" t="str">
        <f t="shared" ref="AHS58:AHS66" si="1938">CONCATENATE("Outcome Index ",AHR58,"  | Odd ",AHR58)</f>
        <v>Outcome Index 2  | Odd 2</v>
      </c>
      <c r="AHT58" s="18">
        <f t="shared" si="1390"/>
        <v>68</v>
      </c>
      <c r="AHU58" s="18">
        <f t="shared" si="453"/>
        <v>71</v>
      </c>
      <c r="AHV58" s="18">
        <v>4</v>
      </c>
      <c r="AHW58" s="301" t="str">
        <f t="shared" ref="AHW58:AHW66" si="1939">IF(AHQ$42=0,"",IF(AHR58&lt;=AHY$56,CONCATENATE(TRIM(MID($C$28,(AHT58-1)*3+1,3))," | ",TRIM(MID($C$28,(AHT58)*3+1,(AHV58-1)*3))),""))</f>
        <v/>
      </c>
      <c r="AHX58" s="301"/>
      <c r="AHY58" s="302" t="str">
        <f t="shared" si="1755"/>
        <v/>
      </c>
      <c r="AHZ58" s="349"/>
      <c r="AIA58" s="40"/>
      <c r="AIB58" s="62">
        <v>2</v>
      </c>
      <c r="AIC58" s="19" t="str">
        <f t="shared" ref="AIC58:AIC66" si="1940">CONCATENATE("Outcome Index ",AIB58,"  | Odd ",AIB58)</f>
        <v>Outcome Index 2  | Odd 2</v>
      </c>
      <c r="AID58" s="18">
        <f t="shared" si="1391"/>
        <v>68</v>
      </c>
      <c r="AIE58" s="18">
        <f t="shared" si="457"/>
        <v>71</v>
      </c>
      <c r="AIF58" s="18">
        <v>4</v>
      </c>
      <c r="AIG58" s="301" t="str">
        <f t="shared" ref="AIG58:AIG66" si="1941">IF(AIA$42=0,"",IF(AIB58&lt;=AII$56,CONCATENATE(TRIM(MID($C$28,(AID58-1)*3+1,3))," | ",TRIM(MID($C$28,(AID58)*3+1,(AIF58-1)*3))),""))</f>
        <v/>
      </c>
      <c r="AIH58" s="301"/>
      <c r="AII58" s="302" t="str">
        <f t="shared" si="1757"/>
        <v/>
      </c>
      <c r="AIJ58" s="349"/>
      <c r="AIK58" s="40"/>
      <c r="AIL58" s="62">
        <v>2</v>
      </c>
      <c r="AIM58" s="19" t="str">
        <f t="shared" ref="AIM58:AIM66" si="1942">CONCATENATE("Outcome Index ",AIL58,"  | Odd ",AIL58)</f>
        <v>Outcome Index 2  | Odd 2</v>
      </c>
      <c r="AIN58" s="18">
        <f t="shared" si="1392"/>
        <v>68</v>
      </c>
      <c r="AIO58" s="18">
        <f t="shared" si="461"/>
        <v>71</v>
      </c>
      <c r="AIP58" s="18">
        <v>4</v>
      </c>
      <c r="AIQ58" s="301" t="str">
        <f t="shared" ref="AIQ58:AIQ66" si="1943">IF(AIK$42=0,"",IF(AIL58&lt;=AIS$56,CONCATENATE(TRIM(MID($C$28,(AIN58-1)*3+1,3))," | ",TRIM(MID($C$28,(AIN58)*3+1,(AIP58-1)*3))),""))</f>
        <v/>
      </c>
      <c r="AIR58" s="301"/>
      <c r="AIS58" s="302" t="str">
        <f t="shared" si="1759"/>
        <v/>
      </c>
      <c r="AIT58" s="349"/>
      <c r="AIU58" s="40"/>
      <c r="AIV58" s="62">
        <v>2</v>
      </c>
      <c r="AIW58" s="19" t="str">
        <f t="shared" ref="AIW58:AIW66" si="1944">CONCATENATE("Outcome Index ",AIV58,"  | Odd ",AIV58)</f>
        <v>Outcome Index 2  | Odd 2</v>
      </c>
      <c r="AIX58" s="18">
        <f t="shared" si="1393"/>
        <v>68</v>
      </c>
      <c r="AIY58" s="18">
        <f t="shared" si="465"/>
        <v>71</v>
      </c>
      <c r="AIZ58" s="18">
        <v>4</v>
      </c>
      <c r="AJA58" s="301" t="str">
        <f t="shared" ref="AJA58:AJA66" si="1945">IF(AIU$42=0,"",IF(AIV58&lt;=AJC$56,CONCATENATE(TRIM(MID($C$28,(AIX58-1)*3+1,3))," | ",TRIM(MID($C$28,(AIX58)*3+1,(AIZ58-1)*3))),""))</f>
        <v/>
      </c>
      <c r="AJB58" s="301"/>
      <c r="AJC58" s="302" t="str">
        <f t="shared" si="1761"/>
        <v/>
      </c>
      <c r="AJD58" s="349"/>
    </row>
    <row r="59" spans="1:940">
      <c r="B59" s="42">
        <v>3</v>
      </c>
      <c r="C59" s="3" t="str">
        <f t="shared" ref="C59:C66" si="1946">CONCATENATE("Outcome Index ",B59,"  | Odd ",B59)</f>
        <v>Outcome Index 3  | Odd 3</v>
      </c>
      <c r="D59" s="2">
        <f t="shared" si="561"/>
        <v>72</v>
      </c>
      <c r="E59" s="2">
        <f t="shared" ref="E59:E66" si="1947">D59+F59-1</f>
        <v>75</v>
      </c>
      <c r="F59" s="2">
        <v>4</v>
      </c>
      <c r="G59" s="255" t="str">
        <f t="shared" ref="G59:G66" si="1948">IF(A$42=0,"",IF(B59&lt;=I$56,CONCATENATE(TRIM(MID($C$28,(D59-1)*3+1,3))," | ",TRIM(MID($C$28,(D59)*3+1,(F59-1)*3))),""))</f>
        <v/>
      </c>
      <c r="H59" s="255"/>
      <c r="I59" s="231" t="str">
        <f t="shared" ref="I59:I66" si="1949">IF(G59="","",CONCATENATE(HEX2DEC(TRIM(MID(G59,1,3)))," | ",IF(HEX2DEC(SUBSTITUTE(MID(G59,6,8)," ",""))=0,"N/D",IF(HEX2DEC(SUBSTITUTE(MID(G59,6,8)," ",""))&gt;8388608,CONCATENATE(HEX2DEC(CONCATENATE("FFFF",SUBSTITUTE(MID(G59,6,8)," ","")))," N/D"),HEX2DEC(SUBSTITUTE(MID(G59,6,8)," ",""))))))</f>
        <v/>
      </c>
      <c r="J59" s="205"/>
      <c r="K59" s="40"/>
      <c r="L59" s="62">
        <v>3</v>
      </c>
      <c r="M59" s="3" t="str">
        <f t="shared" ref="M59:M66" si="1950">CONCATENATE("Outcome Index ",L59,"  | Odd ",L59)</f>
        <v>Outcome Index 3  | Odd 3</v>
      </c>
      <c r="N59" s="2">
        <f t="shared" si="562"/>
        <v>72</v>
      </c>
      <c r="O59" s="2">
        <f t="shared" si="97"/>
        <v>75</v>
      </c>
      <c r="P59" s="2">
        <v>4</v>
      </c>
      <c r="Q59" s="207" t="str">
        <f t="shared" ref="Q59:Q66" si="1951">IF(K$42=0,"",IF(L59&lt;=S$56,CONCATENATE(TRIM(MID($C$28,(N59-1)*3+1,3))," | ",TRIM(MID($C$28,(N59)*3+1,(P59-1)*3))),""))</f>
        <v/>
      </c>
      <c r="R59" s="208"/>
      <c r="S59" s="231" t="str">
        <f t="shared" ref="S59:S66" si="1952">IF(Q59="","",CONCATENATE(HEX2DEC(TRIM(MID(Q59,1,3)))," | ",IF(HEX2DEC(SUBSTITUTE(MID(Q59,6,8)," ",""))=0,"N/D",IF(HEX2DEC(SUBSTITUTE(MID(Q59,6,8)," ",""))&gt;8388608,CONCATENATE(HEX2DEC(CONCATENATE("FFFF",SUBSTITUTE(MID(Q59,6,8)," ","")))," N/D"),HEX2DEC(SUBSTITUTE(MID(Q59,6,8)," ",""))))))</f>
        <v/>
      </c>
      <c r="T59" s="344"/>
      <c r="U59" s="40"/>
      <c r="V59" s="62">
        <v>3</v>
      </c>
      <c r="W59" s="3" t="str">
        <f t="shared" si="1762"/>
        <v>Outcome Index 3  | Odd 3</v>
      </c>
      <c r="X59" s="2">
        <f t="shared" si="1302"/>
        <v>72</v>
      </c>
      <c r="Y59" s="2">
        <f t="shared" si="101"/>
        <v>75</v>
      </c>
      <c r="Z59" s="2">
        <v>4</v>
      </c>
      <c r="AA59" s="207" t="str">
        <f t="shared" si="1763"/>
        <v/>
      </c>
      <c r="AB59" s="208"/>
      <c r="AC59" s="231" t="str">
        <f t="shared" si="1579"/>
        <v/>
      </c>
      <c r="AD59" s="344"/>
      <c r="AE59" s="40"/>
      <c r="AF59" s="62">
        <v>3</v>
      </c>
      <c r="AG59" s="3" t="str">
        <f t="shared" si="1764"/>
        <v>Outcome Index 3  | Odd 3</v>
      </c>
      <c r="AH59" s="2">
        <f t="shared" si="1303"/>
        <v>72</v>
      </c>
      <c r="AI59" s="2">
        <f t="shared" si="105"/>
        <v>75</v>
      </c>
      <c r="AJ59" s="2">
        <v>4</v>
      </c>
      <c r="AK59" s="207" t="str">
        <f t="shared" si="1765"/>
        <v/>
      </c>
      <c r="AL59" s="208"/>
      <c r="AM59" s="231" t="str">
        <f t="shared" si="1581"/>
        <v/>
      </c>
      <c r="AN59" s="344"/>
      <c r="AO59" s="40"/>
      <c r="AP59" s="62">
        <v>3</v>
      </c>
      <c r="AQ59" s="3" t="str">
        <f t="shared" si="1766"/>
        <v>Outcome Index 3  | Odd 3</v>
      </c>
      <c r="AR59" s="2">
        <f t="shared" si="1304"/>
        <v>72</v>
      </c>
      <c r="AS59" s="2">
        <f t="shared" si="109"/>
        <v>75</v>
      </c>
      <c r="AT59" s="2">
        <v>4</v>
      </c>
      <c r="AU59" s="207" t="str">
        <f t="shared" si="1767"/>
        <v/>
      </c>
      <c r="AV59" s="208"/>
      <c r="AW59" s="231" t="str">
        <f t="shared" si="1583"/>
        <v/>
      </c>
      <c r="AX59" s="344"/>
      <c r="AY59" s="40"/>
      <c r="AZ59" s="62">
        <v>3</v>
      </c>
      <c r="BA59" s="3" t="str">
        <f t="shared" si="1768"/>
        <v>Outcome Index 3  | Odd 3</v>
      </c>
      <c r="BB59" s="2">
        <f t="shared" si="1305"/>
        <v>72</v>
      </c>
      <c r="BC59" s="2">
        <f t="shared" si="113"/>
        <v>75</v>
      </c>
      <c r="BD59" s="2">
        <v>4</v>
      </c>
      <c r="BE59" s="207" t="str">
        <f t="shared" si="1769"/>
        <v/>
      </c>
      <c r="BF59" s="208"/>
      <c r="BG59" s="231" t="str">
        <f t="shared" si="1585"/>
        <v/>
      </c>
      <c r="BH59" s="344"/>
      <c r="BI59" s="40"/>
      <c r="BJ59" s="62">
        <v>3</v>
      </c>
      <c r="BK59" s="3" t="str">
        <f t="shared" si="1770"/>
        <v>Outcome Index 3  | Odd 3</v>
      </c>
      <c r="BL59" s="2">
        <f t="shared" si="1306"/>
        <v>72</v>
      </c>
      <c r="BM59" s="2">
        <f t="shared" si="117"/>
        <v>75</v>
      </c>
      <c r="BN59" s="2">
        <v>4</v>
      </c>
      <c r="BO59" s="207" t="str">
        <f t="shared" si="1771"/>
        <v/>
      </c>
      <c r="BP59" s="208"/>
      <c r="BQ59" s="231" t="str">
        <f t="shared" si="1587"/>
        <v/>
      </c>
      <c r="BR59" s="344"/>
      <c r="BS59" s="40"/>
      <c r="BT59" s="62">
        <v>3</v>
      </c>
      <c r="BU59" s="3" t="str">
        <f t="shared" si="1772"/>
        <v>Outcome Index 3  | Odd 3</v>
      </c>
      <c r="BV59" s="2">
        <f t="shared" si="1307"/>
        <v>72</v>
      </c>
      <c r="BW59" s="2">
        <f t="shared" si="121"/>
        <v>75</v>
      </c>
      <c r="BX59" s="2">
        <v>4</v>
      </c>
      <c r="BY59" s="207" t="str">
        <f t="shared" si="1773"/>
        <v/>
      </c>
      <c r="BZ59" s="208"/>
      <c r="CA59" s="231" t="str">
        <f t="shared" si="1589"/>
        <v/>
      </c>
      <c r="CB59" s="344"/>
      <c r="CC59" s="40"/>
      <c r="CD59" s="62">
        <v>3</v>
      </c>
      <c r="CE59" s="3" t="str">
        <f t="shared" si="1774"/>
        <v>Outcome Index 3  | Odd 3</v>
      </c>
      <c r="CF59" s="2">
        <f t="shared" si="1308"/>
        <v>72</v>
      </c>
      <c r="CG59" s="2">
        <f t="shared" si="125"/>
        <v>75</v>
      </c>
      <c r="CH59" s="2">
        <v>4</v>
      </c>
      <c r="CI59" s="207" t="str">
        <f t="shared" si="1775"/>
        <v/>
      </c>
      <c r="CJ59" s="208"/>
      <c r="CK59" s="231" t="str">
        <f t="shared" si="1591"/>
        <v/>
      </c>
      <c r="CL59" s="344"/>
      <c r="CM59" s="40"/>
      <c r="CN59" s="62">
        <v>3</v>
      </c>
      <c r="CO59" s="3" t="str">
        <f t="shared" si="1776"/>
        <v>Outcome Index 3  | Odd 3</v>
      </c>
      <c r="CP59" s="2">
        <f t="shared" si="1309"/>
        <v>72</v>
      </c>
      <c r="CQ59" s="2">
        <f t="shared" si="129"/>
        <v>75</v>
      </c>
      <c r="CR59" s="2">
        <v>4</v>
      </c>
      <c r="CS59" s="207" t="str">
        <f t="shared" si="1777"/>
        <v/>
      </c>
      <c r="CT59" s="208"/>
      <c r="CU59" s="231" t="str">
        <f t="shared" si="1593"/>
        <v/>
      </c>
      <c r="CV59" s="344"/>
      <c r="CW59" s="40"/>
      <c r="CX59" s="62">
        <v>3</v>
      </c>
      <c r="CY59" s="3" t="str">
        <f t="shared" si="1778"/>
        <v>Outcome Index 3  | Odd 3</v>
      </c>
      <c r="CZ59" s="2">
        <f t="shared" si="1310"/>
        <v>72</v>
      </c>
      <c r="DA59" s="2">
        <f t="shared" si="133"/>
        <v>75</v>
      </c>
      <c r="DB59" s="2">
        <v>4</v>
      </c>
      <c r="DC59" s="207" t="str">
        <f t="shared" si="1779"/>
        <v/>
      </c>
      <c r="DD59" s="208"/>
      <c r="DE59" s="231" t="str">
        <f t="shared" si="1595"/>
        <v/>
      </c>
      <c r="DF59" s="344"/>
      <c r="DG59" s="40"/>
      <c r="DH59" s="62">
        <v>3</v>
      </c>
      <c r="DI59" s="3" t="str">
        <f t="shared" si="1780"/>
        <v>Outcome Index 3  | Odd 3</v>
      </c>
      <c r="DJ59" s="2">
        <f t="shared" si="1311"/>
        <v>72</v>
      </c>
      <c r="DK59" s="2">
        <f t="shared" si="137"/>
        <v>75</v>
      </c>
      <c r="DL59" s="2">
        <v>4</v>
      </c>
      <c r="DM59" s="207" t="str">
        <f t="shared" si="1781"/>
        <v/>
      </c>
      <c r="DN59" s="208"/>
      <c r="DO59" s="231" t="str">
        <f t="shared" si="1597"/>
        <v/>
      </c>
      <c r="DP59" s="344"/>
      <c r="DQ59" s="40"/>
      <c r="DR59" s="62">
        <v>3</v>
      </c>
      <c r="DS59" s="3" t="str">
        <f t="shared" si="1782"/>
        <v>Outcome Index 3  | Odd 3</v>
      </c>
      <c r="DT59" s="2">
        <f t="shared" si="1312"/>
        <v>72</v>
      </c>
      <c r="DU59" s="2">
        <f t="shared" si="141"/>
        <v>75</v>
      </c>
      <c r="DV59" s="2">
        <v>4</v>
      </c>
      <c r="DW59" s="207" t="str">
        <f t="shared" si="1783"/>
        <v/>
      </c>
      <c r="DX59" s="208"/>
      <c r="DY59" s="231" t="str">
        <f t="shared" si="1599"/>
        <v/>
      </c>
      <c r="DZ59" s="344"/>
      <c r="EA59" s="40"/>
      <c r="EB59" s="62">
        <v>3</v>
      </c>
      <c r="EC59" s="3" t="str">
        <f t="shared" si="1784"/>
        <v>Outcome Index 3  | Odd 3</v>
      </c>
      <c r="ED59" s="2">
        <f t="shared" si="1313"/>
        <v>72</v>
      </c>
      <c r="EE59" s="2">
        <f t="shared" si="145"/>
        <v>75</v>
      </c>
      <c r="EF59" s="2">
        <v>4</v>
      </c>
      <c r="EG59" s="207" t="str">
        <f t="shared" si="1785"/>
        <v/>
      </c>
      <c r="EH59" s="208"/>
      <c r="EI59" s="231" t="str">
        <f t="shared" si="1601"/>
        <v/>
      </c>
      <c r="EJ59" s="344"/>
      <c r="EK59" s="40"/>
      <c r="EL59" s="62">
        <v>3</v>
      </c>
      <c r="EM59" s="3" t="str">
        <f t="shared" si="1786"/>
        <v>Outcome Index 3  | Odd 3</v>
      </c>
      <c r="EN59" s="2">
        <f t="shared" si="1314"/>
        <v>72</v>
      </c>
      <c r="EO59" s="2">
        <f t="shared" si="149"/>
        <v>75</v>
      </c>
      <c r="EP59" s="2">
        <v>4</v>
      </c>
      <c r="EQ59" s="207" t="str">
        <f t="shared" si="1787"/>
        <v/>
      </c>
      <c r="ER59" s="208"/>
      <c r="ES59" s="231" t="str">
        <f t="shared" si="1603"/>
        <v/>
      </c>
      <c r="ET59" s="344"/>
      <c r="EU59" s="40"/>
      <c r="EV59" s="62">
        <v>3</v>
      </c>
      <c r="EW59" s="3" t="str">
        <f t="shared" si="1788"/>
        <v>Outcome Index 3  | Odd 3</v>
      </c>
      <c r="EX59" s="2">
        <f t="shared" si="1315"/>
        <v>72</v>
      </c>
      <c r="EY59" s="2">
        <f t="shared" si="153"/>
        <v>75</v>
      </c>
      <c r="EZ59" s="2">
        <v>4</v>
      </c>
      <c r="FA59" s="207" t="str">
        <f t="shared" si="1789"/>
        <v/>
      </c>
      <c r="FB59" s="208"/>
      <c r="FC59" s="231" t="str">
        <f t="shared" si="1605"/>
        <v/>
      </c>
      <c r="FD59" s="344"/>
      <c r="FE59" s="40"/>
      <c r="FF59" s="62">
        <v>3</v>
      </c>
      <c r="FG59" s="3" t="str">
        <f t="shared" si="1790"/>
        <v>Outcome Index 3  | Odd 3</v>
      </c>
      <c r="FH59" s="2">
        <f t="shared" si="1316"/>
        <v>72</v>
      </c>
      <c r="FI59" s="2">
        <f t="shared" si="157"/>
        <v>75</v>
      </c>
      <c r="FJ59" s="2">
        <v>4</v>
      </c>
      <c r="FK59" s="207" t="str">
        <f t="shared" si="1791"/>
        <v/>
      </c>
      <c r="FL59" s="208"/>
      <c r="FM59" s="231" t="str">
        <f t="shared" si="1607"/>
        <v/>
      </c>
      <c r="FN59" s="344"/>
      <c r="FO59" s="40"/>
      <c r="FP59" s="62">
        <v>3</v>
      </c>
      <c r="FQ59" s="3" t="str">
        <f t="shared" si="1792"/>
        <v>Outcome Index 3  | Odd 3</v>
      </c>
      <c r="FR59" s="2">
        <f t="shared" si="1317"/>
        <v>72</v>
      </c>
      <c r="FS59" s="2">
        <f t="shared" si="161"/>
        <v>75</v>
      </c>
      <c r="FT59" s="2">
        <v>4</v>
      </c>
      <c r="FU59" s="207" t="str">
        <f t="shared" si="1793"/>
        <v/>
      </c>
      <c r="FV59" s="208"/>
      <c r="FW59" s="231" t="str">
        <f t="shared" si="1609"/>
        <v/>
      </c>
      <c r="FX59" s="344"/>
      <c r="FY59" s="40"/>
      <c r="FZ59" s="62">
        <v>3</v>
      </c>
      <c r="GA59" s="3" t="str">
        <f t="shared" si="1794"/>
        <v>Outcome Index 3  | Odd 3</v>
      </c>
      <c r="GB59" s="2">
        <f t="shared" si="1318"/>
        <v>72</v>
      </c>
      <c r="GC59" s="2">
        <f t="shared" si="165"/>
        <v>75</v>
      </c>
      <c r="GD59" s="2">
        <v>4</v>
      </c>
      <c r="GE59" s="207" t="str">
        <f t="shared" si="1795"/>
        <v/>
      </c>
      <c r="GF59" s="208"/>
      <c r="GG59" s="231" t="str">
        <f t="shared" si="1611"/>
        <v/>
      </c>
      <c r="GH59" s="344"/>
      <c r="GI59" s="40"/>
      <c r="GJ59" s="62">
        <v>3</v>
      </c>
      <c r="GK59" s="3" t="str">
        <f t="shared" si="1796"/>
        <v>Outcome Index 3  | Odd 3</v>
      </c>
      <c r="GL59" s="2">
        <f t="shared" si="1319"/>
        <v>72</v>
      </c>
      <c r="GM59" s="2">
        <f t="shared" si="169"/>
        <v>75</v>
      </c>
      <c r="GN59" s="2">
        <v>4</v>
      </c>
      <c r="GO59" s="207" t="str">
        <f t="shared" si="1797"/>
        <v/>
      </c>
      <c r="GP59" s="208"/>
      <c r="GQ59" s="231" t="str">
        <f t="shared" si="1613"/>
        <v/>
      </c>
      <c r="GR59" s="344"/>
      <c r="GS59" s="40"/>
      <c r="GT59" s="62">
        <v>3</v>
      </c>
      <c r="GU59" s="3" t="str">
        <f t="shared" si="1798"/>
        <v>Outcome Index 3  | Odd 3</v>
      </c>
      <c r="GV59" s="2">
        <f t="shared" si="1320"/>
        <v>72</v>
      </c>
      <c r="GW59" s="2">
        <f t="shared" si="173"/>
        <v>75</v>
      </c>
      <c r="GX59" s="2">
        <v>4</v>
      </c>
      <c r="GY59" s="207" t="str">
        <f t="shared" si="1799"/>
        <v/>
      </c>
      <c r="GZ59" s="208"/>
      <c r="HA59" s="231" t="str">
        <f t="shared" si="1615"/>
        <v/>
      </c>
      <c r="HB59" s="344"/>
      <c r="HC59" s="40"/>
      <c r="HD59" s="62">
        <v>3</v>
      </c>
      <c r="HE59" s="3" t="str">
        <f t="shared" si="1800"/>
        <v>Outcome Index 3  | Odd 3</v>
      </c>
      <c r="HF59" s="2">
        <f t="shared" si="1321"/>
        <v>72</v>
      </c>
      <c r="HG59" s="2">
        <f t="shared" si="177"/>
        <v>75</v>
      </c>
      <c r="HH59" s="2">
        <v>4</v>
      </c>
      <c r="HI59" s="207" t="str">
        <f t="shared" si="1801"/>
        <v/>
      </c>
      <c r="HJ59" s="208"/>
      <c r="HK59" s="231" t="str">
        <f t="shared" si="1617"/>
        <v/>
      </c>
      <c r="HL59" s="344"/>
      <c r="HM59" s="40"/>
      <c r="HN59" s="62">
        <v>3</v>
      </c>
      <c r="HO59" s="3" t="str">
        <f t="shared" si="1802"/>
        <v>Outcome Index 3  | Odd 3</v>
      </c>
      <c r="HP59" s="2">
        <f t="shared" si="1322"/>
        <v>72</v>
      </c>
      <c r="HQ59" s="2">
        <f t="shared" si="181"/>
        <v>75</v>
      </c>
      <c r="HR59" s="2">
        <v>4</v>
      </c>
      <c r="HS59" s="207" t="str">
        <f t="shared" si="1803"/>
        <v/>
      </c>
      <c r="HT59" s="208"/>
      <c r="HU59" s="231" t="str">
        <f t="shared" si="1619"/>
        <v/>
      </c>
      <c r="HV59" s="344"/>
      <c r="HW59" s="40"/>
      <c r="HX59" s="62">
        <v>3</v>
      </c>
      <c r="HY59" s="3" t="str">
        <f t="shared" si="1804"/>
        <v>Outcome Index 3  | Odd 3</v>
      </c>
      <c r="HZ59" s="2">
        <f t="shared" si="1323"/>
        <v>72</v>
      </c>
      <c r="IA59" s="2">
        <f t="shared" si="185"/>
        <v>75</v>
      </c>
      <c r="IB59" s="2">
        <v>4</v>
      </c>
      <c r="IC59" s="207" t="str">
        <f t="shared" si="1805"/>
        <v/>
      </c>
      <c r="ID59" s="208"/>
      <c r="IE59" s="231" t="str">
        <f t="shared" si="1621"/>
        <v/>
      </c>
      <c r="IF59" s="344"/>
      <c r="IG59" s="40"/>
      <c r="IH59" s="62">
        <v>3</v>
      </c>
      <c r="II59" s="3" t="str">
        <f t="shared" si="1806"/>
        <v>Outcome Index 3  | Odd 3</v>
      </c>
      <c r="IJ59" s="2">
        <f t="shared" si="1324"/>
        <v>72</v>
      </c>
      <c r="IK59" s="2">
        <f t="shared" si="189"/>
        <v>75</v>
      </c>
      <c r="IL59" s="2">
        <v>4</v>
      </c>
      <c r="IM59" s="207" t="str">
        <f t="shared" si="1807"/>
        <v/>
      </c>
      <c r="IN59" s="208"/>
      <c r="IO59" s="231" t="str">
        <f t="shared" si="1623"/>
        <v/>
      </c>
      <c r="IP59" s="344"/>
      <c r="IQ59" s="40"/>
      <c r="IR59" s="62">
        <v>3</v>
      </c>
      <c r="IS59" s="3" t="str">
        <f t="shared" si="1808"/>
        <v>Outcome Index 3  | Odd 3</v>
      </c>
      <c r="IT59" s="2">
        <f t="shared" si="1325"/>
        <v>72</v>
      </c>
      <c r="IU59" s="2">
        <f t="shared" si="193"/>
        <v>75</v>
      </c>
      <c r="IV59" s="2">
        <v>4</v>
      </c>
      <c r="IW59" s="207" t="str">
        <f t="shared" si="1809"/>
        <v/>
      </c>
      <c r="IX59" s="208"/>
      <c r="IY59" s="231" t="str">
        <f t="shared" si="1625"/>
        <v/>
      </c>
      <c r="IZ59" s="344"/>
      <c r="JA59" s="40"/>
      <c r="JB59" s="62">
        <v>3</v>
      </c>
      <c r="JC59" s="3" t="str">
        <f t="shared" si="1810"/>
        <v>Outcome Index 3  | Odd 3</v>
      </c>
      <c r="JD59" s="2">
        <f t="shared" si="1326"/>
        <v>72</v>
      </c>
      <c r="JE59" s="2">
        <f t="shared" si="197"/>
        <v>75</v>
      </c>
      <c r="JF59" s="2">
        <v>4</v>
      </c>
      <c r="JG59" s="207" t="str">
        <f t="shared" si="1811"/>
        <v/>
      </c>
      <c r="JH59" s="208"/>
      <c r="JI59" s="231" t="str">
        <f t="shared" si="1627"/>
        <v/>
      </c>
      <c r="JJ59" s="344"/>
      <c r="JK59" s="40"/>
      <c r="JL59" s="62">
        <v>3</v>
      </c>
      <c r="JM59" s="3" t="str">
        <f t="shared" si="1812"/>
        <v>Outcome Index 3  | Odd 3</v>
      </c>
      <c r="JN59" s="2">
        <f t="shared" si="1327"/>
        <v>72</v>
      </c>
      <c r="JO59" s="2">
        <f t="shared" si="201"/>
        <v>75</v>
      </c>
      <c r="JP59" s="2">
        <v>4</v>
      </c>
      <c r="JQ59" s="207" t="str">
        <f t="shared" si="1813"/>
        <v/>
      </c>
      <c r="JR59" s="208"/>
      <c r="JS59" s="231" t="str">
        <f t="shared" si="1629"/>
        <v/>
      </c>
      <c r="JT59" s="344"/>
      <c r="JU59" s="40"/>
      <c r="JV59" s="62">
        <v>3</v>
      </c>
      <c r="JW59" s="3" t="str">
        <f t="shared" si="1814"/>
        <v>Outcome Index 3  | Odd 3</v>
      </c>
      <c r="JX59" s="2">
        <f t="shared" si="1328"/>
        <v>72</v>
      </c>
      <c r="JY59" s="2">
        <f t="shared" si="205"/>
        <v>75</v>
      </c>
      <c r="JZ59" s="2">
        <v>4</v>
      </c>
      <c r="KA59" s="207" t="str">
        <f t="shared" si="1815"/>
        <v/>
      </c>
      <c r="KB59" s="208"/>
      <c r="KC59" s="231" t="str">
        <f t="shared" si="1631"/>
        <v/>
      </c>
      <c r="KD59" s="344"/>
      <c r="KE59" s="40"/>
      <c r="KF59" s="62">
        <v>3</v>
      </c>
      <c r="KG59" s="3" t="str">
        <f t="shared" si="1816"/>
        <v>Outcome Index 3  | Odd 3</v>
      </c>
      <c r="KH59" s="2">
        <f t="shared" si="1329"/>
        <v>72</v>
      </c>
      <c r="KI59" s="2">
        <f t="shared" si="209"/>
        <v>75</v>
      </c>
      <c r="KJ59" s="2">
        <v>4</v>
      </c>
      <c r="KK59" s="207" t="str">
        <f t="shared" si="1817"/>
        <v/>
      </c>
      <c r="KL59" s="208"/>
      <c r="KM59" s="231" t="str">
        <f t="shared" si="1633"/>
        <v/>
      </c>
      <c r="KN59" s="344"/>
      <c r="KO59" s="40"/>
      <c r="KP59" s="62">
        <v>3</v>
      </c>
      <c r="KQ59" s="3" t="str">
        <f t="shared" si="1818"/>
        <v>Outcome Index 3  | Odd 3</v>
      </c>
      <c r="KR59" s="2">
        <f t="shared" si="1330"/>
        <v>72</v>
      </c>
      <c r="KS59" s="2">
        <f t="shared" si="213"/>
        <v>75</v>
      </c>
      <c r="KT59" s="2">
        <v>4</v>
      </c>
      <c r="KU59" s="207" t="str">
        <f t="shared" si="1819"/>
        <v/>
      </c>
      <c r="KV59" s="208"/>
      <c r="KW59" s="231" t="str">
        <f t="shared" si="1635"/>
        <v/>
      </c>
      <c r="KX59" s="344"/>
      <c r="KY59" s="40"/>
      <c r="KZ59" s="62">
        <v>3</v>
      </c>
      <c r="LA59" s="3" t="str">
        <f t="shared" si="1820"/>
        <v>Outcome Index 3  | Odd 3</v>
      </c>
      <c r="LB59" s="2">
        <f t="shared" si="1331"/>
        <v>72</v>
      </c>
      <c r="LC59" s="2">
        <f t="shared" si="217"/>
        <v>75</v>
      </c>
      <c r="LD59" s="2">
        <v>4</v>
      </c>
      <c r="LE59" s="207" t="str">
        <f t="shared" si="1821"/>
        <v/>
      </c>
      <c r="LF59" s="208"/>
      <c r="LG59" s="231" t="str">
        <f t="shared" si="1637"/>
        <v/>
      </c>
      <c r="LH59" s="344"/>
      <c r="LI59" s="40"/>
      <c r="LJ59" s="62">
        <v>3</v>
      </c>
      <c r="LK59" s="3" t="str">
        <f t="shared" si="1822"/>
        <v>Outcome Index 3  | Odd 3</v>
      </c>
      <c r="LL59" s="2">
        <f t="shared" si="1332"/>
        <v>72</v>
      </c>
      <c r="LM59" s="2">
        <f t="shared" si="221"/>
        <v>75</v>
      </c>
      <c r="LN59" s="2">
        <v>4</v>
      </c>
      <c r="LO59" s="207" t="str">
        <f t="shared" si="1823"/>
        <v/>
      </c>
      <c r="LP59" s="208"/>
      <c r="LQ59" s="231" t="str">
        <f t="shared" si="1639"/>
        <v/>
      </c>
      <c r="LR59" s="344"/>
      <c r="LS59" s="40"/>
      <c r="LT59" s="62">
        <v>3</v>
      </c>
      <c r="LU59" s="3" t="str">
        <f t="shared" si="1824"/>
        <v>Outcome Index 3  | Odd 3</v>
      </c>
      <c r="LV59" s="2">
        <f t="shared" si="1333"/>
        <v>72</v>
      </c>
      <c r="LW59" s="2">
        <f t="shared" si="225"/>
        <v>75</v>
      </c>
      <c r="LX59" s="2">
        <v>4</v>
      </c>
      <c r="LY59" s="207" t="str">
        <f t="shared" si="1825"/>
        <v/>
      </c>
      <c r="LZ59" s="208"/>
      <c r="MA59" s="231" t="str">
        <f t="shared" si="1641"/>
        <v/>
      </c>
      <c r="MB59" s="344"/>
      <c r="MC59" s="40"/>
      <c r="MD59" s="62">
        <v>3</v>
      </c>
      <c r="ME59" s="3" t="str">
        <f t="shared" si="1826"/>
        <v>Outcome Index 3  | Odd 3</v>
      </c>
      <c r="MF59" s="2">
        <f t="shared" si="1334"/>
        <v>72</v>
      </c>
      <c r="MG59" s="2">
        <f t="shared" si="229"/>
        <v>75</v>
      </c>
      <c r="MH59" s="2">
        <v>4</v>
      </c>
      <c r="MI59" s="207" t="str">
        <f t="shared" si="1827"/>
        <v/>
      </c>
      <c r="MJ59" s="208"/>
      <c r="MK59" s="231" t="str">
        <f t="shared" si="1643"/>
        <v/>
      </c>
      <c r="ML59" s="344"/>
      <c r="MM59" s="40"/>
      <c r="MN59" s="62">
        <v>3</v>
      </c>
      <c r="MO59" s="3" t="str">
        <f t="shared" si="1828"/>
        <v>Outcome Index 3  | Odd 3</v>
      </c>
      <c r="MP59" s="2">
        <f t="shared" si="1335"/>
        <v>72</v>
      </c>
      <c r="MQ59" s="2">
        <f t="shared" si="233"/>
        <v>75</v>
      </c>
      <c r="MR59" s="2">
        <v>4</v>
      </c>
      <c r="MS59" s="207" t="str">
        <f t="shared" si="1829"/>
        <v/>
      </c>
      <c r="MT59" s="208"/>
      <c r="MU59" s="231" t="str">
        <f t="shared" si="1645"/>
        <v/>
      </c>
      <c r="MV59" s="344"/>
      <c r="MW59" s="40"/>
      <c r="MX59" s="62">
        <v>3</v>
      </c>
      <c r="MY59" s="3" t="str">
        <f t="shared" si="1830"/>
        <v>Outcome Index 3  | Odd 3</v>
      </c>
      <c r="MZ59" s="2">
        <f t="shared" si="1336"/>
        <v>72</v>
      </c>
      <c r="NA59" s="2">
        <f t="shared" si="237"/>
        <v>75</v>
      </c>
      <c r="NB59" s="2">
        <v>4</v>
      </c>
      <c r="NC59" s="207" t="str">
        <f t="shared" si="1831"/>
        <v/>
      </c>
      <c r="ND59" s="208"/>
      <c r="NE59" s="231" t="str">
        <f t="shared" si="1647"/>
        <v/>
      </c>
      <c r="NF59" s="344"/>
      <c r="NG59" s="40"/>
      <c r="NH59" s="62">
        <v>3</v>
      </c>
      <c r="NI59" s="3" t="str">
        <f t="shared" si="1832"/>
        <v>Outcome Index 3  | Odd 3</v>
      </c>
      <c r="NJ59" s="2">
        <f t="shared" si="1337"/>
        <v>72</v>
      </c>
      <c r="NK59" s="2">
        <f t="shared" si="241"/>
        <v>75</v>
      </c>
      <c r="NL59" s="2">
        <v>4</v>
      </c>
      <c r="NM59" s="207" t="str">
        <f t="shared" si="1833"/>
        <v/>
      </c>
      <c r="NN59" s="208"/>
      <c r="NO59" s="231" t="str">
        <f t="shared" si="1649"/>
        <v/>
      </c>
      <c r="NP59" s="344"/>
      <c r="NQ59" s="40"/>
      <c r="NR59" s="62">
        <v>3</v>
      </c>
      <c r="NS59" s="3" t="str">
        <f t="shared" si="1834"/>
        <v>Outcome Index 3  | Odd 3</v>
      </c>
      <c r="NT59" s="2">
        <f t="shared" si="1338"/>
        <v>72</v>
      </c>
      <c r="NU59" s="2">
        <f t="shared" si="245"/>
        <v>75</v>
      </c>
      <c r="NV59" s="2">
        <v>4</v>
      </c>
      <c r="NW59" s="207" t="str">
        <f t="shared" si="1835"/>
        <v/>
      </c>
      <c r="NX59" s="208"/>
      <c r="NY59" s="231" t="str">
        <f t="shared" si="1651"/>
        <v/>
      </c>
      <c r="NZ59" s="344"/>
      <c r="OA59" s="40"/>
      <c r="OB59" s="62">
        <v>3</v>
      </c>
      <c r="OC59" s="3" t="str">
        <f t="shared" si="1836"/>
        <v>Outcome Index 3  | Odd 3</v>
      </c>
      <c r="OD59" s="2">
        <f t="shared" si="1339"/>
        <v>72</v>
      </c>
      <c r="OE59" s="2">
        <f t="shared" si="249"/>
        <v>75</v>
      </c>
      <c r="OF59" s="2">
        <v>4</v>
      </c>
      <c r="OG59" s="207" t="str">
        <f t="shared" si="1837"/>
        <v/>
      </c>
      <c r="OH59" s="208"/>
      <c r="OI59" s="231" t="str">
        <f t="shared" si="1653"/>
        <v/>
      </c>
      <c r="OJ59" s="344"/>
      <c r="OK59" s="40"/>
      <c r="OL59" s="62">
        <v>3</v>
      </c>
      <c r="OM59" s="3" t="str">
        <f t="shared" si="1838"/>
        <v>Outcome Index 3  | Odd 3</v>
      </c>
      <c r="ON59" s="2">
        <f t="shared" si="1340"/>
        <v>72</v>
      </c>
      <c r="OO59" s="2">
        <f t="shared" si="253"/>
        <v>75</v>
      </c>
      <c r="OP59" s="2">
        <v>4</v>
      </c>
      <c r="OQ59" s="207" t="str">
        <f t="shared" si="1839"/>
        <v/>
      </c>
      <c r="OR59" s="208"/>
      <c r="OS59" s="231" t="str">
        <f t="shared" si="1655"/>
        <v/>
      </c>
      <c r="OT59" s="344"/>
      <c r="OU59" s="40"/>
      <c r="OV59" s="62">
        <v>3</v>
      </c>
      <c r="OW59" s="3" t="str">
        <f t="shared" si="1840"/>
        <v>Outcome Index 3  | Odd 3</v>
      </c>
      <c r="OX59" s="2">
        <f t="shared" si="1341"/>
        <v>72</v>
      </c>
      <c r="OY59" s="2">
        <f t="shared" si="257"/>
        <v>75</v>
      </c>
      <c r="OZ59" s="2">
        <v>4</v>
      </c>
      <c r="PA59" s="207" t="str">
        <f t="shared" si="1841"/>
        <v/>
      </c>
      <c r="PB59" s="208"/>
      <c r="PC59" s="231" t="str">
        <f t="shared" si="1657"/>
        <v/>
      </c>
      <c r="PD59" s="344"/>
      <c r="PE59" s="40"/>
      <c r="PF59" s="62">
        <v>3</v>
      </c>
      <c r="PG59" s="3" t="str">
        <f t="shared" si="1842"/>
        <v>Outcome Index 3  | Odd 3</v>
      </c>
      <c r="PH59" s="2">
        <f t="shared" si="1342"/>
        <v>72</v>
      </c>
      <c r="PI59" s="2">
        <f t="shared" si="261"/>
        <v>75</v>
      </c>
      <c r="PJ59" s="2">
        <v>4</v>
      </c>
      <c r="PK59" s="207" t="str">
        <f t="shared" si="1843"/>
        <v/>
      </c>
      <c r="PL59" s="208"/>
      <c r="PM59" s="231" t="str">
        <f t="shared" si="1659"/>
        <v/>
      </c>
      <c r="PN59" s="344"/>
      <c r="PO59" s="40"/>
      <c r="PP59" s="62">
        <v>3</v>
      </c>
      <c r="PQ59" s="3" t="str">
        <f t="shared" si="1844"/>
        <v>Outcome Index 3  | Odd 3</v>
      </c>
      <c r="PR59" s="2">
        <f t="shared" si="1343"/>
        <v>72</v>
      </c>
      <c r="PS59" s="2">
        <f t="shared" si="265"/>
        <v>75</v>
      </c>
      <c r="PT59" s="2">
        <v>4</v>
      </c>
      <c r="PU59" s="207" t="str">
        <f t="shared" si="1845"/>
        <v/>
      </c>
      <c r="PV59" s="208"/>
      <c r="PW59" s="231" t="str">
        <f t="shared" si="1661"/>
        <v/>
      </c>
      <c r="PX59" s="344"/>
      <c r="PY59" s="40"/>
      <c r="PZ59" s="62">
        <v>3</v>
      </c>
      <c r="QA59" s="3" t="str">
        <f t="shared" si="1846"/>
        <v>Outcome Index 3  | Odd 3</v>
      </c>
      <c r="QB59" s="2">
        <f t="shared" si="1344"/>
        <v>72</v>
      </c>
      <c r="QC59" s="2">
        <f t="shared" si="269"/>
        <v>75</v>
      </c>
      <c r="QD59" s="2">
        <v>4</v>
      </c>
      <c r="QE59" s="207" t="str">
        <f t="shared" si="1847"/>
        <v/>
      </c>
      <c r="QF59" s="208"/>
      <c r="QG59" s="231" t="str">
        <f t="shared" si="1663"/>
        <v/>
      </c>
      <c r="QH59" s="344"/>
      <c r="QI59" s="40"/>
      <c r="QJ59" s="62">
        <v>3</v>
      </c>
      <c r="QK59" s="3" t="str">
        <f t="shared" si="1848"/>
        <v>Outcome Index 3  | Odd 3</v>
      </c>
      <c r="QL59" s="2">
        <f t="shared" si="1345"/>
        <v>72</v>
      </c>
      <c r="QM59" s="2">
        <f t="shared" si="273"/>
        <v>75</v>
      </c>
      <c r="QN59" s="2">
        <v>4</v>
      </c>
      <c r="QO59" s="207" t="str">
        <f t="shared" si="1849"/>
        <v/>
      </c>
      <c r="QP59" s="208"/>
      <c r="QQ59" s="231" t="str">
        <f t="shared" si="1665"/>
        <v/>
      </c>
      <c r="QR59" s="344"/>
      <c r="QS59" s="40"/>
      <c r="QT59" s="62">
        <v>3</v>
      </c>
      <c r="QU59" s="3" t="str">
        <f t="shared" si="1850"/>
        <v>Outcome Index 3  | Odd 3</v>
      </c>
      <c r="QV59" s="2">
        <f t="shared" si="1346"/>
        <v>72</v>
      </c>
      <c r="QW59" s="2">
        <f t="shared" si="277"/>
        <v>75</v>
      </c>
      <c r="QX59" s="2">
        <v>4</v>
      </c>
      <c r="QY59" s="207" t="str">
        <f t="shared" si="1851"/>
        <v/>
      </c>
      <c r="QZ59" s="208"/>
      <c r="RA59" s="231" t="str">
        <f t="shared" si="1667"/>
        <v/>
      </c>
      <c r="RB59" s="344"/>
      <c r="RC59" s="40"/>
      <c r="RD59" s="62">
        <v>3</v>
      </c>
      <c r="RE59" s="3" t="str">
        <f t="shared" si="1852"/>
        <v>Outcome Index 3  | Odd 3</v>
      </c>
      <c r="RF59" s="2">
        <f t="shared" si="1347"/>
        <v>72</v>
      </c>
      <c r="RG59" s="2">
        <f t="shared" si="281"/>
        <v>75</v>
      </c>
      <c r="RH59" s="2">
        <v>4</v>
      </c>
      <c r="RI59" s="207" t="str">
        <f t="shared" si="1853"/>
        <v/>
      </c>
      <c r="RJ59" s="208"/>
      <c r="RK59" s="231" t="str">
        <f t="shared" si="1669"/>
        <v/>
      </c>
      <c r="RL59" s="344"/>
      <c r="RM59" s="40"/>
      <c r="RN59" s="62">
        <v>3</v>
      </c>
      <c r="RO59" s="3" t="str">
        <f t="shared" si="1854"/>
        <v>Outcome Index 3  | Odd 3</v>
      </c>
      <c r="RP59" s="2">
        <f t="shared" si="1348"/>
        <v>72</v>
      </c>
      <c r="RQ59" s="2">
        <f t="shared" si="285"/>
        <v>75</v>
      </c>
      <c r="RR59" s="2">
        <v>4</v>
      </c>
      <c r="RS59" s="207" t="str">
        <f t="shared" si="1855"/>
        <v/>
      </c>
      <c r="RT59" s="208"/>
      <c r="RU59" s="231" t="str">
        <f t="shared" si="1671"/>
        <v/>
      </c>
      <c r="RV59" s="344"/>
      <c r="RW59" s="40"/>
      <c r="RX59" s="62">
        <v>3</v>
      </c>
      <c r="RY59" s="3" t="str">
        <f t="shared" si="1856"/>
        <v>Outcome Index 3  | Odd 3</v>
      </c>
      <c r="RZ59" s="2">
        <f t="shared" si="1349"/>
        <v>72</v>
      </c>
      <c r="SA59" s="2">
        <f t="shared" si="289"/>
        <v>75</v>
      </c>
      <c r="SB59" s="2">
        <v>4</v>
      </c>
      <c r="SC59" s="207" t="str">
        <f t="shared" si="1857"/>
        <v/>
      </c>
      <c r="SD59" s="208"/>
      <c r="SE59" s="231" t="str">
        <f t="shared" si="1673"/>
        <v/>
      </c>
      <c r="SF59" s="344"/>
      <c r="SG59" s="40"/>
      <c r="SH59" s="62">
        <v>3</v>
      </c>
      <c r="SI59" s="3" t="str">
        <f t="shared" si="1858"/>
        <v>Outcome Index 3  | Odd 3</v>
      </c>
      <c r="SJ59" s="2">
        <f t="shared" si="1350"/>
        <v>72</v>
      </c>
      <c r="SK59" s="2">
        <f t="shared" si="293"/>
        <v>75</v>
      </c>
      <c r="SL59" s="2">
        <v>4</v>
      </c>
      <c r="SM59" s="207" t="str">
        <f t="shared" si="1859"/>
        <v/>
      </c>
      <c r="SN59" s="208"/>
      <c r="SO59" s="231" t="str">
        <f t="shared" si="1675"/>
        <v/>
      </c>
      <c r="SP59" s="344"/>
      <c r="SQ59" s="40"/>
      <c r="SR59" s="62">
        <v>3</v>
      </c>
      <c r="SS59" s="3" t="str">
        <f t="shared" si="1860"/>
        <v>Outcome Index 3  | Odd 3</v>
      </c>
      <c r="ST59" s="2">
        <f t="shared" si="1351"/>
        <v>72</v>
      </c>
      <c r="SU59" s="2">
        <f t="shared" si="297"/>
        <v>75</v>
      </c>
      <c r="SV59" s="2">
        <v>4</v>
      </c>
      <c r="SW59" s="207" t="str">
        <f t="shared" si="1861"/>
        <v/>
      </c>
      <c r="SX59" s="208"/>
      <c r="SY59" s="231" t="str">
        <f t="shared" si="1677"/>
        <v/>
      </c>
      <c r="SZ59" s="344"/>
      <c r="TA59" s="40"/>
      <c r="TB59" s="62">
        <v>3</v>
      </c>
      <c r="TC59" s="3" t="str">
        <f t="shared" si="1862"/>
        <v>Outcome Index 3  | Odd 3</v>
      </c>
      <c r="TD59" s="2">
        <f t="shared" si="1352"/>
        <v>72</v>
      </c>
      <c r="TE59" s="2">
        <f t="shared" si="301"/>
        <v>75</v>
      </c>
      <c r="TF59" s="2">
        <v>4</v>
      </c>
      <c r="TG59" s="207" t="str">
        <f t="shared" si="1863"/>
        <v/>
      </c>
      <c r="TH59" s="208"/>
      <c r="TI59" s="231" t="str">
        <f t="shared" si="1679"/>
        <v/>
      </c>
      <c r="TJ59" s="344"/>
      <c r="TK59" s="40"/>
      <c r="TL59" s="62">
        <v>3</v>
      </c>
      <c r="TM59" s="3" t="str">
        <f t="shared" si="1864"/>
        <v>Outcome Index 3  | Odd 3</v>
      </c>
      <c r="TN59" s="2">
        <f t="shared" si="1353"/>
        <v>72</v>
      </c>
      <c r="TO59" s="2">
        <f t="shared" si="305"/>
        <v>75</v>
      </c>
      <c r="TP59" s="2">
        <v>4</v>
      </c>
      <c r="TQ59" s="207" t="str">
        <f t="shared" si="1865"/>
        <v/>
      </c>
      <c r="TR59" s="208"/>
      <c r="TS59" s="231" t="str">
        <f t="shared" si="1681"/>
        <v/>
      </c>
      <c r="TT59" s="344"/>
      <c r="TU59" s="40"/>
      <c r="TV59" s="62">
        <v>3</v>
      </c>
      <c r="TW59" s="3" t="str">
        <f t="shared" si="1866"/>
        <v>Outcome Index 3  | Odd 3</v>
      </c>
      <c r="TX59" s="2">
        <f t="shared" si="1354"/>
        <v>72</v>
      </c>
      <c r="TY59" s="2">
        <f t="shared" si="309"/>
        <v>75</v>
      </c>
      <c r="TZ59" s="2">
        <v>4</v>
      </c>
      <c r="UA59" s="207" t="str">
        <f t="shared" si="1867"/>
        <v/>
      </c>
      <c r="UB59" s="208"/>
      <c r="UC59" s="231" t="str">
        <f t="shared" si="1683"/>
        <v/>
      </c>
      <c r="UD59" s="344"/>
      <c r="UE59" s="40"/>
      <c r="UF59" s="62">
        <v>3</v>
      </c>
      <c r="UG59" s="3" t="str">
        <f t="shared" si="1868"/>
        <v>Outcome Index 3  | Odd 3</v>
      </c>
      <c r="UH59" s="2">
        <f t="shared" si="1355"/>
        <v>72</v>
      </c>
      <c r="UI59" s="2">
        <f t="shared" si="313"/>
        <v>75</v>
      </c>
      <c r="UJ59" s="2">
        <v>4</v>
      </c>
      <c r="UK59" s="207" t="str">
        <f t="shared" si="1869"/>
        <v/>
      </c>
      <c r="UL59" s="208"/>
      <c r="UM59" s="231" t="str">
        <f t="shared" si="1685"/>
        <v/>
      </c>
      <c r="UN59" s="344"/>
      <c r="UO59" s="40"/>
      <c r="UP59" s="62">
        <v>3</v>
      </c>
      <c r="UQ59" s="3" t="str">
        <f t="shared" si="1870"/>
        <v>Outcome Index 3  | Odd 3</v>
      </c>
      <c r="UR59" s="2">
        <f t="shared" si="1356"/>
        <v>72</v>
      </c>
      <c r="US59" s="2">
        <f t="shared" si="317"/>
        <v>75</v>
      </c>
      <c r="UT59" s="2">
        <v>4</v>
      </c>
      <c r="UU59" s="207" t="str">
        <f t="shared" si="1871"/>
        <v/>
      </c>
      <c r="UV59" s="208"/>
      <c r="UW59" s="231" t="str">
        <f t="shared" si="1687"/>
        <v/>
      </c>
      <c r="UX59" s="344"/>
      <c r="UY59" s="40"/>
      <c r="UZ59" s="62">
        <v>3</v>
      </c>
      <c r="VA59" s="3" t="str">
        <f t="shared" si="1872"/>
        <v>Outcome Index 3  | Odd 3</v>
      </c>
      <c r="VB59" s="2">
        <f t="shared" si="1357"/>
        <v>72</v>
      </c>
      <c r="VC59" s="2">
        <f t="shared" si="321"/>
        <v>75</v>
      </c>
      <c r="VD59" s="2">
        <v>4</v>
      </c>
      <c r="VE59" s="207" t="str">
        <f t="shared" si="1873"/>
        <v/>
      </c>
      <c r="VF59" s="208"/>
      <c r="VG59" s="231" t="str">
        <f t="shared" si="1689"/>
        <v/>
      </c>
      <c r="VH59" s="344"/>
      <c r="VI59" s="40"/>
      <c r="VJ59" s="62">
        <v>3</v>
      </c>
      <c r="VK59" s="3" t="str">
        <f t="shared" si="1874"/>
        <v>Outcome Index 3  | Odd 3</v>
      </c>
      <c r="VL59" s="2">
        <f t="shared" si="1358"/>
        <v>72</v>
      </c>
      <c r="VM59" s="2">
        <f t="shared" si="325"/>
        <v>75</v>
      </c>
      <c r="VN59" s="2">
        <v>4</v>
      </c>
      <c r="VO59" s="207" t="str">
        <f t="shared" si="1875"/>
        <v/>
      </c>
      <c r="VP59" s="208"/>
      <c r="VQ59" s="231" t="str">
        <f t="shared" si="1691"/>
        <v/>
      </c>
      <c r="VR59" s="344"/>
      <c r="VS59" s="40"/>
      <c r="VT59" s="62">
        <v>3</v>
      </c>
      <c r="VU59" s="3" t="str">
        <f t="shared" si="1876"/>
        <v>Outcome Index 3  | Odd 3</v>
      </c>
      <c r="VV59" s="2">
        <f t="shared" si="1359"/>
        <v>72</v>
      </c>
      <c r="VW59" s="2">
        <f t="shared" si="329"/>
        <v>75</v>
      </c>
      <c r="VX59" s="2">
        <v>4</v>
      </c>
      <c r="VY59" s="207" t="str">
        <f t="shared" si="1877"/>
        <v/>
      </c>
      <c r="VZ59" s="208"/>
      <c r="WA59" s="231" t="str">
        <f t="shared" si="1693"/>
        <v/>
      </c>
      <c r="WB59" s="344"/>
      <c r="WC59" s="40"/>
      <c r="WD59" s="62">
        <v>3</v>
      </c>
      <c r="WE59" s="3" t="str">
        <f t="shared" si="1878"/>
        <v>Outcome Index 3  | Odd 3</v>
      </c>
      <c r="WF59" s="2">
        <f t="shared" si="1360"/>
        <v>72</v>
      </c>
      <c r="WG59" s="2">
        <f t="shared" si="333"/>
        <v>75</v>
      </c>
      <c r="WH59" s="2">
        <v>4</v>
      </c>
      <c r="WI59" s="207" t="str">
        <f t="shared" si="1879"/>
        <v/>
      </c>
      <c r="WJ59" s="208"/>
      <c r="WK59" s="231" t="str">
        <f t="shared" si="1695"/>
        <v/>
      </c>
      <c r="WL59" s="344"/>
      <c r="WM59" s="40"/>
      <c r="WN59" s="62">
        <v>3</v>
      </c>
      <c r="WO59" s="3" t="str">
        <f t="shared" si="1880"/>
        <v>Outcome Index 3  | Odd 3</v>
      </c>
      <c r="WP59" s="2">
        <f t="shared" si="1361"/>
        <v>72</v>
      </c>
      <c r="WQ59" s="2">
        <f t="shared" si="337"/>
        <v>75</v>
      </c>
      <c r="WR59" s="2">
        <v>4</v>
      </c>
      <c r="WS59" s="207" t="str">
        <f t="shared" si="1881"/>
        <v/>
      </c>
      <c r="WT59" s="208"/>
      <c r="WU59" s="231" t="str">
        <f t="shared" si="1697"/>
        <v/>
      </c>
      <c r="WV59" s="344"/>
      <c r="WW59" s="40"/>
      <c r="WX59" s="62">
        <v>3</v>
      </c>
      <c r="WY59" s="3" t="str">
        <f t="shared" si="1882"/>
        <v>Outcome Index 3  | Odd 3</v>
      </c>
      <c r="WZ59" s="2">
        <f t="shared" si="1362"/>
        <v>72</v>
      </c>
      <c r="XA59" s="2">
        <f t="shared" si="341"/>
        <v>75</v>
      </c>
      <c r="XB59" s="2">
        <v>4</v>
      </c>
      <c r="XC59" s="207" t="str">
        <f t="shared" si="1883"/>
        <v/>
      </c>
      <c r="XD59" s="208"/>
      <c r="XE59" s="231" t="str">
        <f t="shared" si="1699"/>
        <v/>
      </c>
      <c r="XF59" s="344"/>
      <c r="XG59" s="40"/>
      <c r="XH59" s="62">
        <v>3</v>
      </c>
      <c r="XI59" s="3" t="str">
        <f t="shared" si="1884"/>
        <v>Outcome Index 3  | Odd 3</v>
      </c>
      <c r="XJ59" s="2">
        <f t="shared" si="1363"/>
        <v>72</v>
      </c>
      <c r="XK59" s="2">
        <f t="shared" si="345"/>
        <v>75</v>
      </c>
      <c r="XL59" s="2">
        <v>4</v>
      </c>
      <c r="XM59" s="207" t="str">
        <f t="shared" si="1885"/>
        <v/>
      </c>
      <c r="XN59" s="208"/>
      <c r="XO59" s="231" t="str">
        <f t="shared" si="1701"/>
        <v/>
      </c>
      <c r="XP59" s="344"/>
      <c r="XQ59" s="40"/>
      <c r="XR59" s="62">
        <v>3</v>
      </c>
      <c r="XS59" s="3" t="str">
        <f t="shared" si="1886"/>
        <v>Outcome Index 3  | Odd 3</v>
      </c>
      <c r="XT59" s="2">
        <f t="shared" si="1364"/>
        <v>72</v>
      </c>
      <c r="XU59" s="2">
        <f t="shared" si="349"/>
        <v>75</v>
      </c>
      <c r="XV59" s="2">
        <v>4</v>
      </c>
      <c r="XW59" s="207" t="str">
        <f t="shared" si="1887"/>
        <v/>
      </c>
      <c r="XX59" s="208"/>
      <c r="XY59" s="231" t="str">
        <f t="shared" si="1703"/>
        <v/>
      </c>
      <c r="XZ59" s="344"/>
      <c r="YA59" s="40"/>
      <c r="YB59" s="62">
        <v>3</v>
      </c>
      <c r="YC59" s="3" t="str">
        <f t="shared" si="1888"/>
        <v>Outcome Index 3  | Odd 3</v>
      </c>
      <c r="YD59" s="2">
        <f t="shared" si="1365"/>
        <v>72</v>
      </c>
      <c r="YE59" s="2">
        <f t="shared" si="353"/>
        <v>75</v>
      </c>
      <c r="YF59" s="2">
        <v>4</v>
      </c>
      <c r="YG59" s="207" t="str">
        <f t="shared" si="1889"/>
        <v/>
      </c>
      <c r="YH59" s="208"/>
      <c r="YI59" s="231" t="str">
        <f t="shared" si="1705"/>
        <v/>
      </c>
      <c r="YJ59" s="344"/>
      <c r="YK59" s="40"/>
      <c r="YL59" s="62">
        <v>3</v>
      </c>
      <c r="YM59" s="3" t="str">
        <f t="shared" si="1890"/>
        <v>Outcome Index 3  | Odd 3</v>
      </c>
      <c r="YN59" s="2">
        <f t="shared" si="1366"/>
        <v>72</v>
      </c>
      <c r="YO59" s="2">
        <f t="shared" si="357"/>
        <v>75</v>
      </c>
      <c r="YP59" s="2">
        <v>4</v>
      </c>
      <c r="YQ59" s="207" t="str">
        <f t="shared" si="1891"/>
        <v/>
      </c>
      <c r="YR59" s="208"/>
      <c r="YS59" s="231" t="str">
        <f t="shared" si="1707"/>
        <v/>
      </c>
      <c r="YT59" s="344"/>
      <c r="YU59" s="40"/>
      <c r="YV59" s="62">
        <v>3</v>
      </c>
      <c r="YW59" s="3" t="str">
        <f t="shared" si="1892"/>
        <v>Outcome Index 3  | Odd 3</v>
      </c>
      <c r="YX59" s="2">
        <f t="shared" si="1367"/>
        <v>72</v>
      </c>
      <c r="YY59" s="2">
        <f t="shared" si="361"/>
        <v>75</v>
      </c>
      <c r="YZ59" s="2">
        <v>4</v>
      </c>
      <c r="ZA59" s="207" t="str">
        <f t="shared" si="1893"/>
        <v/>
      </c>
      <c r="ZB59" s="208"/>
      <c r="ZC59" s="231" t="str">
        <f t="shared" si="1709"/>
        <v/>
      </c>
      <c r="ZD59" s="344"/>
      <c r="ZE59" s="40"/>
      <c r="ZF59" s="62">
        <v>3</v>
      </c>
      <c r="ZG59" s="3" t="str">
        <f t="shared" si="1894"/>
        <v>Outcome Index 3  | Odd 3</v>
      </c>
      <c r="ZH59" s="2">
        <f t="shared" si="1368"/>
        <v>72</v>
      </c>
      <c r="ZI59" s="2">
        <f t="shared" si="365"/>
        <v>75</v>
      </c>
      <c r="ZJ59" s="2">
        <v>4</v>
      </c>
      <c r="ZK59" s="207" t="str">
        <f t="shared" si="1895"/>
        <v/>
      </c>
      <c r="ZL59" s="208"/>
      <c r="ZM59" s="231" t="str">
        <f t="shared" si="1711"/>
        <v/>
      </c>
      <c r="ZN59" s="344"/>
      <c r="ZO59" s="40"/>
      <c r="ZP59" s="62">
        <v>3</v>
      </c>
      <c r="ZQ59" s="3" t="str">
        <f t="shared" si="1896"/>
        <v>Outcome Index 3  | Odd 3</v>
      </c>
      <c r="ZR59" s="2">
        <f t="shared" si="1369"/>
        <v>72</v>
      </c>
      <c r="ZS59" s="2">
        <f t="shared" si="369"/>
        <v>75</v>
      </c>
      <c r="ZT59" s="2">
        <v>4</v>
      </c>
      <c r="ZU59" s="207" t="str">
        <f t="shared" si="1897"/>
        <v/>
      </c>
      <c r="ZV59" s="208"/>
      <c r="ZW59" s="231" t="str">
        <f t="shared" si="1713"/>
        <v/>
      </c>
      <c r="ZX59" s="344"/>
      <c r="ZY59" s="40"/>
      <c r="ZZ59" s="62">
        <v>3</v>
      </c>
      <c r="AAA59" s="3" t="str">
        <f t="shared" si="1898"/>
        <v>Outcome Index 3  | Odd 3</v>
      </c>
      <c r="AAB59" s="2">
        <f t="shared" si="1370"/>
        <v>72</v>
      </c>
      <c r="AAC59" s="2">
        <f t="shared" si="373"/>
        <v>75</v>
      </c>
      <c r="AAD59" s="2">
        <v>4</v>
      </c>
      <c r="AAE59" s="207" t="str">
        <f t="shared" si="1899"/>
        <v/>
      </c>
      <c r="AAF59" s="208"/>
      <c r="AAG59" s="231" t="str">
        <f t="shared" si="1715"/>
        <v/>
      </c>
      <c r="AAH59" s="344"/>
      <c r="AAI59" s="40"/>
      <c r="AAJ59" s="62">
        <v>3</v>
      </c>
      <c r="AAK59" s="3" t="str">
        <f t="shared" si="1900"/>
        <v>Outcome Index 3  | Odd 3</v>
      </c>
      <c r="AAL59" s="2">
        <f t="shared" si="1371"/>
        <v>72</v>
      </c>
      <c r="AAM59" s="2">
        <f t="shared" si="377"/>
        <v>75</v>
      </c>
      <c r="AAN59" s="2">
        <v>4</v>
      </c>
      <c r="AAO59" s="207" t="str">
        <f t="shared" si="1901"/>
        <v/>
      </c>
      <c r="AAP59" s="208"/>
      <c r="AAQ59" s="231" t="str">
        <f t="shared" si="1717"/>
        <v/>
      </c>
      <c r="AAR59" s="344"/>
      <c r="AAS59" s="40"/>
      <c r="AAT59" s="62">
        <v>3</v>
      </c>
      <c r="AAU59" s="3" t="str">
        <f t="shared" si="1902"/>
        <v>Outcome Index 3  | Odd 3</v>
      </c>
      <c r="AAV59" s="2">
        <f t="shared" si="1372"/>
        <v>72</v>
      </c>
      <c r="AAW59" s="2">
        <f t="shared" si="381"/>
        <v>75</v>
      </c>
      <c r="AAX59" s="2">
        <v>4</v>
      </c>
      <c r="AAY59" s="207" t="str">
        <f t="shared" si="1903"/>
        <v/>
      </c>
      <c r="AAZ59" s="208"/>
      <c r="ABA59" s="231" t="str">
        <f t="shared" si="1719"/>
        <v/>
      </c>
      <c r="ABB59" s="344"/>
      <c r="ABC59" s="40"/>
      <c r="ABD59" s="62">
        <v>3</v>
      </c>
      <c r="ABE59" s="3" t="str">
        <f t="shared" si="1904"/>
        <v>Outcome Index 3  | Odd 3</v>
      </c>
      <c r="ABF59" s="2">
        <f t="shared" si="1373"/>
        <v>72</v>
      </c>
      <c r="ABG59" s="2">
        <f t="shared" si="385"/>
        <v>75</v>
      </c>
      <c r="ABH59" s="2">
        <v>4</v>
      </c>
      <c r="ABI59" s="207" t="str">
        <f t="shared" si="1905"/>
        <v/>
      </c>
      <c r="ABJ59" s="208"/>
      <c r="ABK59" s="231" t="str">
        <f t="shared" si="1721"/>
        <v/>
      </c>
      <c r="ABL59" s="344"/>
      <c r="ABM59" s="40"/>
      <c r="ABN59" s="62">
        <v>3</v>
      </c>
      <c r="ABO59" s="3" t="str">
        <f t="shared" si="1906"/>
        <v>Outcome Index 3  | Odd 3</v>
      </c>
      <c r="ABP59" s="2">
        <f t="shared" si="1374"/>
        <v>72</v>
      </c>
      <c r="ABQ59" s="2">
        <f t="shared" si="389"/>
        <v>75</v>
      </c>
      <c r="ABR59" s="2">
        <v>4</v>
      </c>
      <c r="ABS59" s="207" t="str">
        <f t="shared" si="1907"/>
        <v/>
      </c>
      <c r="ABT59" s="208"/>
      <c r="ABU59" s="231" t="str">
        <f t="shared" si="1723"/>
        <v/>
      </c>
      <c r="ABV59" s="344"/>
      <c r="ABW59" s="40"/>
      <c r="ABX59" s="62">
        <v>3</v>
      </c>
      <c r="ABY59" s="3" t="str">
        <f t="shared" si="1908"/>
        <v>Outcome Index 3  | Odd 3</v>
      </c>
      <c r="ABZ59" s="2">
        <f t="shared" si="1375"/>
        <v>72</v>
      </c>
      <c r="ACA59" s="2">
        <f t="shared" si="393"/>
        <v>75</v>
      </c>
      <c r="ACB59" s="2">
        <v>4</v>
      </c>
      <c r="ACC59" s="207" t="str">
        <f t="shared" si="1909"/>
        <v/>
      </c>
      <c r="ACD59" s="208"/>
      <c r="ACE59" s="231" t="str">
        <f t="shared" si="1725"/>
        <v/>
      </c>
      <c r="ACF59" s="344"/>
      <c r="ACG59" s="40"/>
      <c r="ACH59" s="62">
        <v>3</v>
      </c>
      <c r="ACI59" s="3" t="str">
        <f t="shared" si="1910"/>
        <v>Outcome Index 3  | Odd 3</v>
      </c>
      <c r="ACJ59" s="2">
        <f t="shared" si="1376"/>
        <v>72</v>
      </c>
      <c r="ACK59" s="2">
        <f t="shared" si="397"/>
        <v>75</v>
      </c>
      <c r="ACL59" s="2">
        <v>4</v>
      </c>
      <c r="ACM59" s="207" t="str">
        <f t="shared" si="1911"/>
        <v/>
      </c>
      <c r="ACN59" s="208"/>
      <c r="ACO59" s="231" t="str">
        <f t="shared" si="1727"/>
        <v/>
      </c>
      <c r="ACP59" s="344"/>
      <c r="ACQ59" s="40"/>
      <c r="ACR59" s="62">
        <v>3</v>
      </c>
      <c r="ACS59" s="3" t="str">
        <f t="shared" si="1912"/>
        <v>Outcome Index 3  | Odd 3</v>
      </c>
      <c r="ACT59" s="2">
        <f t="shared" si="1377"/>
        <v>72</v>
      </c>
      <c r="ACU59" s="2">
        <f t="shared" si="401"/>
        <v>75</v>
      </c>
      <c r="ACV59" s="2">
        <v>4</v>
      </c>
      <c r="ACW59" s="207" t="str">
        <f t="shared" si="1913"/>
        <v/>
      </c>
      <c r="ACX59" s="208"/>
      <c r="ACY59" s="231" t="str">
        <f t="shared" si="1729"/>
        <v/>
      </c>
      <c r="ACZ59" s="344"/>
      <c r="ADA59" s="40"/>
      <c r="ADB59" s="62">
        <v>3</v>
      </c>
      <c r="ADC59" s="3" t="str">
        <f t="shared" si="1914"/>
        <v>Outcome Index 3  | Odd 3</v>
      </c>
      <c r="ADD59" s="2">
        <f t="shared" si="1378"/>
        <v>72</v>
      </c>
      <c r="ADE59" s="2">
        <f t="shared" si="405"/>
        <v>75</v>
      </c>
      <c r="ADF59" s="2">
        <v>4</v>
      </c>
      <c r="ADG59" s="207" t="str">
        <f t="shared" si="1915"/>
        <v/>
      </c>
      <c r="ADH59" s="208"/>
      <c r="ADI59" s="231" t="str">
        <f t="shared" si="1731"/>
        <v/>
      </c>
      <c r="ADJ59" s="344"/>
      <c r="ADK59" s="40"/>
      <c r="ADL59" s="62">
        <v>3</v>
      </c>
      <c r="ADM59" s="3" t="str">
        <f t="shared" si="1916"/>
        <v>Outcome Index 3  | Odd 3</v>
      </c>
      <c r="ADN59" s="2">
        <f t="shared" si="1379"/>
        <v>72</v>
      </c>
      <c r="ADO59" s="2">
        <f t="shared" si="409"/>
        <v>75</v>
      </c>
      <c r="ADP59" s="2">
        <v>4</v>
      </c>
      <c r="ADQ59" s="207" t="str">
        <f t="shared" si="1917"/>
        <v/>
      </c>
      <c r="ADR59" s="208"/>
      <c r="ADS59" s="231" t="str">
        <f t="shared" si="1733"/>
        <v/>
      </c>
      <c r="ADT59" s="344"/>
      <c r="ADU59" s="40"/>
      <c r="ADV59" s="62">
        <v>3</v>
      </c>
      <c r="ADW59" s="3" t="str">
        <f t="shared" si="1918"/>
        <v>Outcome Index 3  | Odd 3</v>
      </c>
      <c r="ADX59" s="2">
        <f t="shared" si="1380"/>
        <v>72</v>
      </c>
      <c r="ADY59" s="2">
        <f t="shared" si="413"/>
        <v>75</v>
      </c>
      <c r="ADZ59" s="2">
        <v>4</v>
      </c>
      <c r="AEA59" s="207" t="str">
        <f t="shared" si="1919"/>
        <v/>
      </c>
      <c r="AEB59" s="208"/>
      <c r="AEC59" s="231" t="str">
        <f t="shared" si="1735"/>
        <v/>
      </c>
      <c r="AED59" s="344"/>
      <c r="AEE59" s="40"/>
      <c r="AEF59" s="62">
        <v>3</v>
      </c>
      <c r="AEG59" s="3" t="str">
        <f t="shared" si="1920"/>
        <v>Outcome Index 3  | Odd 3</v>
      </c>
      <c r="AEH59" s="2">
        <f t="shared" si="1381"/>
        <v>72</v>
      </c>
      <c r="AEI59" s="2">
        <f t="shared" si="417"/>
        <v>75</v>
      </c>
      <c r="AEJ59" s="2">
        <v>4</v>
      </c>
      <c r="AEK59" s="207" t="str">
        <f t="shared" si="1921"/>
        <v/>
      </c>
      <c r="AEL59" s="208"/>
      <c r="AEM59" s="231" t="str">
        <f t="shared" si="1737"/>
        <v/>
      </c>
      <c r="AEN59" s="344"/>
      <c r="AEO59" s="40"/>
      <c r="AEP59" s="62">
        <v>3</v>
      </c>
      <c r="AEQ59" s="3" t="str">
        <f t="shared" si="1922"/>
        <v>Outcome Index 3  | Odd 3</v>
      </c>
      <c r="AER59" s="2">
        <f t="shared" si="1382"/>
        <v>72</v>
      </c>
      <c r="AES59" s="2">
        <f t="shared" si="421"/>
        <v>75</v>
      </c>
      <c r="AET59" s="2">
        <v>4</v>
      </c>
      <c r="AEU59" s="207" t="str">
        <f t="shared" si="1923"/>
        <v/>
      </c>
      <c r="AEV59" s="208"/>
      <c r="AEW59" s="231" t="str">
        <f t="shared" si="1739"/>
        <v/>
      </c>
      <c r="AEX59" s="344"/>
      <c r="AEY59" s="40"/>
      <c r="AEZ59" s="62">
        <v>3</v>
      </c>
      <c r="AFA59" s="3" t="str">
        <f t="shared" si="1924"/>
        <v>Outcome Index 3  | Odd 3</v>
      </c>
      <c r="AFB59" s="2">
        <f t="shared" si="1383"/>
        <v>72</v>
      </c>
      <c r="AFC59" s="2">
        <f t="shared" si="425"/>
        <v>75</v>
      </c>
      <c r="AFD59" s="2">
        <v>4</v>
      </c>
      <c r="AFE59" s="207" t="str">
        <f t="shared" si="1925"/>
        <v/>
      </c>
      <c r="AFF59" s="208"/>
      <c r="AFG59" s="231" t="str">
        <f t="shared" si="1741"/>
        <v/>
      </c>
      <c r="AFH59" s="344"/>
      <c r="AFI59" s="40"/>
      <c r="AFJ59" s="62">
        <v>3</v>
      </c>
      <c r="AFK59" s="3" t="str">
        <f t="shared" si="1926"/>
        <v>Outcome Index 3  | Odd 3</v>
      </c>
      <c r="AFL59" s="2">
        <f t="shared" si="1384"/>
        <v>72</v>
      </c>
      <c r="AFM59" s="2">
        <f t="shared" si="429"/>
        <v>75</v>
      </c>
      <c r="AFN59" s="2">
        <v>4</v>
      </c>
      <c r="AFO59" s="207" t="str">
        <f t="shared" si="1927"/>
        <v/>
      </c>
      <c r="AFP59" s="208"/>
      <c r="AFQ59" s="231" t="str">
        <f t="shared" si="1743"/>
        <v/>
      </c>
      <c r="AFR59" s="344"/>
      <c r="AFS59" s="40"/>
      <c r="AFT59" s="62">
        <v>3</v>
      </c>
      <c r="AFU59" s="3" t="str">
        <f t="shared" si="1928"/>
        <v>Outcome Index 3  | Odd 3</v>
      </c>
      <c r="AFV59" s="2">
        <f t="shared" si="1385"/>
        <v>72</v>
      </c>
      <c r="AFW59" s="2">
        <f t="shared" si="433"/>
        <v>75</v>
      </c>
      <c r="AFX59" s="2">
        <v>4</v>
      </c>
      <c r="AFY59" s="207" t="str">
        <f t="shared" si="1929"/>
        <v/>
      </c>
      <c r="AFZ59" s="208"/>
      <c r="AGA59" s="231" t="str">
        <f t="shared" si="1745"/>
        <v/>
      </c>
      <c r="AGB59" s="344"/>
      <c r="AGC59" s="40"/>
      <c r="AGD59" s="62">
        <v>3</v>
      </c>
      <c r="AGE59" s="3" t="str">
        <f t="shared" si="1930"/>
        <v>Outcome Index 3  | Odd 3</v>
      </c>
      <c r="AGF59" s="2">
        <f t="shared" si="1386"/>
        <v>72</v>
      </c>
      <c r="AGG59" s="2">
        <f t="shared" si="437"/>
        <v>75</v>
      </c>
      <c r="AGH59" s="2">
        <v>4</v>
      </c>
      <c r="AGI59" s="207" t="str">
        <f t="shared" si="1931"/>
        <v/>
      </c>
      <c r="AGJ59" s="208"/>
      <c r="AGK59" s="231" t="str">
        <f t="shared" si="1747"/>
        <v/>
      </c>
      <c r="AGL59" s="344"/>
      <c r="AGM59" s="40"/>
      <c r="AGN59" s="62">
        <v>3</v>
      </c>
      <c r="AGO59" s="3" t="str">
        <f t="shared" si="1932"/>
        <v>Outcome Index 3  | Odd 3</v>
      </c>
      <c r="AGP59" s="2">
        <f t="shared" si="1387"/>
        <v>72</v>
      </c>
      <c r="AGQ59" s="2">
        <f t="shared" si="441"/>
        <v>75</v>
      </c>
      <c r="AGR59" s="2">
        <v>4</v>
      </c>
      <c r="AGS59" s="207" t="str">
        <f t="shared" si="1933"/>
        <v/>
      </c>
      <c r="AGT59" s="208"/>
      <c r="AGU59" s="231" t="str">
        <f t="shared" si="1749"/>
        <v/>
      </c>
      <c r="AGV59" s="344"/>
      <c r="AGW59" s="40"/>
      <c r="AGX59" s="62">
        <v>3</v>
      </c>
      <c r="AGY59" s="3" t="str">
        <f t="shared" si="1934"/>
        <v>Outcome Index 3  | Odd 3</v>
      </c>
      <c r="AGZ59" s="2">
        <f t="shared" si="1388"/>
        <v>72</v>
      </c>
      <c r="AHA59" s="2">
        <f t="shared" si="445"/>
        <v>75</v>
      </c>
      <c r="AHB59" s="2">
        <v>4</v>
      </c>
      <c r="AHC59" s="207" t="str">
        <f t="shared" si="1935"/>
        <v/>
      </c>
      <c r="AHD59" s="208"/>
      <c r="AHE59" s="231" t="str">
        <f t="shared" si="1751"/>
        <v/>
      </c>
      <c r="AHF59" s="344"/>
      <c r="AHG59" s="40"/>
      <c r="AHH59" s="62">
        <v>3</v>
      </c>
      <c r="AHI59" s="3" t="str">
        <f t="shared" si="1936"/>
        <v>Outcome Index 3  | Odd 3</v>
      </c>
      <c r="AHJ59" s="2">
        <f t="shared" si="1389"/>
        <v>72</v>
      </c>
      <c r="AHK59" s="2">
        <f t="shared" si="449"/>
        <v>75</v>
      </c>
      <c r="AHL59" s="2">
        <v>4</v>
      </c>
      <c r="AHM59" s="207" t="str">
        <f t="shared" si="1937"/>
        <v/>
      </c>
      <c r="AHN59" s="208"/>
      <c r="AHO59" s="231" t="str">
        <f t="shared" si="1753"/>
        <v/>
      </c>
      <c r="AHP59" s="344"/>
      <c r="AHQ59" s="40"/>
      <c r="AHR59" s="62">
        <v>3</v>
      </c>
      <c r="AHS59" s="3" t="str">
        <f t="shared" si="1938"/>
        <v>Outcome Index 3  | Odd 3</v>
      </c>
      <c r="AHT59" s="2">
        <f t="shared" si="1390"/>
        <v>72</v>
      </c>
      <c r="AHU59" s="2">
        <f t="shared" si="453"/>
        <v>75</v>
      </c>
      <c r="AHV59" s="2">
        <v>4</v>
      </c>
      <c r="AHW59" s="207" t="str">
        <f t="shared" si="1939"/>
        <v/>
      </c>
      <c r="AHX59" s="208"/>
      <c r="AHY59" s="231" t="str">
        <f t="shared" si="1755"/>
        <v/>
      </c>
      <c r="AHZ59" s="344"/>
      <c r="AIA59" s="40"/>
      <c r="AIB59" s="62">
        <v>3</v>
      </c>
      <c r="AIC59" s="3" t="str">
        <f t="shared" si="1940"/>
        <v>Outcome Index 3  | Odd 3</v>
      </c>
      <c r="AID59" s="2">
        <f t="shared" si="1391"/>
        <v>72</v>
      </c>
      <c r="AIE59" s="2">
        <f t="shared" si="457"/>
        <v>75</v>
      </c>
      <c r="AIF59" s="2">
        <v>4</v>
      </c>
      <c r="AIG59" s="207" t="str">
        <f t="shared" si="1941"/>
        <v/>
      </c>
      <c r="AIH59" s="208"/>
      <c r="AII59" s="231" t="str">
        <f t="shared" si="1757"/>
        <v/>
      </c>
      <c r="AIJ59" s="344"/>
      <c r="AIK59" s="40"/>
      <c r="AIL59" s="62">
        <v>3</v>
      </c>
      <c r="AIM59" s="3" t="str">
        <f t="shared" si="1942"/>
        <v>Outcome Index 3  | Odd 3</v>
      </c>
      <c r="AIN59" s="2">
        <f t="shared" si="1392"/>
        <v>72</v>
      </c>
      <c r="AIO59" s="2">
        <f t="shared" si="461"/>
        <v>75</v>
      </c>
      <c r="AIP59" s="2">
        <v>4</v>
      </c>
      <c r="AIQ59" s="207" t="str">
        <f t="shared" si="1943"/>
        <v/>
      </c>
      <c r="AIR59" s="208"/>
      <c r="AIS59" s="231" t="str">
        <f t="shared" si="1759"/>
        <v/>
      </c>
      <c r="AIT59" s="344"/>
      <c r="AIU59" s="40"/>
      <c r="AIV59" s="62">
        <v>3</v>
      </c>
      <c r="AIW59" s="3" t="str">
        <f t="shared" si="1944"/>
        <v>Outcome Index 3  | Odd 3</v>
      </c>
      <c r="AIX59" s="2">
        <f t="shared" si="1393"/>
        <v>72</v>
      </c>
      <c r="AIY59" s="2">
        <f t="shared" si="465"/>
        <v>75</v>
      </c>
      <c r="AIZ59" s="2">
        <v>4</v>
      </c>
      <c r="AJA59" s="207" t="str">
        <f t="shared" si="1945"/>
        <v/>
      </c>
      <c r="AJB59" s="208"/>
      <c r="AJC59" s="231" t="str">
        <f t="shared" si="1761"/>
        <v/>
      </c>
      <c r="AJD59" s="344"/>
    </row>
    <row r="60" spans="1:940">
      <c r="B60" s="42">
        <v>4</v>
      </c>
      <c r="C60" s="19" t="str">
        <f t="shared" si="1946"/>
        <v>Outcome Index 4  | Odd 4</v>
      </c>
      <c r="D60" s="18">
        <f t="shared" si="561"/>
        <v>76</v>
      </c>
      <c r="E60" s="18">
        <f t="shared" si="1947"/>
        <v>79</v>
      </c>
      <c r="F60" s="18">
        <v>4</v>
      </c>
      <c r="G60" s="301" t="str">
        <f t="shared" si="1948"/>
        <v/>
      </c>
      <c r="H60" s="301"/>
      <c r="I60" s="302" t="str">
        <f t="shared" si="1949"/>
        <v/>
      </c>
      <c r="J60" s="305"/>
      <c r="K60" s="40"/>
      <c r="L60" s="62">
        <v>4</v>
      </c>
      <c r="M60" s="19" t="str">
        <f t="shared" si="1950"/>
        <v>Outcome Index 4  | Odd 4</v>
      </c>
      <c r="N60" s="18">
        <f t="shared" si="562"/>
        <v>76</v>
      </c>
      <c r="O60" s="18">
        <f t="shared" si="97"/>
        <v>79</v>
      </c>
      <c r="P60" s="18">
        <v>4</v>
      </c>
      <c r="Q60" s="303" t="str">
        <f t="shared" si="1951"/>
        <v/>
      </c>
      <c r="R60" s="304"/>
      <c r="S60" s="302" t="str">
        <f t="shared" si="1952"/>
        <v/>
      </c>
      <c r="T60" s="349"/>
      <c r="U60" s="40"/>
      <c r="V60" s="62">
        <v>4</v>
      </c>
      <c r="W60" s="19" t="str">
        <f t="shared" si="1762"/>
        <v>Outcome Index 4  | Odd 4</v>
      </c>
      <c r="X60" s="18">
        <f t="shared" si="1302"/>
        <v>76</v>
      </c>
      <c r="Y60" s="18">
        <f t="shared" si="101"/>
        <v>79</v>
      </c>
      <c r="Z60" s="18">
        <v>4</v>
      </c>
      <c r="AA60" s="303" t="str">
        <f t="shared" si="1763"/>
        <v/>
      </c>
      <c r="AB60" s="304"/>
      <c r="AC60" s="302" t="str">
        <f t="shared" si="1579"/>
        <v/>
      </c>
      <c r="AD60" s="349"/>
      <c r="AE60" s="40"/>
      <c r="AF60" s="62">
        <v>4</v>
      </c>
      <c r="AG60" s="19" t="str">
        <f t="shared" si="1764"/>
        <v>Outcome Index 4  | Odd 4</v>
      </c>
      <c r="AH60" s="18">
        <f t="shared" si="1303"/>
        <v>76</v>
      </c>
      <c r="AI60" s="18">
        <f t="shared" si="105"/>
        <v>79</v>
      </c>
      <c r="AJ60" s="18">
        <v>4</v>
      </c>
      <c r="AK60" s="303" t="str">
        <f t="shared" si="1765"/>
        <v/>
      </c>
      <c r="AL60" s="304"/>
      <c r="AM60" s="302" t="str">
        <f t="shared" si="1581"/>
        <v/>
      </c>
      <c r="AN60" s="349"/>
      <c r="AO60" s="40"/>
      <c r="AP60" s="62">
        <v>4</v>
      </c>
      <c r="AQ60" s="19" t="str">
        <f t="shared" si="1766"/>
        <v>Outcome Index 4  | Odd 4</v>
      </c>
      <c r="AR60" s="18">
        <f t="shared" si="1304"/>
        <v>76</v>
      </c>
      <c r="AS60" s="18">
        <f t="shared" si="109"/>
        <v>79</v>
      </c>
      <c r="AT60" s="18">
        <v>4</v>
      </c>
      <c r="AU60" s="303" t="str">
        <f t="shared" si="1767"/>
        <v/>
      </c>
      <c r="AV60" s="304"/>
      <c r="AW60" s="302" t="str">
        <f t="shared" si="1583"/>
        <v/>
      </c>
      <c r="AX60" s="349"/>
      <c r="AY60" s="40"/>
      <c r="AZ60" s="62">
        <v>4</v>
      </c>
      <c r="BA60" s="19" t="str">
        <f t="shared" si="1768"/>
        <v>Outcome Index 4  | Odd 4</v>
      </c>
      <c r="BB60" s="18">
        <f t="shared" si="1305"/>
        <v>76</v>
      </c>
      <c r="BC60" s="18">
        <f t="shared" si="113"/>
        <v>79</v>
      </c>
      <c r="BD60" s="18">
        <v>4</v>
      </c>
      <c r="BE60" s="303" t="str">
        <f t="shared" si="1769"/>
        <v/>
      </c>
      <c r="BF60" s="304"/>
      <c r="BG60" s="302" t="str">
        <f t="shared" si="1585"/>
        <v/>
      </c>
      <c r="BH60" s="349"/>
      <c r="BI60" s="40"/>
      <c r="BJ60" s="62">
        <v>4</v>
      </c>
      <c r="BK60" s="19" t="str">
        <f t="shared" si="1770"/>
        <v>Outcome Index 4  | Odd 4</v>
      </c>
      <c r="BL60" s="18">
        <f t="shared" si="1306"/>
        <v>76</v>
      </c>
      <c r="BM60" s="18">
        <f t="shared" si="117"/>
        <v>79</v>
      </c>
      <c r="BN60" s="18">
        <v>4</v>
      </c>
      <c r="BO60" s="303" t="str">
        <f t="shared" si="1771"/>
        <v/>
      </c>
      <c r="BP60" s="304"/>
      <c r="BQ60" s="302" t="str">
        <f t="shared" si="1587"/>
        <v/>
      </c>
      <c r="BR60" s="349"/>
      <c r="BS60" s="40"/>
      <c r="BT60" s="62">
        <v>4</v>
      </c>
      <c r="BU60" s="19" t="str">
        <f t="shared" si="1772"/>
        <v>Outcome Index 4  | Odd 4</v>
      </c>
      <c r="BV60" s="18">
        <f t="shared" si="1307"/>
        <v>76</v>
      </c>
      <c r="BW60" s="18">
        <f t="shared" si="121"/>
        <v>79</v>
      </c>
      <c r="BX60" s="18">
        <v>4</v>
      </c>
      <c r="BY60" s="303" t="str">
        <f t="shared" si="1773"/>
        <v/>
      </c>
      <c r="BZ60" s="304"/>
      <c r="CA60" s="302" t="str">
        <f t="shared" si="1589"/>
        <v/>
      </c>
      <c r="CB60" s="349"/>
      <c r="CC60" s="40"/>
      <c r="CD60" s="62">
        <v>4</v>
      </c>
      <c r="CE60" s="19" t="str">
        <f t="shared" si="1774"/>
        <v>Outcome Index 4  | Odd 4</v>
      </c>
      <c r="CF60" s="18">
        <f t="shared" si="1308"/>
        <v>76</v>
      </c>
      <c r="CG60" s="18">
        <f t="shared" si="125"/>
        <v>79</v>
      </c>
      <c r="CH60" s="18">
        <v>4</v>
      </c>
      <c r="CI60" s="303" t="str">
        <f t="shared" si="1775"/>
        <v/>
      </c>
      <c r="CJ60" s="304"/>
      <c r="CK60" s="302" t="str">
        <f t="shared" si="1591"/>
        <v/>
      </c>
      <c r="CL60" s="349"/>
      <c r="CM60" s="40"/>
      <c r="CN60" s="62">
        <v>4</v>
      </c>
      <c r="CO60" s="19" t="str">
        <f t="shared" si="1776"/>
        <v>Outcome Index 4  | Odd 4</v>
      </c>
      <c r="CP60" s="18">
        <f t="shared" si="1309"/>
        <v>76</v>
      </c>
      <c r="CQ60" s="18">
        <f t="shared" si="129"/>
        <v>79</v>
      </c>
      <c r="CR60" s="18">
        <v>4</v>
      </c>
      <c r="CS60" s="303" t="str">
        <f t="shared" si="1777"/>
        <v/>
      </c>
      <c r="CT60" s="304"/>
      <c r="CU60" s="302" t="str">
        <f t="shared" si="1593"/>
        <v/>
      </c>
      <c r="CV60" s="349"/>
      <c r="CW60" s="40"/>
      <c r="CX60" s="62">
        <v>4</v>
      </c>
      <c r="CY60" s="19" t="str">
        <f t="shared" si="1778"/>
        <v>Outcome Index 4  | Odd 4</v>
      </c>
      <c r="CZ60" s="18">
        <f t="shared" si="1310"/>
        <v>76</v>
      </c>
      <c r="DA60" s="18">
        <f t="shared" si="133"/>
        <v>79</v>
      </c>
      <c r="DB60" s="18">
        <v>4</v>
      </c>
      <c r="DC60" s="303" t="str">
        <f t="shared" si="1779"/>
        <v/>
      </c>
      <c r="DD60" s="304"/>
      <c r="DE60" s="302" t="str">
        <f t="shared" si="1595"/>
        <v/>
      </c>
      <c r="DF60" s="349"/>
      <c r="DG60" s="40"/>
      <c r="DH60" s="62">
        <v>4</v>
      </c>
      <c r="DI60" s="19" t="str">
        <f t="shared" si="1780"/>
        <v>Outcome Index 4  | Odd 4</v>
      </c>
      <c r="DJ60" s="18">
        <f t="shared" si="1311"/>
        <v>76</v>
      </c>
      <c r="DK60" s="18">
        <f t="shared" si="137"/>
        <v>79</v>
      </c>
      <c r="DL60" s="18">
        <v>4</v>
      </c>
      <c r="DM60" s="303" t="str">
        <f t="shared" si="1781"/>
        <v/>
      </c>
      <c r="DN60" s="304"/>
      <c r="DO60" s="302" t="str">
        <f t="shared" si="1597"/>
        <v/>
      </c>
      <c r="DP60" s="349"/>
      <c r="DQ60" s="40"/>
      <c r="DR60" s="62">
        <v>4</v>
      </c>
      <c r="DS60" s="19" t="str">
        <f t="shared" si="1782"/>
        <v>Outcome Index 4  | Odd 4</v>
      </c>
      <c r="DT60" s="18">
        <f t="shared" si="1312"/>
        <v>76</v>
      </c>
      <c r="DU60" s="18">
        <f t="shared" si="141"/>
        <v>79</v>
      </c>
      <c r="DV60" s="18">
        <v>4</v>
      </c>
      <c r="DW60" s="303" t="str">
        <f t="shared" si="1783"/>
        <v/>
      </c>
      <c r="DX60" s="304"/>
      <c r="DY60" s="302" t="str">
        <f t="shared" si="1599"/>
        <v/>
      </c>
      <c r="DZ60" s="349"/>
      <c r="EA60" s="40"/>
      <c r="EB60" s="62">
        <v>4</v>
      </c>
      <c r="EC60" s="19" t="str">
        <f t="shared" si="1784"/>
        <v>Outcome Index 4  | Odd 4</v>
      </c>
      <c r="ED60" s="18">
        <f t="shared" si="1313"/>
        <v>76</v>
      </c>
      <c r="EE60" s="18">
        <f t="shared" si="145"/>
        <v>79</v>
      </c>
      <c r="EF60" s="18">
        <v>4</v>
      </c>
      <c r="EG60" s="303" t="str">
        <f t="shared" si="1785"/>
        <v/>
      </c>
      <c r="EH60" s="304"/>
      <c r="EI60" s="302" t="str">
        <f t="shared" si="1601"/>
        <v/>
      </c>
      <c r="EJ60" s="349"/>
      <c r="EK60" s="40"/>
      <c r="EL60" s="62">
        <v>4</v>
      </c>
      <c r="EM60" s="19" t="str">
        <f t="shared" si="1786"/>
        <v>Outcome Index 4  | Odd 4</v>
      </c>
      <c r="EN60" s="18">
        <f t="shared" si="1314"/>
        <v>76</v>
      </c>
      <c r="EO60" s="18">
        <f t="shared" si="149"/>
        <v>79</v>
      </c>
      <c r="EP60" s="18">
        <v>4</v>
      </c>
      <c r="EQ60" s="303" t="str">
        <f t="shared" si="1787"/>
        <v/>
      </c>
      <c r="ER60" s="304"/>
      <c r="ES60" s="302" t="str">
        <f t="shared" si="1603"/>
        <v/>
      </c>
      <c r="ET60" s="349"/>
      <c r="EU60" s="40"/>
      <c r="EV60" s="62">
        <v>4</v>
      </c>
      <c r="EW60" s="19" t="str">
        <f t="shared" si="1788"/>
        <v>Outcome Index 4  | Odd 4</v>
      </c>
      <c r="EX60" s="18">
        <f t="shared" si="1315"/>
        <v>76</v>
      </c>
      <c r="EY60" s="18">
        <f t="shared" si="153"/>
        <v>79</v>
      </c>
      <c r="EZ60" s="18">
        <v>4</v>
      </c>
      <c r="FA60" s="303" t="str">
        <f t="shared" si="1789"/>
        <v/>
      </c>
      <c r="FB60" s="304"/>
      <c r="FC60" s="302" t="str">
        <f t="shared" si="1605"/>
        <v/>
      </c>
      <c r="FD60" s="349"/>
      <c r="FE60" s="40"/>
      <c r="FF60" s="62">
        <v>4</v>
      </c>
      <c r="FG60" s="19" t="str">
        <f t="shared" si="1790"/>
        <v>Outcome Index 4  | Odd 4</v>
      </c>
      <c r="FH60" s="18">
        <f t="shared" si="1316"/>
        <v>76</v>
      </c>
      <c r="FI60" s="18">
        <f t="shared" si="157"/>
        <v>79</v>
      </c>
      <c r="FJ60" s="18">
        <v>4</v>
      </c>
      <c r="FK60" s="303" t="str">
        <f t="shared" si="1791"/>
        <v/>
      </c>
      <c r="FL60" s="304"/>
      <c r="FM60" s="302" t="str">
        <f t="shared" si="1607"/>
        <v/>
      </c>
      <c r="FN60" s="349"/>
      <c r="FO60" s="40"/>
      <c r="FP60" s="62">
        <v>4</v>
      </c>
      <c r="FQ60" s="19" t="str">
        <f t="shared" si="1792"/>
        <v>Outcome Index 4  | Odd 4</v>
      </c>
      <c r="FR60" s="18">
        <f t="shared" si="1317"/>
        <v>76</v>
      </c>
      <c r="FS60" s="18">
        <f t="shared" si="161"/>
        <v>79</v>
      </c>
      <c r="FT60" s="18">
        <v>4</v>
      </c>
      <c r="FU60" s="303" t="str">
        <f t="shared" si="1793"/>
        <v/>
      </c>
      <c r="FV60" s="304"/>
      <c r="FW60" s="302" t="str">
        <f t="shared" si="1609"/>
        <v/>
      </c>
      <c r="FX60" s="349"/>
      <c r="FY60" s="40"/>
      <c r="FZ60" s="62">
        <v>4</v>
      </c>
      <c r="GA60" s="19" t="str">
        <f t="shared" si="1794"/>
        <v>Outcome Index 4  | Odd 4</v>
      </c>
      <c r="GB60" s="18">
        <f t="shared" si="1318"/>
        <v>76</v>
      </c>
      <c r="GC60" s="18">
        <f t="shared" si="165"/>
        <v>79</v>
      </c>
      <c r="GD60" s="18">
        <v>4</v>
      </c>
      <c r="GE60" s="303" t="str">
        <f t="shared" si="1795"/>
        <v/>
      </c>
      <c r="GF60" s="304"/>
      <c r="GG60" s="302" t="str">
        <f t="shared" si="1611"/>
        <v/>
      </c>
      <c r="GH60" s="349"/>
      <c r="GI60" s="40"/>
      <c r="GJ60" s="62">
        <v>4</v>
      </c>
      <c r="GK60" s="19" t="str">
        <f t="shared" si="1796"/>
        <v>Outcome Index 4  | Odd 4</v>
      </c>
      <c r="GL60" s="18">
        <f t="shared" si="1319"/>
        <v>76</v>
      </c>
      <c r="GM60" s="18">
        <f t="shared" si="169"/>
        <v>79</v>
      </c>
      <c r="GN60" s="18">
        <v>4</v>
      </c>
      <c r="GO60" s="303" t="str">
        <f t="shared" si="1797"/>
        <v/>
      </c>
      <c r="GP60" s="304"/>
      <c r="GQ60" s="302" t="str">
        <f t="shared" si="1613"/>
        <v/>
      </c>
      <c r="GR60" s="349"/>
      <c r="GS60" s="40"/>
      <c r="GT60" s="62">
        <v>4</v>
      </c>
      <c r="GU60" s="19" t="str">
        <f t="shared" si="1798"/>
        <v>Outcome Index 4  | Odd 4</v>
      </c>
      <c r="GV60" s="18">
        <f t="shared" si="1320"/>
        <v>76</v>
      </c>
      <c r="GW60" s="18">
        <f t="shared" si="173"/>
        <v>79</v>
      </c>
      <c r="GX60" s="18">
        <v>4</v>
      </c>
      <c r="GY60" s="303" t="str">
        <f t="shared" si="1799"/>
        <v/>
      </c>
      <c r="GZ60" s="304"/>
      <c r="HA60" s="302" t="str">
        <f t="shared" si="1615"/>
        <v/>
      </c>
      <c r="HB60" s="349"/>
      <c r="HC60" s="40"/>
      <c r="HD60" s="62">
        <v>4</v>
      </c>
      <c r="HE60" s="19" t="str">
        <f t="shared" si="1800"/>
        <v>Outcome Index 4  | Odd 4</v>
      </c>
      <c r="HF60" s="18">
        <f t="shared" si="1321"/>
        <v>76</v>
      </c>
      <c r="HG60" s="18">
        <f t="shared" si="177"/>
        <v>79</v>
      </c>
      <c r="HH60" s="18">
        <v>4</v>
      </c>
      <c r="HI60" s="303" t="str">
        <f t="shared" si="1801"/>
        <v/>
      </c>
      <c r="HJ60" s="304"/>
      <c r="HK60" s="302" t="str">
        <f t="shared" si="1617"/>
        <v/>
      </c>
      <c r="HL60" s="349"/>
      <c r="HM60" s="40"/>
      <c r="HN60" s="62">
        <v>4</v>
      </c>
      <c r="HO60" s="19" t="str">
        <f t="shared" si="1802"/>
        <v>Outcome Index 4  | Odd 4</v>
      </c>
      <c r="HP60" s="18">
        <f t="shared" si="1322"/>
        <v>76</v>
      </c>
      <c r="HQ60" s="18">
        <f t="shared" si="181"/>
        <v>79</v>
      </c>
      <c r="HR60" s="18">
        <v>4</v>
      </c>
      <c r="HS60" s="303" t="str">
        <f t="shared" si="1803"/>
        <v/>
      </c>
      <c r="HT60" s="304"/>
      <c r="HU60" s="302" t="str">
        <f t="shared" si="1619"/>
        <v/>
      </c>
      <c r="HV60" s="349"/>
      <c r="HW60" s="40"/>
      <c r="HX60" s="62">
        <v>4</v>
      </c>
      <c r="HY60" s="19" t="str">
        <f t="shared" si="1804"/>
        <v>Outcome Index 4  | Odd 4</v>
      </c>
      <c r="HZ60" s="18">
        <f t="shared" si="1323"/>
        <v>76</v>
      </c>
      <c r="IA60" s="18">
        <f t="shared" si="185"/>
        <v>79</v>
      </c>
      <c r="IB60" s="18">
        <v>4</v>
      </c>
      <c r="IC60" s="303" t="str">
        <f t="shared" si="1805"/>
        <v/>
      </c>
      <c r="ID60" s="304"/>
      <c r="IE60" s="302" t="str">
        <f t="shared" si="1621"/>
        <v/>
      </c>
      <c r="IF60" s="349"/>
      <c r="IG60" s="40"/>
      <c r="IH60" s="62">
        <v>4</v>
      </c>
      <c r="II60" s="19" t="str">
        <f t="shared" si="1806"/>
        <v>Outcome Index 4  | Odd 4</v>
      </c>
      <c r="IJ60" s="18">
        <f t="shared" si="1324"/>
        <v>76</v>
      </c>
      <c r="IK60" s="18">
        <f t="shared" si="189"/>
        <v>79</v>
      </c>
      <c r="IL60" s="18">
        <v>4</v>
      </c>
      <c r="IM60" s="303" t="str">
        <f t="shared" si="1807"/>
        <v/>
      </c>
      <c r="IN60" s="304"/>
      <c r="IO60" s="302" t="str">
        <f t="shared" si="1623"/>
        <v/>
      </c>
      <c r="IP60" s="349"/>
      <c r="IQ60" s="40"/>
      <c r="IR60" s="62">
        <v>4</v>
      </c>
      <c r="IS60" s="19" t="str">
        <f t="shared" si="1808"/>
        <v>Outcome Index 4  | Odd 4</v>
      </c>
      <c r="IT60" s="18">
        <f t="shared" si="1325"/>
        <v>76</v>
      </c>
      <c r="IU60" s="18">
        <f t="shared" si="193"/>
        <v>79</v>
      </c>
      <c r="IV60" s="18">
        <v>4</v>
      </c>
      <c r="IW60" s="303" t="str">
        <f t="shared" si="1809"/>
        <v/>
      </c>
      <c r="IX60" s="304"/>
      <c r="IY60" s="302" t="str">
        <f t="shared" si="1625"/>
        <v/>
      </c>
      <c r="IZ60" s="349"/>
      <c r="JA60" s="40"/>
      <c r="JB60" s="62">
        <v>4</v>
      </c>
      <c r="JC60" s="19" t="str">
        <f t="shared" si="1810"/>
        <v>Outcome Index 4  | Odd 4</v>
      </c>
      <c r="JD60" s="18">
        <f t="shared" si="1326"/>
        <v>76</v>
      </c>
      <c r="JE60" s="18">
        <f t="shared" si="197"/>
        <v>79</v>
      </c>
      <c r="JF60" s="18">
        <v>4</v>
      </c>
      <c r="JG60" s="303" t="str">
        <f t="shared" si="1811"/>
        <v/>
      </c>
      <c r="JH60" s="304"/>
      <c r="JI60" s="302" t="str">
        <f t="shared" si="1627"/>
        <v/>
      </c>
      <c r="JJ60" s="349"/>
      <c r="JK60" s="40"/>
      <c r="JL60" s="62">
        <v>4</v>
      </c>
      <c r="JM60" s="19" t="str">
        <f t="shared" si="1812"/>
        <v>Outcome Index 4  | Odd 4</v>
      </c>
      <c r="JN60" s="18">
        <f t="shared" si="1327"/>
        <v>76</v>
      </c>
      <c r="JO60" s="18">
        <f t="shared" si="201"/>
        <v>79</v>
      </c>
      <c r="JP60" s="18">
        <v>4</v>
      </c>
      <c r="JQ60" s="303" t="str">
        <f t="shared" si="1813"/>
        <v/>
      </c>
      <c r="JR60" s="304"/>
      <c r="JS60" s="302" t="str">
        <f t="shared" si="1629"/>
        <v/>
      </c>
      <c r="JT60" s="349"/>
      <c r="JU60" s="40"/>
      <c r="JV60" s="62">
        <v>4</v>
      </c>
      <c r="JW60" s="19" t="str">
        <f t="shared" si="1814"/>
        <v>Outcome Index 4  | Odd 4</v>
      </c>
      <c r="JX60" s="18">
        <f t="shared" si="1328"/>
        <v>76</v>
      </c>
      <c r="JY60" s="18">
        <f t="shared" si="205"/>
        <v>79</v>
      </c>
      <c r="JZ60" s="18">
        <v>4</v>
      </c>
      <c r="KA60" s="303" t="str">
        <f t="shared" si="1815"/>
        <v/>
      </c>
      <c r="KB60" s="304"/>
      <c r="KC60" s="302" t="str">
        <f t="shared" si="1631"/>
        <v/>
      </c>
      <c r="KD60" s="349"/>
      <c r="KE60" s="40"/>
      <c r="KF60" s="62">
        <v>4</v>
      </c>
      <c r="KG60" s="19" t="str">
        <f t="shared" si="1816"/>
        <v>Outcome Index 4  | Odd 4</v>
      </c>
      <c r="KH60" s="18">
        <f t="shared" si="1329"/>
        <v>76</v>
      </c>
      <c r="KI60" s="18">
        <f t="shared" si="209"/>
        <v>79</v>
      </c>
      <c r="KJ60" s="18">
        <v>4</v>
      </c>
      <c r="KK60" s="303" t="str">
        <f t="shared" si="1817"/>
        <v/>
      </c>
      <c r="KL60" s="304"/>
      <c r="KM60" s="302" t="str">
        <f t="shared" si="1633"/>
        <v/>
      </c>
      <c r="KN60" s="349"/>
      <c r="KO60" s="40"/>
      <c r="KP60" s="62">
        <v>4</v>
      </c>
      <c r="KQ60" s="19" t="str">
        <f t="shared" si="1818"/>
        <v>Outcome Index 4  | Odd 4</v>
      </c>
      <c r="KR60" s="18">
        <f t="shared" si="1330"/>
        <v>76</v>
      </c>
      <c r="KS60" s="18">
        <f t="shared" si="213"/>
        <v>79</v>
      </c>
      <c r="KT60" s="18">
        <v>4</v>
      </c>
      <c r="KU60" s="303" t="str">
        <f t="shared" si="1819"/>
        <v/>
      </c>
      <c r="KV60" s="304"/>
      <c r="KW60" s="302" t="str">
        <f t="shared" si="1635"/>
        <v/>
      </c>
      <c r="KX60" s="349"/>
      <c r="KY60" s="40"/>
      <c r="KZ60" s="62">
        <v>4</v>
      </c>
      <c r="LA60" s="19" t="str">
        <f t="shared" si="1820"/>
        <v>Outcome Index 4  | Odd 4</v>
      </c>
      <c r="LB60" s="18">
        <f t="shared" si="1331"/>
        <v>76</v>
      </c>
      <c r="LC60" s="18">
        <f t="shared" si="217"/>
        <v>79</v>
      </c>
      <c r="LD60" s="18">
        <v>4</v>
      </c>
      <c r="LE60" s="303" t="str">
        <f t="shared" si="1821"/>
        <v/>
      </c>
      <c r="LF60" s="304"/>
      <c r="LG60" s="302" t="str">
        <f t="shared" si="1637"/>
        <v/>
      </c>
      <c r="LH60" s="349"/>
      <c r="LI60" s="40"/>
      <c r="LJ60" s="62">
        <v>4</v>
      </c>
      <c r="LK60" s="19" t="str">
        <f t="shared" si="1822"/>
        <v>Outcome Index 4  | Odd 4</v>
      </c>
      <c r="LL60" s="18">
        <f t="shared" si="1332"/>
        <v>76</v>
      </c>
      <c r="LM60" s="18">
        <f t="shared" si="221"/>
        <v>79</v>
      </c>
      <c r="LN60" s="18">
        <v>4</v>
      </c>
      <c r="LO60" s="303" t="str">
        <f t="shared" si="1823"/>
        <v/>
      </c>
      <c r="LP60" s="304"/>
      <c r="LQ60" s="302" t="str">
        <f t="shared" si="1639"/>
        <v/>
      </c>
      <c r="LR60" s="349"/>
      <c r="LS60" s="40"/>
      <c r="LT60" s="62">
        <v>4</v>
      </c>
      <c r="LU60" s="19" t="str">
        <f t="shared" si="1824"/>
        <v>Outcome Index 4  | Odd 4</v>
      </c>
      <c r="LV60" s="18">
        <f t="shared" si="1333"/>
        <v>76</v>
      </c>
      <c r="LW60" s="18">
        <f t="shared" si="225"/>
        <v>79</v>
      </c>
      <c r="LX60" s="18">
        <v>4</v>
      </c>
      <c r="LY60" s="303" t="str">
        <f t="shared" si="1825"/>
        <v/>
      </c>
      <c r="LZ60" s="304"/>
      <c r="MA60" s="302" t="str">
        <f t="shared" si="1641"/>
        <v/>
      </c>
      <c r="MB60" s="349"/>
      <c r="MC60" s="40"/>
      <c r="MD60" s="62">
        <v>4</v>
      </c>
      <c r="ME60" s="19" t="str">
        <f t="shared" si="1826"/>
        <v>Outcome Index 4  | Odd 4</v>
      </c>
      <c r="MF60" s="18">
        <f t="shared" si="1334"/>
        <v>76</v>
      </c>
      <c r="MG60" s="18">
        <f t="shared" si="229"/>
        <v>79</v>
      </c>
      <c r="MH60" s="18">
        <v>4</v>
      </c>
      <c r="MI60" s="303" t="str">
        <f t="shared" si="1827"/>
        <v/>
      </c>
      <c r="MJ60" s="304"/>
      <c r="MK60" s="302" t="str">
        <f t="shared" si="1643"/>
        <v/>
      </c>
      <c r="ML60" s="349"/>
      <c r="MM60" s="40"/>
      <c r="MN60" s="62">
        <v>4</v>
      </c>
      <c r="MO60" s="19" t="str">
        <f t="shared" si="1828"/>
        <v>Outcome Index 4  | Odd 4</v>
      </c>
      <c r="MP60" s="18">
        <f t="shared" si="1335"/>
        <v>76</v>
      </c>
      <c r="MQ60" s="18">
        <f t="shared" si="233"/>
        <v>79</v>
      </c>
      <c r="MR60" s="18">
        <v>4</v>
      </c>
      <c r="MS60" s="303" t="str">
        <f t="shared" si="1829"/>
        <v/>
      </c>
      <c r="MT60" s="304"/>
      <c r="MU60" s="302" t="str">
        <f t="shared" si="1645"/>
        <v/>
      </c>
      <c r="MV60" s="349"/>
      <c r="MW60" s="40"/>
      <c r="MX60" s="62">
        <v>4</v>
      </c>
      <c r="MY60" s="19" t="str">
        <f t="shared" si="1830"/>
        <v>Outcome Index 4  | Odd 4</v>
      </c>
      <c r="MZ60" s="18">
        <f t="shared" si="1336"/>
        <v>76</v>
      </c>
      <c r="NA60" s="18">
        <f t="shared" si="237"/>
        <v>79</v>
      </c>
      <c r="NB60" s="18">
        <v>4</v>
      </c>
      <c r="NC60" s="303" t="str">
        <f t="shared" si="1831"/>
        <v/>
      </c>
      <c r="ND60" s="304"/>
      <c r="NE60" s="302" t="str">
        <f t="shared" si="1647"/>
        <v/>
      </c>
      <c r="NF60" s="349"/>
      <c r="NG60" s="40"/>
      <c r="NH60" s="62">
        <v>4</v>
      </c>
      <c r="NI60" s="19" t="str">
        <f t="shared" si="1832"/>
        <v>Outcome Index 4  | Odd 4</v>
      </c>
      <c r="NJ60" s="18">
        <f t="shared" si="1337"/>
        <v>76</v>
      </c>
      <c r="NK60" s="18">
        <f t="shared" si="241"/>
        <v>79</v>
      </c>
      <c r="NL60" s="18">
        <v>4</v>
      </c>
      <c r="NM60" s="303" t="str">
        <f t="shared" si="1833"/>
        <v/>
      </c>
      <c r="NN60" s="304"/>
      <c r="NO60" s="302" t="str">
        <f t="shared" si="1649"/>
        <v/>
      </c>
      <c r="NP60" s="349"/>
      <c r="NQ60" s="40"/>
      <c r="NR60" s="62">
        <v>4</v>
      </c>
      <c r="NS60" s="19" t="str">
        <f t="shared" si="1834"/>
        <v>Outcome Index 4  | Odd 4</v>
      </c>
      <c r="NT60" s="18">
        <f t="shared" si="1338"/>
        <v>76</v>
      </c>
      <c r="NU60" s="18">
        <f t="shared" si="245"/>
        <v>79</v>
      </c>
      <c r="NV60" s="18">
        <v>4</v>
      </c>
      <c r="NW60" s="303" t="str">
        <f t="shared" si="1835"/>
        <v/>
      </c>
      <c r="NX60" s="304"/>
      <c r="NY60" s="302" t="str">
        <f t="shared" si="1651"/>
        <v/>
      </c>
      <c r="NZ60" s="349"/>
      <c r="OA60" s="40"/>
      <c r="OB60" s="62">
        <v>4</v>
      </c>
      <c r="OC60" s="19" t="str">
        <f t="shared" si="1836"/>
        <v>Outcome Index 4  | Odd 4</v>
      </c>
      <c r="OD60" s="18">
        <f t="shared" si="1339"/>
        <v>76</v>
      </c>
      <c r="OE60" s="18">
        <f t="shared" si="249"/>
        <v>79</v>
      </c>
      <c r="OF60" s="18">
        <v>4</v>
      </c>
      <c r="OG60" s="303" t="str">
        <f t="shared" si="1837"/>
        <v/>
      </c>
      <c r="OH60" s="304"/>
      <c r="OI60" s="302" t="str">
        <f t="shared" si="1653"/>
        <v/>
      </c>
      <c r="OJ60" s="349"/>
      <c r="OK60" s="40"/>
      <c r="OL60" s="62">
        <v>4</v>
      </c>
      <c r="OM60" s="19" t="str">
        <f t="shared" si="1838"/>
        <v>Outcome Index 4  | Odd 4</v>
      </c>
      <c r="ON60" s="18">
        <f t="shared" si="1340"/>
        <v>76</v>
      </c>
      <c r="OO60" s="18">
        <f t="shared" si="253"/>
        <v>79</v>
      </c>
      <c r="OP60" s="18">
        <v>4</v>
      </c>
      <c r="OQ60" s="303" t="str">
        <f t="shared" si="1839"/>
        <v/>
      </c>
      <c r="OR60" s="304"/>
      <c r="OS60" s="302" t="str">
        <f t="shared" si="1655"/>
        <v/>
      </c>
      <c r="OT60" s="349"/>
      <c r="OU60" s="40"/>
      <c r="OV60" s="62">
        <v>4</v>
      </c>
      <c r="OW60" s="19" t="str">
        <f t="shared" si="1840"/>
        <v>Outcome Index 4  | Odd 4</v>
      </c>
      <c r="OX60" s="18">
        <f t="shared" si="1341"/>
        <v>76</v>
      </c>
      <c r="OY60" s="18">
        <f t="shared" si="257"/>
        <v>79</v>
      </c>
      <c r="OZ60" s="18">
        <v>4</v>
      </c>
      <c r="PA60" s="303" t="str">
        <f t="shared" si="1841"/>
        <v/>
      </c>
      <c r="PB60" s="304"/>
      <c r="PC60" s="302" t="str">
        <f t="shared" si="1657"/>
        <v/>
      </c>
      <c r="PD60" s="349"/>
      <c r="PE60" s="40"/>
      <c r="PF60" s="62">
        <v>4</v>
      </c>
      <c r="PG60" s="19" t="str">
        <f t="shared" si="1842"/>
        <v>Outcome Index 4  | Odd 4</v>
      </c>
      <c r="PH60" s="18">
        <f t="shared" si="1342"/>
        <v>76</v>
      </c>
      <c r="PI60" s="18">
        <f t="shared" si="261"/>
        <v>79</v>
      </c>
      <c r="PJ60" s="18">
        <v>4</v>
      </c>
      <c r="PK60" s="303" t="str">
        <f t="shared" si="1843"/>
        <v/>
      </c>
      <c r="PL60" s="304"/>
      <c r="PM60" s="302" t="str">
        <f t="shared" si="1659"/>
        <v/>
      </c>
      <c r="PN60" s="349"/>
      <c r="PO60" s="40"/>
      <c r="PP60" s="62">
        <v>4</v>
      </c>
      <c r="PQ60" s="19" t="str">
        <f t="shared" si="1844"/>
        <v>Outcome Index 4  | Odd 4</v>
      </c>
      <c r="PR60" s="18">
        <f t="shared" si="1343"/>
        <v>76</v>
      </c>
      <c r="PS60" s="18">
        <f t="shared" si="265"/>
        <v>79</v>
      </c>
      <c r="PT60" s="18">
        <v>4</v>
      </c>
      <c r="PU60" s="303" t="str">
        <f t="shared" si="1845"/>
        <v/>
      </c>
      <c r="PV60" s="304"/>
      <c r="PW60" s="302" t="str">
        <f t="shared" si="1661"/>
        <v/>
      </c>
      <c r="PX60" s="349"/>
      <c r="PY60" s="40"/>
      <c r="PZ60" s="62">
        <v>4</v>
      </c>
      <c r="QA60" s="19" t="str">
        <f t="shared" si="1846"/>
        <v>Outcome Index 4  | Odd 4</v>
      </c>
      <c r="QB60" s="18">
        <f t="shared" si="1344"/>
        <v>76</v>
      </c>
      <c r="QC60" s="18">
        <f t="shared" si="269"/>
        <v>79</v>
      </c>
      <c r="QD60" s="18">
        <v>4</v>
      </c>
      <c r="QE60" s="303" t="str">
        <f t="shared" si="1847"/>
        <v/>
      </c>
      <c r="QF60" s="304"/>
      <c r="QG60" s="302" t="str">
        <f t="shared" si="1663"/>
        <v/>
      </c>
      <c r="QH60" s="349"/>
      <c r="QI60" s="40"/>
      <c r="QJ60" s="62">
        <v>4</v>
      </c>
      <c r="QK60" s="19" t="str">
        <f t="shared" si="1848"/>
        <v>Outcome Index 4  | Odd 4</v>
      </c>
      <c r="QL60" s="18">
        <f t="shared" si="1345"/>
        <v>76</v>
      </c>
      <c r="QM60" s="18">
        <f t="shared" si="273"/>
        <v>79</v>
      </c>
      <c r="QN60" s="18">
        <v>4</v>
      </c>
      <c r="QO60" s="303" t="str">
        <f t="shared" si="1849"/>
        <v/>
      </c>
      <c r="QP60" s="304"/>
      <c r="QQ60" s="302" t="str">
        <f t="shared" si="1665"/>
        <v/>
      </c>
      <c r="QR60" s="349"/>
      <c r="QS60" s="40"/>
      <c r="QT60" s="62">
        <v>4</v>
      </c>
      <c r="QU60" s="19" t="str">
        <f t="shared" si="1850"/>
        <v>Outcome Index 4  | Odd 4</v>
      </c>
      <c r="QV60" s="18">
        <f t="shared" si="1346"/>
        <v>76</v>
      </c>
      <c r="QW60" s="18">
        <f t="shared" si="277"/>
        <v>79</v>
      </c>
      <c r="QX60" s="18">
        <v>4</v>
      </c>
      <c r="QY60" s="303" t="str">
        <f t="shared" si="1851"/>
        <v/>
      </c>
      <c r="QZ60" s="304"/>
      <c r="RA60" s="302" t="str">
        <f t="shared" si="1667"/>
        <v/>
      </c>
      <c r="RB60" s="349"/>
      <c r="RC60" s="40"/>
      <c r="RD60" s="62">
        <v>4</v>
      </c>
      <c r="RE60" s="19" t="str">
        <f t="shared" si="1852"/>
        <v>Outcome Index 4  | Odd 4</v>
      </c>
      <c r="RF60" s="18">
        <f t="shared" si="1347"/>
        <v>76</v>
      </c>
      <c r="RG60" s="18">
        <f t="shared" si="281"/>
        <v>79</v>
      </c>
      <c r="RH60" s="18">
        <v>4</v>
      </c>
      <c r="RI60" s="303" t="str">
        <f t="shared" si="1853"/>
        <v/>
      </c>
      <c r="RJ60" s="304"/>
      <c r="RK60" s="302" t="str">
        <f t="shared" si="1669"/>
        <v/>
      </c>
      <c r="RL60" s="349"/>
      <c r="RM60" s="40"/>
      <c r="RN60" s="62">
        <v>4</v>
      </c>
      <c r="RO60" s="19" t="str">
        <f t="shared" si="1854"/>
        <v>Outcome Index 4  | Odd 4</v>
      </c>
      <c r="RP60" s="18">
        <f t="shared" si="1348"/>
        <v>76</v>
      </c>
      <c r="RQ60" s="18">
        <f t="shared" si="285"/>
        <v>79</v>
      </c>
      <c r="RR60" s="18">
        <v>4</v>
      </c>
      <c r="RS60" s="303" t="str">
        <f t="shared" si="1855"/>
        <v/>
      </c>
      <c r="RT60" s="304"/>
      <c r="RU60" s="302" t="str">
        <f t="shared" si="1671"/>
        <v/>
      </c>
      <c r="RV60" s="349"/>
      <c r="RW60" s="40"/>
      <c r="RX60" s="62">
        <v>4</v>
      </c>
      <c r="RY60" s="19" t="str">
        <f t="shared" si="1856"/>
        <v>Outcome Index 4  | Odd 4</v>
      </c>
      <c r="RZ60" s="18">
        <f t="shared" si="1349"/>
        <v>76</v>
      </c>
      <c r="SA60" s="18">
        <f t="shared" si="289"/>
        <v>79</v>
      </c>
      <c r="SB60" s="18">
        <v>4</v>
      </c>
      <c r="SC60" s="303" t="str">
        <f t="shared" si="1857"/>
        <v/>
      </c>
      <c r="SD60" s="304"/>
      <c r="SE60" s="302" t="str">
        <f t="shared" si="1673"/>
        <v/>
      </c>
      <c r="SF60" s="349"/>
      <c r="SG60" s="40"/>
      <c r="SH60" s="62">
        <v>4</v>
      </c>
      <c r="SI60" s="19" t="str">
        <f t="shared" si="1858"/>
        <v>Outcome Index 4  | Odd 4</v>
      </c>
      <c r="SJ60" s="18">
        <f t="shared" si="1350"/>
        <v>76</v>
      </c>
      <c r="SK60" s="18">
        <f t="shared" si="293"/>
        <v>79</v>
      </c>
      <c r="SL60" s="18">
        <v>4</v>
      </c>
      <c r="SM60" s="303" t="str">
        <f t="shared" si="1859"/>
        <v/>
      </c>
      <c r="SN60" s="304"/>
      <c r="SO60" s="302" t="str">
        <f t="shared" si="1675"/>
        <v/>
      </c>
      <c r="SP60" s="349"/>
      <c r="SQ60" s="40"/>
      <c r="SR60" s="62">
        <v>4</v>
      </c>
      <c r="SS60" s="19" t="str">
        <f t="shared" si="1860"/>
        <v>Outcome Index 4  | Odd 4</v>
      </c>
      <c r="ST60" s="18">
        <f t="shared" si="1351"/>
        <v>76</v>
      </c>
      <c r="SU60" s="18">
        <f t="shared" si="297"/>
        <v>79</v>
      </c>
      <c r="SV60" s="18">
        <v>4</v>
      </c>
      <c r="SW60" s="303" t="str">
        <f t="shared" si="1861"/>
        <v/>
      </c>
      <c r="SX60" s="304"/>
      <c r="SY60" s="302" t="str">
        <f t="shared" si="1677"/>
        <v/>
      </c>
      <c r="SZ60" s="349"/>
      <c r="TA60" s="40"/>
      <c r="TB60" s="62">
        <v>4</v>
      </c>
      <c r="TC60" s="19" t="str">
        <f t="shared" si="1862"/>
        <v>Outcome Index 4  | Odd 4</v>
      </c>
      <c r="TD60" s="18">
        <f t="shared" si="1352"/>
        <v>76</v>
      </c>
      <c r="TE60" s="18">
        <f t="shared" si="301"/>
        <v>79</v>
      </c>
      <c r="TF60" s="18">
        <v>4</v>
      </c>
      <c r="TG60" s="303" t="str">
        <f t="shared" si="1863"/>
        <v/>
      </c>
      <c r="TH60" s="304"/>
      <c r="TI60" s="302" t="str">
        <f t="shared" si="1679"/>
        <v/>
      </c>
      <c r="TJ60" s="349"/>
      <c r="TK60" s="40"/>
      <c r="TL60" s="62">
        <v>4</v>
      </c>
      <c r="TM60" s="19" t="str">
        <f t="shared" si="1864"/>
        <v>Outcome Index 4  | Odd 4</v>
      </c>
      <c r="TN60" s="18">
        <f t="shared" si="1353"/>
        <v>76</v>
      </c>
      <c r="TO60" s="18">
        <f t="shared" si="305"/>
        <v>79</v>
      </c>
      <c r="TP60" s="18">
        <v>4</v>
      </c>
      <c r="TQ60" s="303" t="str">
        <f t="shared" si="1865"/>
        <v/>
      </c>
      <c r="TR60" s="304"/>
      <c r="TS60" s="302" t="str">
        <f t="shared" si="1681"/>
        <v/>
      </c>
      <c r="TT60" s="349"/>
      <c r="TU60" s="40"/>
      <c r="TV60" s="62">
        <v>4</v>
      </c>
      <c r="TW60" s="19" t="str">
        <f t="shared" si="1866"/>
        <v>Outcome Index 4  | Odd 4</v>
      </c>
      <c r="TX60" s="18">
        <f t="shared" si="1354"/>
        <v>76</v>
      </c>
      <c r="TY60" s="18">
        <f t="shared" si="309"/>
        <v>79</v>
      </c>
      <c r="TZ60" s="18">
        <v>4</v>
      </c>
      <c r="UA60" s="303" t="str">
        <f t="shared" si="1867"/>
        <v/>
      </c>
      <c r="UB60" s="304"/>
      <c r="UC60" s="302" t="str">
        <f t="shared" si="1683"/>
        <v/>
      </c>
      <c r="UD60" s="349"/>
      <c r="UE60" s="40"/>
      <c r="UF60" s="62">
        <v>4</v>
      </c>
      <c r="UG60" s="19" t="str">
        <f t="shared" si="1868"/>
        <v>Outcome Index 4  | Odd 4</v>
      </c>
      <c r="UH60" s="18">
        <f t="shared" si="1355"/>
        <v>76</v>
      </c>
      <c r="UI60" s="18">
        <f t="shared" si="313"/>
        <v>79</v>
      </c>
      <c r="UJ60" s="18">
        <v>4</v>
      </c>
      <c r="UK60" s="303" t="str">
        <f t="shared" si="1869"/>
        <v/>
      </c>
      <c r="UL60" s="304"/>
      <c r="UM60" s="302" t="str">
        <f t="shared" si="1685"/>
        <v/>
      </c>
      <c r="UN60" s="349"/>
      <c r="UO60" s="40"/>
      <c r="UP60" s="62">
        <v>4</v>
      </c>
      <c r="UQ60" s="19" t="str">
        <f t="shared" si="1870"/>
        <v>Outcome Index 4  | Odd 4</v>
      </c>
      <c r="UR60" s="18">
        <f t="shared" si="1356"/>
        <v>76</v>
      </c>
      <c r="US60" s="18">
        <f t="shared" si="317"/>
        <v>79</v>
      </c>
      <c r="UT60" s="18">
        <v>4</v>
      </c>
      <c r="UU60" s="303" t="str">
        <f t="shared" si="1871"/>
        <v/>
      </c>
      <c r="UV60" s="304"/>
      <c r="UW60" s="302" t="str">
        <f t="shared" si="1687"/>
        <v/>
      </c>
      <c r="UX60" s="349"/>
      <c r="UY60" s="40"/>
      <c r="UZ60" s="62">
        <v>4</v>
      </c>
      <c r="VA60" s="19" t="str">
        <f t="shared" si="1872"/>
        <v>Outcome Index 4  | Odd 4</v>
      </c>
      <c r="VB60" s="18">
        <f t="shared" si="1357"/>
        <v>76</v>
      </c>
      <c r="VC60" s="18">
        <f t="shared" si="321"/>
        <v>79</v>
      </c>
      <c r="VD60" s="18">
        <v>4</v>
      </c>
      <c r="VE60" s="303" t="str">
        <f t="shared" si="1873"/>
        <v/>
      </c>
      <c r="VF60" s="304"/>
      <c r="VG60" s="302" t="str">
        <f t="shared" si="1689"/>
        <v/>
      </c>
      <c r="VH60" s="349"/>
      <c r="VI60" s="40"/>
      <c r="VJ60" s="62">
        <v>4</v>
      </c>
      <c r="VK60" s="19" t="str">
        <f t="shared" si="1874"/>
        <v>Outcome Index 4  | Odd 4</v>
      </c>
      <c r="VL60" s="18">
        <f t="shared" si="1358"/>
        <v>76</v>
      </c>
      <c r="VM60" s="18">
        <f t="shared" si="325"/>
        <v>79</v>
      </c>
      <c r="VN60" s="18">
        <v>4</v>
      </c>
      <c r="VO60" s="303" t="str">
        <f t="shared" si="1875"/>
        <v/>
      </c>
      <c r="VP60" s="304"/>
      <c r="VQ60" s="302" t="str">
        <f t="shared" si="1691"/>
        <v/>
      </c>
      <c r="VR60" s="349"/>
      <c r="VS60" s="40"/>
      <c r="VT60" s="62">
        <v>4</v>
      </c>
      <c r="VU60" s="19" t="str">
        <f t="shared" si="1876"/>
        <v>Outcome Index 4  | Odd 4</v>
      </c>
      <c r="VV60" s="18">
        <f t="shared" si="1359"/>
        <v>76</v>
      </c>
      <c r="VW60" s="18">
        <f t="shared" si="329"/>
        <v>79</v>
      </c>
      <c r="VX60" s="18">
        <v>4</v>
      </c>
      <c r="VY60" s="303" t="str">
        <f t="shared" si="1877"/>
        <v/>
      </c>
      <c r="VZ60" s="304"/>
      <c r="WA60" s="302" t="str">
        <f t="shared" si="1693"/>
        <v/>
      </c>
      <c r="WB60" s="349"/>
      <c r="WC60" s="40"/>
      <c r="WD60" s="62">
        <v>4</v>
      </c>
      <c r="WE60" s="19" t="str">
        <f t="shared" si="1878"/>
        <v>Outcome Index 4  | Odd 4</v>
      </c>
      <c r="WF60" s="18">
        <f t="shared" si="1360"/>
        <v>76</v>
      </c>
      <c r="WG60" s="18">
        <f t="shared" si="333"/>
        <v>79</v>
      </c>
      <c r="WH60" s="18">
        <v>4</v>
      </c>
      <c r="WI60" s="303" t="str">
        <f t="shared" si="1879"/>
        <v/>
      </c>
      <c r="WJ60" s="304"/>
      <c r="WK60" s="302" t="str">
        <f t="shared" si="1695"/>
        <v/>
      </c>
      <c r="WL60" s="349"/>
      <c r="WM60" s="40"/>
      <c r="WN60" s="62">
        <v>4</v>
      </c>
      <c r="WO60" s="19" t="str">
        <f t="shared" si="1880"/>
        <v>Outcome Index 4  | Odd 4</v>
      </c>
      <c r="WP60" s="18">
        <f t="shared" si="1361"/>
        <v>76</v>
      </c>
      <c r="WQ60" s="18">
        <f t="shared" si="337"/>
        <v>79</v>
      </c>
      <c r="WR60" s="18">
        <v>4</v>
      </c>
      <c r="WS60" s="303" t="str">
        <f t="shared" si="1881"/>
        <v/>
      </c>
      <c r="WT60" s="304"/>
      <c r="WU60" s="302" t="str">
        <f t="shared" si="1697"/>
        <v/>
      </c>
      <c r="WV60" s="349"/>
      <c r="WW60" s="40"/>
      <c r="WX60" s="62">
        <v>4</v>
      </c>
      <c r="WY60" s="19" t="str">
        <f t="shared" si="1882"/>
        <v>Outcome Index 4  | Odd 4</v>
      </c>
      <c r="WZ60" s="18">
        <f t="shared" si="1362"/>
        <v>76</v>
      </c>
      <c r="XA60" s="18">
        <f t="shared" si="341"/>
        <v>79</v>
      </c>
      <c r="XB60" s="18">
        <v>4</v>
      </c>
      <c r="XC60" s="303" t="str">
        <f t="shared" si="1883"/>
        <v/>
      </c>
      <c r="XD60" s="304"/>
      <c r="XE60" s="302" t="str">
        <f t="shared" si="1699"/>
        <v/>
      </c>
      <c r="XF60" s="349"/>
      <c r="XG60" s="40"/>
      <c r="XH60" s="62">
        <v>4</v>
      </c>
      <c r="XI60" s="19" t="str">
        <f t="shared" si="1884"/>
        <v>Outcome Index 4  | Odd 4</v>
      </c>
      <c r="XJ60" s="18">
        <f t="shared" si="1363"/>
        <v>76</v>
      </c>
      <c r="XK60" s="18">
        <f t="shared" si="345"/>
        <v>79</v>
      </c>
      <c r="XL60" s="18">
        <v>4</v>
      </c>
      <c r="XM60" s="303" t="str">
        <f t="shared" si="1885"/>
        <v/>
      </c>
      <c r="XN60" s="304"/>
      <c r="XO60" s="302" t="str">
        <f t="shared" si="1701"/>
        <v/>
      </c>
      <c r="XP60" s="349"/>
      <c r="XQ60" s="40"/>
      <c r="XR60" s="62">
        <v>4</v>
      </c>
      <c r="XS60" s="19" t="str">
        <f t="shared" si="1886"/>
        <v>Outcome Index 4  | Odd 4</v>
      </c>
      <c r="XT60" s="18">
        <f t="shared" si="1364"/>
        <v>76</v>
      </c>
      <c r="XU60" s="18">
        <f t="shared" si="349"/>
        <v>79</v>
      </c>
      <c r="XV60" s="18">
        <v>4</v>
      </c>
      <c r="XW60" s="303" t="str">
        <f t="shared" si="1887"/>
        <v/>
      </c>
      <c r="XX60" s="304"/>
      <c r="XY60" s="302" t="str">
        <f t="shared" si="1703"/>
        <v/>
      </c>
      <c r="XZ60" s="349"/>
      <c r="YA60" s="40"/>
      <c r="YB60" s="62">
        <v>4</v>
      </c>
      <c r="YC60" s="19" t="str">
        <f t="shared" si="1888"/>
        <v>Outcome Index 4  | Odd 4</v>
      </c>
      <c r="YD60" s="18">
        <f t="shared" si="1365"/>
        <v>76</v>
      </c>
      <c r="YE60" s="18">
        <f t="shared" si="353"/>
        <v>79</v>
      </c>
      <c r="YF60" s="18">
        <v>4</v>
      </c>
      <c r="YG60" s="303" t="str">
        <f t="shared" si="1889"/>
        <v/>
      </c>
      <c r="YH60" s="304"/>
      <c r="YI60" s="302" t="str">
        <f t="shared" si="1705"/>
        <v/>
      </c>
      <c r="YJ60" s="349"/>
      <c r="YK60" s="40"/>
      <c r="YL60" s="62">
        <v>4</v>
      </c>
      <c r="YM60" s="19" t="str">
        <f t="shared" si="1890"/>
        <v>Outcome Index 4  | Odd 4</v>
      </c>
      <c r="YN60" s="18">
        <f t="shared" si="1366"/>
        <v>76</v>
      </c>
      <c r="YO60" s="18">
        <f t="shared" si="357"/>
        <v>79</v>
      </c>
      <c r="YP60" s="18">
        <v>4</v>
      </c>
      <c r="YQ60" s="303" t="str">
        <f t="shared" si="1891"/>
        <v/>
      </c>
      <c r="YR60" s="304"/>
      <c r="YS60" s="302" t="str">
        <f t="shared" si="1707"/>
        <v/>
      </c>
      <c r="YT60" s="349"/>
      <c r="YU60" s="40"/>
      <c r="YV60" s="62">
        <v>4</v>
      </c>
      <c r="YW60" s="19" t="str">
        <f t="shared" si="1892"/>
        <v>Outcome Index 4  | Odd 4</v>
      </c>
      <c r="YX60" s="18">
        <f t="shared" si="1367"/>
        <v>76</v>
      </c>
      <c r="YY60" s="18">
        <f t="shared" si="361"/>
        <v>79</v>
      </c>
      <c r="YZ60" s="18">
        <v>4</v>
      </c>
      <c r="ZA60" s="303" t="str">
        <f t="shared" si="1893"/>
        <v/>
      </c>
      <c r="ZB60" s="304"/>
      <c r="ZC60" s="302" t="str">
        <f t="shared" si="1709"/>
        <v/>
      </c>
      <c r="ZD60" s="349"/>
      <c r="ZE60" s="40"/>
      <c r="ZF60" s="62">
        <v>4</v>
      </c>
      <c r="ZG60" s="19" t="str">
        <f t="shared" si="1894"/>
        <v>Outcome Index 4  | Odd 4</v>
      </c>
      <c r="ZH60" s="18">
        <f t="shared" si="1368"/>
        <v>76</v>
      </c>
      <c r="ZI60" s="18">
        <f t="shared" si="365"/>
        <v>79</v>
      </c>
      <c r="ZJ60" s="18">
        <v>4</v>
      </c>
      <c r="ZK60" s="303" t="str">
        <f t="shared" si="1895"/>
        <v/>
      </c>
      <c r="ZL60" s="304"/>
      <c r="ZM60" s="302" t="str">
        <f t="shared" si="1711"/>
        <v/>
      </c>
      <c r="ZN60" s="349"/>
      <c r="ZO60" s="40"/>
      <c r="ZP60" s="62">
        <v>4</v>
      </c>
      <c r="ZQ60" s="19" t="str">
        <f t="shared" si="1896"/>
        <v>Outcome Index 4  | Odd 4</v>
      </c>
      <c r="ZR60" s="18">
        <f t="shared" si="1369"/>
        <v>76</v>
      </c>
      <c r="ZS60" s="18">
        <f t="shared" si="369"/>
        <v>79</v>
      </c>
      <c r="ZT60" s="18">
        <v>4</v>
      </c>
      <c r="ZU60" s="303" t="str">
        <f t="shared" si="1897"/>
        <v/>
      </c>
      <c r="ZV60" s="304"/>
      <c r="ZW60" s="302" t="str">
        <f t="shared" si="1713"/>
        <v/>
      </c>
      <c r="ZX60" s="349"/>
      <c r="ZY60" s="40"/>
      <c r="ZZ60" s="62">
        <v>4</v>
      </c>
      <c r="AAA60" s="19" t="str">
        <f t="shared" si="1898"/>
        <v>Outcome Index 4  | Odd 4</v>
      </c>
      <c r="AAB60" s="18">
        <f t="shared" si="1370"/>
        <v>76</v>
      </c>
      <c r="AAC60" s="18">
        <f t="shared" si="373"/>
        <v>79</v>
      </c>
      <c r="AAD60" s="18">
        <v>4</v>
      </c>
      <c r="AAE60" s="303" t="str">
        <f t="shared" si="1899"/>
        <v/>
      </c>
      <c r="AAF60" s="304"/>
      <c r="AAG60" s="302" t="str">
        <f t="shared" si="1715"/>
        <v/>
      </c>
      <c r="AAH60" s="349"/>
      <c r="AAI60" s="40"/>
      <c r="AAJ60" s="62">
        <v>4</v>
      </c>
      <c r="AAK60" s="19" t="str">
        <f t="shared" si="1900"/>
        <v>Outcome Index 4  | Odd 4</v>
      </c>
      <c r="AAL60" s="18">
        <f t="shared" si="1371"/>
        <v>76</v>
      </c>
      <c r="AAM60" s="18">
        <f t="shared" si="377"/>
        <v>79</v>
      </c>
      <c r="AAN60" s="18">
        <v>4</v>
      </c>
      <c r="AAO60" s="303" t="str">
        <f t="shared" si="1901"/>
        <v/>
      </c>
      <c r="AAP60" s="304"/>
      <c r="AAQ60" s="302" t="str">
        <f t="shared" si="1717"/>
        <v/>
      </c>
      <c r="AAR60" s="349"/>
      <c r="AAS60" s="40"/>
      <c r="AAT60" s="62">
        <v>4</v>
      </c>
      <c r="AAU60" s="19" t="str">
        <f t="shared" si="1902"/>
        <v>Outcome Index 4  | Odd 4</v>
      </c>
      <c r="AAV60" s="18">
        <f t="shared" si="1372"/>
        <v>76</v>
      </c>
      <c r="AAW60" s="18">
        <f t="shared" si="381"/>
        <v>79</v>
      </c>
      <c r="AAX60" s="18">
        <v>4</v>
      </c>
      <c r="AAY60" s="303" t="str">
        <f t="shared" si="1903"/>
        <v/>
      </c>
      <c r="AAZ60" s="304"/>
      <c r="ABA60" s="302" t="str">
        <f t="shared" si="1719"/>
        <v/>
      </c>
      <c r="ABB60" s="349"/>
      <c r="ABC60" s="40"/>
      <c r="ABD60" s="62">
        <v>4</v>
      </c>
      <c r="ABE60" s="19" t="str">
        <f t="shared" si="1904"/>
        <v>Outcome Index 4  | Odd 4</v>
      </c>
      <c r="ABF60" s="18">
        <f t="shared" si="1373"/>
        <v>76</v>
      </c>
      <c r="ABG60" s="18">
        <f t="shared" si="385"/>
        <v>79</v>
      </c>
      <c r="ABH60" s="18">
        <v>4</v>
      </c>
      <c r="ABI60" s="303" t="str">
        <f t="shared" si="1905"/>
        <v/>
      </c>
      <c r="ABJ60" s="304"/>
      <c r="ABK60" s="302" t="str">
        <f t="shared" si="1721"/>
        <v/>
      </c>
      <c r="ABL60" s="349"/>
      <c r="ABM60" s="40"/>
      <c r="ABN60" s="62">
        <v>4</v>
      </c>
      <c r="ABO60" s="19" t="str">
        <f t="shared" si="1906"/>
        <v>Outcome Index 4  | Odd 4</v>
      </c>
      <c r="ABP60" s="18">
        <f t="shared" si="1374"/>
        <v>76</v>
      </c>
      <c r="ABQ60" s="18">
        <f t="shared" si="389"/>
        <v>79</v>
      </c>
      <c r="ABR60" s="18">
        <v>4</v>
      </c>
      <c r="ABS60" s="303" t="str">
        <f t="shared" si="1907"/>
        <v/>
      </c>
      <c r="ABT60" s="304"/>
      <c r="ABU60" s="302" t="str">
        <f t="shared" si="1723"/>
        <v/>
      </c>
      <c r="ABV60" s="349"/>
      <c r="ABW60" s="40"/>
      <c r="ABX60" s="62">
        <v>4</v>
      </c>
      <c r="ABY60" s="19" t="str">
        <f t="shared" si="1908"/>
        <v>Outcome Index 4  | Odd 4</v>
      </c>
      <c r="ABZ60" s="18">
        <f t="shared" si="1375"/>
        <v>76</v>
      </c>
      <c r="ACA60" s="18">
        <f t="shared" si="393"/>
        <v>79</v>
      </c>
      <c r="ACB60" s="18">
        <v>4</v>
      </c>
      <c r="ACC60" s="303" t="str">
        <f t="shared" si="1909"/>
        <v/>
      </c>
      <c r="ACD60" s="304"/>
      <c r="ACE60" s="302" t="str">
        <f t="shared" si="1725"/>
        <v/>
      </c>
      <c r="ACF60" s="349"/>
      <c r="ACG60" s="40"/>
      <c r="ACH60" s="62">
        <v>4</v>
      </c>
      <c r="ACI60" s="19" t="str">
        <f t="shared" si="1910"/>
        <v>Outcome Index 4  | Odd 4</v>
      </c>
      <c r="ACJ60" s="18">
        <f t="shared" si="1376"/>
        <v>76</v>
      </c>
      <c r="ACK60" s="18">
        <f t="shared" si="397"/>
        <v>79</v>
      </c>
      <c r="ACL60" s="18">
        <v>4</v>
      </c>
      <c r="ACM60" s="303" t="str">
        <f t="shared" si="1911"/>
        <v/>
      </c>
      <c r="ACN60" s="304"/>
      <c r="ACO60" s="302" t="str">
        <f t="shared" si="1727"/>
        <v/>
      </c>
      <c r="ACP60" s="349"/>
      <c r="ACQ60" s="40"/>
      <c r="ACR60" s="62">
        <v>4</v>
      </c>
      <c r="ACS60" s="19" t="str">
        <f t="shared" si="1912"/>
        <v>Outcome Index 4  | Odd 4</v>
      </c>
      <c r="ACT60" s="18">
        <f t="shared" si="1377"/>
        <v>76</v>
      </c>
      <c r="ACU60" s="18">
        <f t="shared" si="401"/>
        <v>79</v>
      </c>
      <c r="ACV60" s="18">
        <v>4</v>
      </c>
      <c r="ACW60" s="303" t="str">
        <f t="shared" si="1913"/>
        <v/>
      </c>
      <c r="ACX60" s="304"/>
      <c r="ACY60" s="302" t="str">
        <f t="shared" si="1729"/>
        <v/>
      </c>
      <c r="ACZ60" s="349"/>
      <c r="ADA60" s="40"/>
      <c r="ADB60" s="62">
        <v>4</v>
      </c>
      <c r="ADC60" s="19" t="str">
        <f t="shared" si="1914"/>
        <v>Outcome Index 4  | Odd 4</v>
      </c>
      <c r="ADD60" s="18">
        <f t="shared" si="1378"/>
        <v>76</v>
      </c>
      <c r="ADE60" s="18">
        <f t="shared" si="405"/>
        <v>79</v>
      </c>
      <c r="ADF60" s="18">
        <v>4</v>
      </c>
      <c r="ADG60" s="303" t="str">
        <f t="shared" si="1915"/>
        <v/>
      </c>
      <c r="ADH60" s="304"/>
      <c r="ADI60" s="302" t="str">
        <f t="shared" si="1731"/>
        <v/>
      </c>
      <c r="ADJ60" s="349"/>
      <c r="ADK60" s="40"/>
      <c r="ADL60" s="62">
        <v>4</v>
      </c>
      <c r="ADM60" s="19" t="str">
        <f t="shared" si="1916"/>
        <v>Outcome Index 4  | Odd 4</v>
      </c>
      <c r="ADN60" s="18">
        <f t="shared" si="1379"/>
        <v>76</v>
      </c>
      <c r="ADO60" s="18">
        <f t="shared" si="409"/>
        <v>79</v>
      </c>
      <c r="ADP60" s="18">
        <v>4</v>
      </c>
      <c r="ADQ60" s="303" t="str">
        <f t="shared" si="1917"/>
        <v/>
      </c>
      <c r="ADR60" s="304"/>
      <c r="ADS60" s="302" t="str">
        <f t="shared" si="1733"/>
        <v/>
      </c>
      <c r="ADT60" s="349"/>
      <c r="ADU60" s="40"/>
      <c r="ADV60" s="62">
        <v>4</v>
      </c>
      <c r="ADW60" s="19" t="str">
        <f t="shared" si="1918"/>
        <v>Outcome Index 4  | Odd 4</v>
      </c>
      <c r="ADX60" s="18">
        <f t="shared" si="1380"/>
        <v>76</v>
      </c>
      <c r="ADY60" s="18">
        <f t="shared" si="413"/>
        <v>79</v>
      </c>
      <c r="ADZ60" s="18">
        <v>4</v>
      </c>
      <c r="AEA60" s="303" t="str">
        <f t="shared" si="1919"/>
        <v/>
      </c>
      <c r="AEB60" s="304"/>
      <c r="AEC60" s="302" t="str">
        <f t="shared" si="1735"/>
        <v/>
      </c>
      <c r="AED60" s="349"/>
      <c r="AEE60" s="40"/>
      <c r="AEF60" s="62">
        <v>4</v>
      </c>
      <c r="AEG60" s="19" t="str">
        <f t="shared" si="1920"/>
        <v>Outcome Index 4  | Odd 4</v>
      </c>
      <c r="AEH60" s="18">
        <f t="shared" si="1381"/>
        <v>76</v>
      </c>
      <c r="AEI60" s="18">
        <f t="shared" si="417"/>
        <v>79</v>
      </c>
      <c r="AEJ60" s="18">
        <v>4</v>
      </c>
      <c r="AEK60" s="303" t="str">
        <f t="shared" si="1921"/>
        <v/>
      </c>
      <c r="AEL60" s="304"/>
      <c r="AEM60" s="302" t="str">
        <f t="shared" si="1737"/>
        <v/>
      </c>
      <c r="AEN60" s="349"/>
      <c r="AEO60" s="40"/>
      <c r="AEP60" s="62">
        <v>4</v>
      </c>
      <c r="AEQ60" s="19" t="str">
        <f t="shared" si="1922"/>
        <v>Outcome Index 4  | Odd 4</v>
      </c>
      <c r="AER60" s="18">
        <f t="shared" si="1382"/>
        <v>76</v>
      </c>
      <c r="AES60" s="18">
        <f t="shared" si="421"/>
        <v>79</v>
      </c>
      <c r="AET60" s="18">
        <v>4</v>
      </c>
      <c r="AEU60" s="303" t="str">
        <f t="shared" si="1923"/>
        <v/>
      </c>
      <c r="AEV60" s="304"/>
      <c r="AEW60" s="302" t="str">
        <f t="shared" si="1739"/>
        <v/>
      </c>
      <c r="AEX60" s="349"/>
      <c r="AEY60" s="40"/>
      <c r="AEZ60" s="62">
        <v>4</v>
      </c>
      <c r="AFA60" s="19" t="str">
        <f t="shared" si="1924"/>
        <v>Outcome Index 4  | Odd 4</v>
      </c>
      <c r="AFB60" s="18">
        <f t="shared" si="1383"/>
        <v>76</v>
      </c>
      <c r="AFC60" s="18">
        <f t="shared" si="425"/>
        <v>79</v>
      </c>
      <c r="AFD60" s="18">
        <v>4</v>
      </c>
      <c r="AFE60" s="303" t="str">
        <f t="shared" si="1925"/>
        <v/>
      </c>
      <c r="AFF60" s="304"/>
      <c r="AFG60" s="302" t="str">
        <f t="shared" si="1741"/>
        <v/>
      </c>
      <c r="AFH60" s="349"/>
      <c r="AFI60" s="40"/>
      <c r="AFJ60" s="62">
        <v>4</v>
      </c>
      <c r="AFK60" s="19" t="str">
        <f t="shared" si="1926"/>
        <v>Outcome Index 4  | Odd 4</v>
      </c>
      <c r="AFL60" s="18">
        <f t="shared" si="1384"/>
        <v>76</v>
      </c>
      <c r="AFM60" s="18">
        <f t="shared" si="429"/>
        <v>79</v>
      </c>
      <c r="AFN60" s="18">
        <v>4</v>
      </c>
      <c r="AFO60" s="303" t="str">
        <f t="shared" si="1927"/>
        <v/>
      </c>
      <c r="AFP60" s="304"/>
      <c r="AFQ60" s="302" t="str">
        <f t="shared" si="1743"/>
        <v/>
      </c>
      <c r="AFR60" s="349"/>
      <c r="AFS60" s="40"/>
      <c r="AFT60" s="62">
        <v>4</v>
      </c>
      <c r="AFU60" s="19" t="str">
        <f t="shared" si="1928"/>
        <v>Outcome Index 4  | Odd 4</v>
      </c>
      <c r="AFV60" s="18">
        <f t="shared" si="1385"/>
        <v>76</v>
      </c>
      <c r="AFW60" s="18">
        <f t="shared" si="433"/>
        <v>79</v>
      </c>
      <c r="AFX60" s="18">
        <v>4</v>
      </c>
      <c r="AFY60" s="303" t="str">
        <f t="shared" si="1929"/>
        <v/>
      </c>
      <c r="AFZ60" s="304"/>
      <c r="AGA60" s="302" t="str">
        <f t="shared" si="1745"/>
        <v/>
      </c>
      <c r="AGB60" s="349"/>
      <c r="AGC60" s="40"/>
      <c r="AGD60" s="62">
        <v>4</v>
      </c>
      <c r="AGE60" s="19" t="str">
        <f t="shared" si="1930"/>
        <v>Outcome Index 4  | Odd 4</v>
      </c>
      <c r="AGF60" s="18">
        <f t="shared" si="1386"/>
        <v>76</v>
      </c>
      <c r="AGG60" s="18">
        <f t="shared" si="437"/>
        <v>79</v>
      </c>
      <c r="AGH60" s="18">
        <v>4</v>
      </c>
      <c r="AGI60" s="303" t="str">
        <f t="shared" si="1931"/>
        <v/>
      </c>
      <c r="AGJ60" s="304"/>
      <c r="AGK60" s="302" t="str">
        <f t="shared" si="1747"/>
        <v/>
      </c>
      <c r="AGL60" s="349"/>
      <c r="AGM60" s="40"/>
      <c r="AGN60" s="62">
        <v>4</v>
      </c>
      <c r="AGO60" s="19" t="str">
        <f t="shared" si="1932"/>
        <v>Outcome Index 4  | Odd 4</v>
      </c>
      <c r="AGP60" s="18">
        <f t="shared" si="1387"/>
        <v>76</v>
      </c>
      <c r="AGQ60" s="18">
        <f t="shared" si="441"/>
        <v>79</v>
      </c>
      <c r="AGR60" s="18">
        <v>4</v>
      </c>
      <c r="AGS60" s="303" t="str">
        <f t="shared" si="1933"/>
        <v/>
      </c>
      <c r="AGT60" s="304"/>
      <c r="AGU60" s="302" t="str">
        <f t="shared" si="1749"/>
        <v/>
      </c>
      <c r="AGV60" s="349"/>
      <c r="AGW60" s="40"/>
      <c r="AGX60" s="62">
        <v>4</v>
      </c>
      <c r="AGY60" s="19" t="str">
        <f t="shared" si="1934"/>
        <v>Outcome Index 4  | Odd 4</v>
      </c>
      <c r="AGZ60" s="18">
        <f t="shared" si="1388"/>
        <v>76</v>
      </c>
      <c r="AHA60" s="18">
        <f t="shared" si="445"/>
        <v>79</v>
      </c>
      <c r="AHB60" s="18">
        <v>4</v>
      </c>
      <c r="AHC60" s="303" t="str">
        <f t="shared" si="1935"/>
        <v/>
      </c>
      <c r="AHD60" s="304"/>
      <c r="AHE60" s="302" t="str">
        <f t="shared" si="1751"/>
        <v/>
      </c>
      <c r="AHF60" s="349"/>
      <c r="AHG60" s="40"/>
      <c r="AHH60" s="62">
        <v>4</v>
      </c>
      <c r="AHI60" s="19" t="str">
        <f t="shared" si="1936"/>
        <v>Outcome Index 4  | Odd 4</v>
      </c>
      <c r="AHJ60" s="18">
        <f t="shared" si="1389"/>
        <v>76</v>
      </c>
      <c r="AHK60" s="18">
        <f t="shared" si="449"/>
        <v>79</v>
      </c>
      <c r="AHL60" s="18">
        <v>4</v>
      </c>
      <c r="AHM60" s="303" t="str">
        <f t="shared" si="1937"/>
        <v/>
      </c>
      <c r="AHN60" s="304"/>
      <c r="AHO60" s="302" t="str">
        <f t="shared" si="1753"/>
        <v/>
      </c>
      <c r="AHP60" s="349"/>
      <c r="AHQ60" s="40"/>
      <c r="AHR60" s="62">
        <v>4</v>
      </c>
      <c r="AHS60" s="19" t="str">
        <f t="shared" si="1938"/>
        <v>Outcome Index 4  | Odd 4</v>
      </c>
      <c r="AHT60" s="18">
        <f t="shared" si="1390"/>
        <v>76</v>
      </c>
      <c r="AHU60" s="18">
        <f t="shared" si="453"/>
        <v>79</v>
      </c>
      <c r="AHV60" s="18">
        <v>4</v>
      </c>
      <c r="AHW60" s="303" t="str">
        <f t="shared" si="1939"/>
        <v/>
      </c>
      <c r="AHX60" s="304"/>
      <c r="AHY60" s="302" t="str">
        <f t="shared" si="1755"/>
        <v/>
      </c>
      <c r="AHZ60" s="349"/>
      <c r="AIA60" s="40"/>
      <c r="AIB60" s="62">
        <v>4</v>
      </c>
      <c r="AIC60" s="19" t="str">
        <f t="shared" si="1940"/>
        <v>Outcome Index 4  | Odd 4</v>
      </c>
      <c r="AID60" s="18">
        <f t="shared" si="1391"/>
        <v>76</v>
      </c>
      <c r="AIE60" s="18">
        <f t="shared" si="457"/>
        <v>79</v>
      </c>
      <c r="AIF60" s="18">
        <v>4</v>
      </c>
      <c r="AIG60" s="303" t="str">
        <f t="shared" si="1941"/>
        <v/>
      </c>
      <c r="AIH60" s="304"/>
      <c r="AII60" s="302" t="str">
        <f t="shared" si="1757"/>
        <v/>
      </c>
      <c r="AIJ60" s="349"/>
      <c r="AIK60" s="40"/>
      <c r="AIL60" s="62">
        <v>4</v>
      </c>
      <c r="AIM60" s="19" t="str">
        <f t="shared" si="1942"/>
        <v>Outcome Index 4  | Odd 4</v>
      </c>
      <c r="AIN60" s="18">
        <f t="shared" si="1392"/>
        <v>76</v>
      </c>
      <c r="AIO60" s="18">
        <f t="shared" si="461"/>
        <v>79</v>
      </c>
      <c r="AIP60" s="18">
        <v>4</v>
      </c>
      <c r="AIQ60" s="303" t="str">
        <f t="shared" si="1943"/>
        <v/>
      </c>
      <c r="AIR60" s="304"/>
      <c r="AIS60" s="302" t="str">
        <f t="shared" si="1759"/>
        <v/>
      </c>
      <c r="AIT60" s="349"/>
      <c r="AIU60" s="40"/>
      <c r="AIV60" s="62">
        <v>4</v>
      </c>
      <c r="AIW60" s="19" t="str">
        <f t="shared" si="1944"/>
        <v>Outcome Index 4  | Odd 4</v>
      </c>
      <c r="AIX60" s="18">
        <f t="shared" si="1393"/>
        <v>76</v>
      </c>
      <c r="AIY60" s="18">
        <f t="shared" si="465"/>
        <v>79</v>
      </c>
      <c r="AIZ60" s="18">
        <v>4</v>
      </c>
      <c r="AJA60" s="303" t="str">
        <f t="shared" si="1945"/>
        <v/>
      </c>
      <c r="AJB60" s="304"/>
      <c r="AJC60" s="302" t="str">
        <f t="shared" si="1761"/>
        <v/>
      </c>
      <c r="AJD60" s="349"/>
    </row>
    <row r="61" spans="1:940">
      <c r="B61" s="42">
        <v>5</v>
      </c>
      <c r="C61" s="3" t="str">
        <f t="shared" si="1946"/>
        <v>Outcome Index 5  | Odd 5</v>
      </c>
      <c r="D61" s="2">
        <f t="shared" si="561"/>
        <v>80</v>
      </c>
      <c r="E61" s="2">
        <f t="shared" si="1947"/>
        <v>83</v>
      </c>
      <c r="F61" s="2">
        <v>4</v>
      </c>
      <c r="G61" s="255" t="str">
        <f t="shared" si="1948"/>
        <v/>
      </c>
      <c r="H61" s="255"/>
      <c r="I61" s="231" t="str">
        <f t="shared" si="1949"/>
        <v/>
      </c>
      <c r="J61" s="205"/>
      <c r="K61" s="40"/>
      <c r="L61" s="62">
        <v>5</v>
      </c>
      <c r="M61" s="3" t="str">
        <f t="shared" si="1950"/>
        <v>Outcome Index 5  | Odd 5</v>
      </c>
      <c r="N61" s="2">
        <f t="shared" si="562"/>
        <v>80</v>
      </c>
      <c r="O61" s="2">
        <f t="shared" si="97"/>
        <v>83</v>
      </c>
      <c r="P61" s="2">
        <v>4</v>
      </c>
      <c r="Q61" s="207" t="str">
        <f t="shared" si="1951"/>
        <v/>
      </c>
      <c r="R61" s="208"/>
      <c r="S61" s="231" t="str">
        <f t="shared" si="1952"/>
        <v/>
      </c>
      <c r="T61" s="344"/>
      <c r="U61" s="40"/>
      <c r="V61" s="62">
        <v>5</v>
      </c>
      <c r="W61" s="3" t="str">
        <f t="shared" si="1762"/>
        <v>Outcome Index 5  | Odd 5</v>
      </c>
      <c r="X61" s="2">
        <f t="shared" si="1302"/>
        <v>80</v>
      </c>
      <c r="Y61" s="2">
        <f t="shared" si="101"/>
        <v>83</v>
      </c>
      <c r="Z61" s="2">
        <v>4</v>
      </c>
      <c r="AA61" s="207" t="str">
        <f t="shared" si="1763"/>
        <v/>
      </c>
      <c r="AB61" s="208"/>
      <c r="AC61" s="231" t="str">
        <f t="shared" si="1579"/>
        <v/>
      </c>
      <c r="AD61" s="344"/>
      <c r="AE61" s="40"/>
      <c r="AF61" s="62">
        <v>5</v>
      </c>
      <c r="AG61" s="3" t="str">
        <f t="shared" si="1764"/>
        <v>Outcome Index 5  | Odd 5</v>
      </c>
      <c r="AH61" s="2">
        <f t="shared" si="1303"/>
        <v>80</v>
      </c>
      <c r="AI61" s="2">
        <f t="shared" si="105"/>
        <v>83</v>
      </c>
      <c r="AJ61" s="2">
        <v>4</v>
      </c>
      <c r="AK61" s="207" t="str">
        <f t="shared" si="1765"/>
        <v/>
      </c>
      <c r="AL61" s="208"/>
      <c r="AM61" s="231" t="str">
        <f t="shared" si="1581"/>
        <v/>
      </c>
      <c r="AN61" s="344"/>
      <c r="AO61" s="40"/>
      <c r="AP61" s="62">
        <v>5</v>
      </c>
      <c r="AQ61" s="3" t="str">
        <f t="shared" si="1766"/>
        <v>Outcome Index 5  | Odd 5</v>
      </c>
      <c r="AR61" s="2">
        <f t="shared" si="1304"/>
        <v>80</v>
      </c>
      <c r="AS61" s="2">
        <f t="shared" si="109"/>
        <v>83</v>
      </c>
      <c r="AT61" s="2">
        <v>4</v>
      </c>
      <c r="AU61" s="207" t="str">
        <f t="shared" si="1767"/>
        <v/>
      </c>
      <c r="AV61" s="208"/>
      <c r="AW61" s="231" t="str">
        <f t="shared" si="1583"/>
        <v/>
      </c>
      <c r="AX61" s="344"/>
      <c r="AY61" s="40"/>
      <c r="AZ61" s="62">
        <v>5</v>
      </c>
      <c r="BA61" s="3" t="str">
        <f t="shared" si="1768"/>
        <v>Outcome Index 5  | Odd 5</v>
      </c>
      <c r="BB61" s="2">
        <f t="shared" si="1305"/>
        <v>80</v>
      </c>
      <c r="BC61" s="2">
        <f t="shared" si="113"/>
        <v>83</v>
      </c>
      <c r="BD61" s="2">
        <v>4</v>
      </c>
      <c r="BE61" s="207" t="str">
        <f t="shared" si="1769"/>
        <v/>
      </c>
      <c r="BF61" s="208"/>
      <c r="BG61" s="231" t="str">
        <f t="shared" si="1585"/>
        <v/>
      </c>
      <c r="BH61" s="344"/>
      <c r="BI61" s="40"/>
      <c r="BJ61" s="62">
        <v>5</v>
      </c>
      <c r="BK61" s="3" t="str">
        <f t="shared" si="1770"/>
        <v>Outcome Index 5  | Odd 5</v>
      </c>
      <c r="BL61" s="2">
        <f t="shared" si="1306"/>
        <v>80</v>
      </c>
      <c r="BM61" s="2">
        <f t="shared" si="117"/>
        <v>83</v>
      </c>
      <c r="BN61" s="2">
        <v>4</v>
      </c>
      <c r="BO61" s="207" t="str">
        <f t="shared" si="1771"/>
        <v/>
      </c>
      <c r="BP61" s="208"/>
      <c r="BQ61" s="231" t="str">
        <f t="shared" si="1587"/>
        <v/>
      </c>
      <c r="BR61" s="344"/>
      <c r="BS61" s="40"/>
      <c r="BT61" s="62">
        <v>5</v>
      </c>
      <c r="BU61" s="3" t="str">
        <f t="shared" si="1772"/>
        <v>Outcome Index 5  | Odd 5</v>
      </c>
      <c r="BV61" s="2">
        <f t="shared" si="1307"/>
        <v>80</v>
      </c>
      <c r="BW61" s="2">
        <f t="shared" si="121"/>
        <v>83</v>
      </c>
      <c r="BX61" s="2">
        <v>4</v>
      </c>
      <c r="BY61" s="207" t="str">
        <f t="shared" si="1773"/>
        <v/>
      </c>
      <c r="BZ61" s="208"/>
      <c r="CA61" s="231" t="str">
        <f t="shared" si="1589"/>
        <v/>
      </c>
      <c r="CB61" s="344"/>
      <c r="CC61" s="40"/>
      <c r="CD61" s="62">
        <v>5</v>
      </c>
      <c r="CE61" s="3" t="str">
        <f t="shared" si="1774"/>
        <v>Outcome Index 5  | Odd 5</v>
      </c>
      <c r="CF61" s="2">
        <f t="shared" si="1308"/>
        <v>80</v>
      </c>
      <c r="CG61" s="2">
        <f t="shared" si="125"/>
        <v>83</v>
      </c>
      <c r="CH61" s="2">
        <v>4</v>
      </c>
      <c r="CI61" s="207" t="str">
        <f t="shared" si="1775"/>
        <v/>
      </c>
      <c r="CJ61" s="208"/>
      <c r="CK61" s="231" t="str">
        <f t="shared" si="1591"/>
        <v/>
      </c>
      <c r="CL61" s="344"/>
      <c r="CM61" s="40"/>
      <c r="CN61" s="62">
        <v>5</v>
      </c>
      <c r="CO61" s="3" t="str">
        <f t="shared" si="1776"/>
        <v>Outcome Index 5  | Odd 5</v>
      </c>
      <c r="CP61" s="2">
        <f t="shared" si="1309"/>
        <v>80</v>
      </c>
      <c r="CQ61" s="2">
        <f t="shared" si="129"/>
        <v>83</v>
      </c>
      <c r="CR61" s="2">
        <v>4</v>
      </c>
      <c r="CS61" s="207" t="str">
        <f t="shared" si="1777"/>
        <v/>
      </c>
      <c r="CT61" s="208"/>
      <c r="CU61" s="231" t="str">
        <f t="shared" si="1593"/>
        <v/>
      </c>
      <c r="CV61" s="344"/>
      <c r="CW61" s="40"/>
      <c r="CX61" s="62">
        <v>5</v>
      </c>
      <c r="CY61" s="3" t="str">
        <f t="shared" si="1778"/>
        <v>Outcome Index 5  | Odd 5</v>
      </c>
      <c r="CZ61" s="2">
        <f t="shared" si="1310"/>
        <v>80</v>
      </c>
      <c r="DA61" s="2">
        <f t="shared" si="133"/>
        <v>83</v>
      </c>
      <c r="DB61" s="2">
        <v>4</v>
      </c>
      <c r="DC61" s="207" t="str">
        <f t="shared" si="1779"/>
        <v/>
      </c>
      <c r="DD61" s="208"/>
      <c r="DE61" s="231" t="str">
        <f t="shared" si="1595"/>
        <v/>
      </c>
      <c r="DF61" s="344"/>
      <c r="DG61" s="40"/>
      <c r="DH61" s="62">
        <v>5</v>
      </c>
      <c r="DI61" s="3" t="str">
        <f t="shared" si="1780"/>
        <v>Outcome Index 5  | Odd 5</v>
      </c>
      <c r="DJ61" s="2">
        <f t="shared" si="1311"/>
        <v>80</v>
      </c>
      <c r="DK61" s="2">
        <f t="shared" si="137"/>
        <v>83</v>
      </c>
      <c r="DL61" s="2">
        <v>4</v>
      </c>
      <c r="DM61" s="207" t="str">
        <f t="shared" si="1781"/>
        <v/>
      </c>
      <c r="DN61" s="208"/>
      <c r="DO61" s="231" t="str">
        <f t="shared" si="1597"/>
        <v/>
      </c>
      <c r="DP61" s="344"/>
      <c r="DQ61" s="40"/>
      <c r="DR61" s="62">
        <v>5</v>
      </c>
      <c r="DS61" s="3" t="str">
        <f t="shared" si="1782"/>
        <v>Outcome Index 5  | Odd 5</v>
      </c>
      <c r="DT61" s="2">
        <f t="shared" si="1312"/>
        <v>80</v>
      </c>
      <c r="DU61" s="2">
        <f t="shared" si="141"/>
        <v>83</v>
      </c>
      <c r="DV61" s="2">
        <v>4</v>
      </c>
      <c r="DW61" s="207" t="str">
        <f t="shared" si="1783"/>
        <v/>
      </c>
      <c r="DX61" s="208"/>
      <c r="DY61" s="231" t="str">
        <f t="shared" si="1599"/>
        <v/>
      </c>
      <c r="DZ61" s="344"/>
      <c r="EA61" s="40"/>
      <c r="EB61" s="62">
        <v>5</v>
      </c>
      <c r="EC61" s="3" t="str">
        <f t="shared" si="1784"/>
        <v>Outcome Index 5  | Odd 5</v>
      </c>
      <c r="ED61" s="2">
        <f t="shared" si="1313"/>
        <v>80</v>
      </c>
      <c r="EE61" s="2">
        <f t="shared" si="145"/>
        <v>83</v>
      </c>
      <c r="EF61" s="2">
        <v>4</v>
      </c>
      <c r="EG61" s="207" t="str">
        <f t="shared" si="1785"/>
        <v/>
      </c>
      <c r="EH61" s="208"/>
      <c r="EI61" s="231" t="str">
        <f t="shared" si="1601"/>
        <v/>
      </c>
      <c r="EJ61" s="344"/>
      <c r="EK61" s="40"/>
      <c r="EL61" s="62">
        <v>5</v>
      </c>
      <c r="EM61" s="3" t="str">
        <f t="shared" si="1786"/>
        <v>Outcome Index 5  | Odd 5</v>
      </c>
      <c r="EN61" s="2">
        <f t="shared" si="1314"/>
        <v>80</v>
      </c>
      <c r="EO61" s="2">
        <f t="shared" si="149"/>
        <v>83</v>
      </c>
      <c r="EP61" s="2">
        <v>4</v>
      </c>
      <c r="EQ61" s="207" t="str">
        <f t="shared" si="1787"/>
        <v/>
      </c>
      <c r="ER61" s="208"/>
      <c r="ES61" s="231" t="str">
        <f t="shared" si="1603"/>
        <v/>
      </c>
      <c r="ET61" s="344"/>
      <c r="EU61" s="40"/>
      <c r="EV61" s="62">
        <v>5</v>
      </c>
      <c r="EW61" s="3" t="str">
        <f t="shared" si="1788"/>
        <v>Outcome Index 5  | Odd 5</v>
      </c>
      <c r="EX61" s="2">
        <f t="shared" si="1315"/>
        <v>80</v>
      </c>
      <c r="EY61" s="2">
        <f t="shared" si="153"/>
        <v>83</v>
      </c>
      <c r="EZ61" s="2">
        <v>4</v>
      </c>
      <c r="FA61" s="207" t="str">
        <f t="shared" si="1789"/>
        <v/>
      </c>
      <c r="FB61" s="208"/>
      <c r="FC61" s="231" t="str">
        <f t="shared" si="1605"/>
        <v/>
      </c>
      <c r="FD61" s="344"/>
      <c r="FE61" s="40"/>
      <c r="FF61" s="62">
        <v>5</v>
      </c>
      <c r="FG61" s="3" t="str">
        <f t="shared" si="1790"/>
        <v>Outcome Index 5  | Odd 5</v>
      </c>
      <c r="FH61" s="2">
        <f t="shared" si="1316"/>
        <v>80</v>
      </c>
      <c r="FI61" s="2">
        <f t="shared" si="157"/>
        <v>83</v>
      </c>
      <c r="FJ61" s="2">
        <v>4</v>
      </c>
      <c r="FK61" s="207" t="str">
        <f t="shared" si="1791"/>
        <v/>
      </c>
      <c r="FL61" s="208"/>
      <c r="FM61" s="231" t="str">
        <f t="shared" si="1607"/>
        <v/>
      </c>
      <c r="FN61" s="344"/>
      <c r="FO61" s="40"/>
      <c r="FP61" s="62">
        <v>5</v>
      </c>
      <c r="FQ61" s="3" t="str">
        <f t="shared" si="1792"/>
        <v>Outcome Index 5  | Odd 5</v>
      </c>
      <c r="FR61" s="2">
        <f t="shared" si="1317"/>
        <v>80</v>
      </c>
      <c r="FS61" s="2">
        <f t="shared" si="161"/>
        <v>83</v>
      </c>
      <c r="FT61" s="2">
        <v>4</v>
      </c>
      <c r="FU61" s="207" t="str">
        <f t="shared" si="1793"/>
        <v/>
      </c>
      <c r="FV61" s="208"/>
      <c r="FW61" s="231" t="str">
        <f t="shared" si="1609"/>
        <v/>
      </c>
      <c r="FX61" s="344"/>
      <c r="FY61" s="40"/>
      <c r="FZ61" s="62">
        <v>5</v>
      </c>
      <c r="GA61" s="3" t="str">
        <f t="shared" si="1794"/>
        <v>Outcome Index 5  | Odd 5</v>
      </c>
      <c r="GB61" s="2">
        <f t="shared" si="1318"/>
        <v>80</v>
      </c>
      <c r="GC61" s="2">
        <f t="shared" si="165"/>
        <v>83</v>
      </c>
      <c r="GD61" s="2">
        <v>4</v>
      </c>
      <c r="GE61" s="207" t="str">
        <f t="shared" si="1795"/>
        <v/>
      </c>
      <c r="GF61" s="208"/>
      <c r="GG61" s="231" t="str">
        <f t="shared" si="1611"/>
        <v/>
      </c>
      <c r="GH61" s="344"/>
      <c r="GI61" s="40"/>
      <c r="GJ61" s="62">
        <v>5</v>
      </c>
      <c r="GK61" s="3" t="str">
        <f t="shared" si="1796"/>
        <v>Outcome Index 5  | Odd 5</v>
      </c>
      <c r="GL61" s="2">
        <f t="shared" si="1319"/>
        <v>80</v>
      </c>
      <c r="GM61" s="2">
        <f t="shared" si="169"/>
        <v>83</v>
      </c>
      <c r="GN61" s="2">
        <v>4</v>
      </c>
      <c r="GO61" s="207" t="str">
        <f t="shared" si="1797"/>
        <v/>
      </c>
      <c r="GP61" s="208"/>
      <c r="GQ61" s="231" t="str">
        <f t="shared" si="1613"/>
        <v/>
      </c>
      <c r="GR61" s="344"/>
      <c r="GS61" s="40"/>
      <c r="GT61" s="62">
        <v>5</v>
      </c>
      <c r="GU61" s="3" t="str">
        <f t="shared" si="1798"/>
        <v>Outcome Index 5  | Odd 5</v>
      </c>
      <c r="GV61" s="2">
        <f t="shared" si="1320"/>
        <v>80</v>
      </c>
      <c r="GW61" s="2">
        <f t="shared" si="173"/>
        <v>83</v>
      </c>
      <c r="GX61" s="2">
        <v>4</v>
      </c>
      <c r="GY61" s="207" t="str">
        <f t="shared" si="1799"/>
        <v/>
      </c>
      <c r="GZ61" s="208"/>
      <c r="HA61" s="231" t="str">
        <f t="shared" si="1615"/>
        <v/>
      </c>
      <c r="HB61" s="344"/>
      <c r="HC61" s="40"/>
      <c r="HD61" s="62">
        <v>5</v>
      </c>
      <c r="HE61" s="3" t="str">
        <f t="shared" si="1800"/>
        <v>Outcome Index 5  | Odd 5</v>
      </c>
      <c r="HF61" s="2">
        <f t="shared" si="1321"/>
        <v>80</v>
      </c>
      <c r="HG61" s="2">
        <f t="shared" si="177"/>
        <v>83</v>
      </c>
      <c r="HH61" s="2">
        <v>4</v>
      </c>
      <c r="HI61" s="207" t="str">
        <f t="shared" si="1801"/>
        <v/>
      </c>
      <c r="HJ61" s="208"/>
      <c r="HK61" s="231" t="str">
        <f t="shared" si="1617"/>
        <v/>
      </c>
      <c r="HL61" s="344"/>
      <c r="HM61" s="40"/>
      <c r="HN61" s="62">
        <v>5</v>
      </c>
      <c r="HO61" s="3" t="str">
        <f t="shared" si="1802"/>
        <v>Outcome Index 5  | Odd 5</v>
      </c>
      <c r="HP61" s="2">
        <f t="shared" si="1322"/>
        <v>80</v>
      </c>
      <c r="HQ61" s="2">
        <f t="shared" si="181"/>
        <v>83</v>
      </c>
      <c r="HR61" s="2">
        <v>4</v>
      </c>
      <c r="HS61" s="207" t="str">
        <f t="shared" si="1803"/>
        <v/>
      </c>
      <c r="HT61" s="208"/>
      <c r="HU61" s="231" t="str">
        <f t="shared" si="1619"/>
        <v/>
      </c>
      <c r="HV61" s="344"/>
      <c r="HW61" s="40"/>
      <c r="HX61" s="62">
        <v>5</v>
      </c>
      <c r="HY61" s="3" t="str">
        <f t="shared" si="1804"/>
        <v>Outcome Index 5  | Odd 5</v>
      </c>
      <c r="HZ61" s="2">
        <f t="shared" si="1323"/>
        <v>80</v>
      </c>
      <c r="IA61" s="2">
        <f t="shared" si="185"/>
        <v>83</v>
      </c>
      <c r="IB61" s="2">
        <v>4</v>
      </c>
      <c r="IC61" s="207" t="str">
        <f t="shared" si="1805"/>
        <v/>
      </c>
      <c r="ID61" s="208"/>
      <c r="IE61" s="231" t="str">
        <f t="shared" si="1621"/>
        <v/>
      </c>
      <c r="IF61" s="344"/>
      <c r="IG61" s="40"/>
      <c r="IH61" s="62">
        <v>5</v>
      </c>
      <c r="II61" s="3" t="str">
        <f t="shared" si="1806"/>
        <v>Outcome Index 5  | Odd 5</v>
      </c>
      <c r="IJ61" s="2">
        <f t="shared" si="1324"/>
        <v>80</v>
      </c>
      <c r="IK61" s="2">
        <f t="shared" si="189"/>
        <v>83</v>
      </c>
      <c r="IL61" s="2">
        <v>4</v>
      </c>
      <c r="IM61" s="207" t="str">
        <f t="shared" si="1807"/>
        <v/>
      </c>
      <c r="IN61" s="208"/>
      <c r="IO61" s="231" t="str">
        <f t="shared" si="1623"/>
        <v/>
      </c>
      <c r="IP61" s="344"/>
      <c r="IQ61" s="40"/>
      <c r="IR61" s="62">
        <v>5</v>
      </c>
      <c r="IS61" s="3" t="str">
        <f t="shared" si="1808"/>
        <v>Outcome Index 5  | Odd 5</v>
      </c>
      <c r="IT61" s="2">
        <f t="shared" si="1325"/>
        <v>80</v>
      </c>
      <c r="IU61" s="2">
        <f t="shared" si="193"/>
        <v>83</v>
      </c>
      <c r="IV61" s="2">
        <v>4</v>
      </c>
      <c r="IW61" s="207" t="str">
        <f t="shared" si="1809"/>
        <v/>
      </c>
      <c r="IX61" s="208"/>
      <c r="IY61" s="231" t="str">
        <f t="shared" si="1625"/>
        <v/>
      </c>
      <c r="IZ61" s="344"/>
      <c r="JA61" s="40"/>
      <c r="JB61" s="62">
        <v>5</v>
      </c>
      <c r="JC61" s="3" t="str">
        <f t="shared" si="1810"/>
        <v>Outcome Index 5  | Odd 5</v>
      </c>
      <c r="JD61" s="2">
        <f t="shared" si="1326"/>
        <v>80</v>
      </c>
      <c r="JE61" s="2">
        <f t="shared" si="197"/>
        <v>83</v>
      </c>
      <c r="JF61" s="2">
        <v>4</v>
      </c>
      <c r="JG61" s="207" t="str">
        <f t="shared" si="1811"/>
        <v/>
      </c>
      <c r="JH61" s="208"/>
      <c r="JI61" s="231" t="str">
        <f t="shared" si="1627"/>
        <v/>
      </c>
      <c r="JJ61" s="344"/>
      <c r="JK61" s="40"/>
      <c r="JL61" s="62">
        <v>5</v>
      </c>
      <c r="JM61" s="3" t="str">
        <f t="shared" si="1812"/>
        <v>Outcome Index 5  | Odd 5</v>
      </c>
      <c r="JN61" s="2">
        <f t="shared" si="1327"/>
        <v>80</v>
      </c>
      <c r="JO61" s="2">
        <f t="shared" si="201"/>
        <v>83</v>
      </c>
      <c r="JP61" s="2">
        <v>4</v>
      </c>
      <c r="JQ61" s="207" t="str">
        <f t="shared" si="1813"/>
        <v/>
      </c>
      <c r="JR61" s="208"/>
      <c r="JS61" s="231" t="str">
        <f t="shared" si="1629"/>
        <v/>
      </c>
      <c r="JT61" s="344"/>
      <c r="JU61" s="40"/>
      <c r="JV61" s="62">
        <v>5</v>
      </c>
      <c r="JW61" s="3" t="str">
        <f t="shared" si="1814"/>
        <v>Outcome Index 5  | Odd 5</v>
      </c>
      <c r="JX61" s="2">
        <f t="shared" si="1328"/>
        <v>80</v>
      </c>
      <c r="JY61" s="2">
        <f t="shared" si="205"/>
        <v>83</v>
      </c>
      <c r="JZ61" s="2">
        <v>4</v>
      </c>
      <c r="KA61" s="207" t="str">
        <f t="shared" si="1815"/>
        <v/>
      </c>
      <c r="KB61" s="208"/>
      <c r="KC61" s="231" t="str">
        <f t="shared" si="1631"/>
        <v/>
      </c>
      <c r="KD61" s="344"/>
      <c r="KE61" s="40"/>
      <c r="KF61" s="62">
        <v>5</v>
      </c>
      <c r="KG61" s="3" t="str">
        <f t="shared" si="1816"/>
        <v>Outcome Index 5  | Odd 5</v>
      </c>
      <c r="KH61" s="2">
        <f t="shared" si="1329"/>
        <v>80</v>
      </c>
      <c r="KI61" s="2">
        <f t="shared" si="209"/>
        <v>83</v>
      </c>
      <c r="KJ61" s="2">
        <v>4</v>
      </c>
      <c r="KK61" s="207" t="str">
        <f t="shared" si="1817"/>
        <v/>
      </c>
      <c r="KL61" s="208"/>
      <c r="KM61" s="231" t="str">
        <f t="shared" si="1633"/>
        <v/>
      </c>
      <c r="KN61" s="344"/>
      <c r="KO61" s="40"/>
      <c r="KP61" s="62">
        <v>5</v>
      </c>
      <c r="KQ61" s="3" t="str">
        <f t="shared" si="1818"/>
        <v>Outcome Index 5  | Odd 5</v>
      </c>
      <c r="KR61" s="2">
        <f t="shared" si="1330"/>
        <v>80</v>
      </c>
      <c r="KS61" s="2">
        <f t="shared" si="213"/>
        <v>83</v>
      </c>
      <c r="KT61" s="2">
        <v>4</v>
      </c>
      <c r="KU61" s="207" t="str">
        <f t="shared" si="1819"/>
        <v/>
      </c>
      <c r="KV61" s="208"/>
      <c r="KW61" s="231" t="str">
        <f t="shared" si="1635"/>
        <v/>
      </c>
      <c r="KX61" s="344"/>
      <c r="KY61" s="40"/>
      <c r="KZ61" s="62">
        <v>5</v>
      </c>
      <c r="LA61" s="3" t="str">
        <f t="shared" si="1820"/>
        <v>Outcome Index 5  | Odd 5</v>
      </c>
      <c r="LB61" s="2">
        <f t="shared" si="1331"/>
        <v>80</v>
      </c>
      <c r="LC61" s="2">
        <f t="shared" si="217"/>
        <v>83</v>
      </c>
      <c r="LD61" s="2">
        <v>4</v>
      </c>
      <c r="LE61" s="207" t="str">
        <f t="shared" si="1821"/>
        <v/>
      </c>
      <c r="LF61" s="208"/>
      <c r="LG61" s="231" t="str">
        <f t="shared" si="1637"/>
        <v/>
      </c>
      <c r="LH61" s="344"/>
      <c r="LI61" s="40"/>
      <c r="LJ61" s="62">
        <v>5</v>
      </c>
      <c r="LK61" s="3" t="str">
        <f t="shared" si="1822"/>
        <v>Outcome Index 5  | Odd 5</v>
      </c>
      <c r="LL61" s="2">
        <f t="shared" si="1332"/>
        <v>80</v>
      </c>
      <c r="LM61" s="2">
        <f t="shared" si="221"/>
        <v>83</v>
      </c>
      <c r="LN61" s="2">
        <v>4</v>
      </c>
      <c r="LO61" s="207" t="str">
        <f t="shared" si="1823"/>
        <v/>
      </c>
      <c r="LP61" s="208"/>
      <c r="LQ61" s="231" t="str">
        <f t="shared" si="1639"/>
        <v/>
      </c>
      <c r="LR61" s="344"/>
      <c r="LS61" s="40"/>
      <c r="LT61" s="62">
        <v>5</v>
      </c>
      <c r="LU61" s="3" t="str">
        <f t="shared" si="1824"/>
        <v>Outcome Index 5  | Odd 5</v>
      </c>
      <c r="LV61" s="2">
        <f t="shared" si="1333"/>
        <v>80</v>
      </c>
      <c r="LW61" s="2">
        <f t="shared" si="225"/>
        <v>83</v>
      </c>
      <c r="LX61" s="2">
        <v>4</v>
      </c>
      <c r="LY61" s="207" t="str">
        <f t="shared" si="1825"/>
        <v/>
      </c>
      <c r="LZ61" s="208"/>
      <c r="MA61" s="231" t="str">
        <f t="shared" si="1641"/>
        <v/>
      </c>
      <c r="MB61" s="344"/>
      <c r="MC61" s="40"/>
      <c r="MD61" s="62">
        <v>5</v>
      </c>
      <c r="ME61" s="3" t="str">
        <f t="shared" si="1826"/>
        <v>Outcome Index 5  | Odd 5</v>
      </c>
      <c r="MF61" s="2">
        <f t="shared" si="1334"/>
        <v>80</v>
      </c>
      <c r="MG61" s="2">
        <f t="shared" si="229"/>
        <v>83</v>
      </c>
      <c r="MH61" s="2">
        <v>4</v>
      </c>
      <c r="MI61" s="207" t="str">
        <f t="shared" si="1827"/>
        <v/>
      </c>
      <c r="MJ61" s="208"/>
      <c r="MK61" s="231" t="str">
        <f t="shared" si="1643"/>
        <v/>
      </c>
      <c r="ML61" s="344"/>
      <c r="MM61" s="40"/>
      <c r="MN61" s="62">
        <v>5</v>
      </c>
      <c r="MO61" s="3" t="str">
        <f t="shared" si="1828"/>
        <v>Outcome Index 5  | Odd 5</v>
      </c>
      <c r="MP61" s="2">
        <f t="shared" si="1335"/>
        <v>80</v>
      </c>
      <c r="MQ61" s="2">
        <f t="shared" si="233"/>
        <v>83</v>
      </c>
      <c r="MR61" s="2">
        <v>4</v>
      </c>
      <c r="MS61" s="207" t="str">
        <f t="shared" si="1829"/>
        <v/>
      </c>
      <c r="MT61" s="208"/>
      <c r="MU61" s="231" t="str">
        <f t="shared" si="1645"/>
        <v/>
      </c>
      <c r="MV61" s="344"/>
      <c r="MW61" s="40"/>
      <c r="MX61" s="62">
        <v>5</v>
      </c>
      <c r="MY61" s="3" t="str">
        <f t="shared" si="1830"/>
        <v>Outcome Index 5  | Odd 5</v>
      </c>
      <c r="MZ61" s="2">
        <f t="shared" si="1336"/>
        <v>80</v>
      </c>
      <c r="NA61" s="2">
        <f t="shared" si="237"/>
        <v>83</v>
      </c>
      <c r="NB61" s="2">
        <v>4</v>
      </c>
      <c r="NC61" s="207" t="str">
        <f t="shared" si="1831"/>
        <v/>
      </c>
      <c r="ND61" s="208"/>
      <c r="NE61" s="231" t="str">
        <f t="shared" si="1647"/>
        <v/>
      </c>
      <c r="NF61" s="344"/>
      <c r="NG61" s="40"/>
      <c r="NH61" s="62">
        <v>5</v>
      </c>
      <c r="NI61" s="3" t="str">
        <f t="shared" si="1832"/>
        <v>Outcome Index 5  | Odd 5</v>
      </c>
      <c r="NJ61" s="2">
        <f t="shared" si="1337"/>
        <v>80</v>
      </c>
      <c r="NK61" s="2">
        <f t="shared" si="241"/>
        <v>83</v>
      </c>
      <c r="NL61" s="2">
        <v>4</v>
      </c>
      <c r="NM61" s="207" t="str">
        <f t="shared" si="1833"/>
        <v/>
      </c>
      <c r="NN61" s="208"/>
      <c r="NO61" s="231" t="str">
        <f t="shared" si="1649"/>
        <v/>
      </c>
      <c r="NP61" s="344"/>
      <c r="NQ61" s="40"/>
      <c r="NR61" s="62">
        <v>5</v>
      </c>
      <c r="NS61" s="3" t="str">
        <f t="shared" si="1834"/>
        <v>Outcome Index 5  | Odd 5</v>
      </c>
      <c r="NT61" s="2">
        <f t="shared" si="1338"/>
        <v>80</v>
      </c>
      <c r="NU61" s="2">
        <f t="shared" si="245"/>
        <v>83</v>
      </c>
      <c r="NV61" s="2">
        <v>4</v>
      </c>
      <c r="NW61" s="207" t="str">
        <f t="shared" si="1835"/>
        <v/>
      </c>
      <c r="NX61" s="208"/>
      <c r="NY61" s="231" t="str">
        <f t="shared" si="1651"/>
        <v/>
      </c>
      <c r="NZ61" s="344"/>
      <c r="OA61" s="40"/>
      <c r="OB61" s="62">
        <v>5</v>
      </c>
      <c r="OC61" s="3" t="str">
        <f t="shared" si="1836"/>
        <v>Outcome Index 5  | Odd 5</v>
      </c>
      <c r="OD61" s="2">
        <f t="shared" si="1339"/>
        <v>80</v>
      </c>
      <c r="OE61" s="2">
        <f t="shared" si="249"/>
        <v>83</v>
      </c>
      <c r="OF61" s="2">
        <v>4</v>
      </c>
      <c r="OG61" s="207" t="str">
        <f t="shared" si="1837"/>
        <v/>
      </c>
      <c r="OH61" s="208"/>
      <c r="OI61" s="231" t="str">
        <f t="shared" si="1653"/>
        <v/>
      </c>
      <c r="OJ61" s="344"/>
      <c r="OK61" s="40"/>
      <c r="OL61" s="62">
        <v>5</v>
      </c>
      <c r="OM61" s="3" t="str">
        <f t="shared" si="1838"/>
        <v>Outcome Index 5  | Odd 5</v>
      </c>
      <c r="ON61" s="2">
        <f t="shared" si="1340"/>
        <v>80</v>
      </c>
      <c r="OO61" s="2">
        <f t="shared" si="253"/>
        <v>83</v>
      </c>
      <c r="OP61" s="2">
        <v>4</v>
      </c>
      <c r="OQ61" s="207" t="str">
        <f t="shared" si="1839"/>
        <v/>
      </c>
      <c r="OR61" s="208"/>
      <c r="OS61" s="231" t="str">
        <f t="shared" si="1655"/>
        <v/>
      </c>
      <c r="OT61" s="344"/>
      <c r="OU61" s="40"/>
      <c r="OV61" s="62">
        <v>5</v>
      </c>
      <c r="OW61" s="3" t="str">
        <f t="shared" si="1840"/>
        <v>Outcome Index 5  | Odd 5</v>
      </c>
      <c r="OX61" s="2">
        <f t="shared" si="1341"/>
        <v>80</v>
      </c>
      <c r="OY61" s="2">
        <f t="shared" si="257"/>
        <v>83</v>
      </c>
      <c r="OZ61" s="2">
        <v>4</v>
      </c>
      <c r="PA61" s="207" t="str">
        <f t="shared" si="1841"/>
        <v/>
      </c>
      <c r="PB61" s="208"/>
      <c r="PC61" s="231" t="str">
        <f t="shared" si="1657"/>
        <v/>
      </c>
      <c r="PD61" s="344"/>
      <c r="PE61" s="40"/>
      <c r="PF61" s="62">
        <v>5</v>
      </c>
      <c r="PG61" s="3" t="str">
        <f t="shared" si="1842"/>
        <v>Outcome Index 5  | Odd 5</v>
      </c>
      <c r="PH61" s="2">
        <f t="shared" si="1342"/>
        <v>80</v>
      </c>
      <c r="PI61" s="2">
        <f t="shared" si="261"/>
        <v>83</v>
      </c>
      <c r="PJ61" s="2">
        <v>4</v>
      </c>
      <c r="PK61" s="207" t="str">
        <f t="shared" si="1843"/>
        <v/>
      </c>
      <c r="PL61" s="208"/>
      <c r="PM61" s="231" t="str">
        <f t="shared" si="1659"/>
        <v/>
      </c>
      <c r="PN61" s="344"/>
      <c r="PO61" s="40"/>
      <c r="PP61" s="62">
        <v>5</v>
      </c>
      <c r="PQ61" s="3" t="str">
        <f t="shared" si="1844"/>
        <v>Outcome Index 5  | Odd 5</v>
      </c>
      <c r="PR61" s="2">
        <f t="shared" si="1343"/>
        <v>80</v>
      </c>
      <c r="PS61" s="2">
        <f t="shared" si="265"/>
        <v>83</v>
      </c>
      <c r="PT61" s="2">
        <v>4</v>
      </c>
      <c r="PU61" s="207" t="str">
        <f t="shared" si="1845"/>
        <v/>
      </c>
      <c r="PV61" s="208"/>
      <c r="PW61" s="231" t="str">
        <f t="shared" si="1661"/>
        <v/>
      </c>
      <c r="PX61" s="344"/>
      <c r="PY61" s="40"/>
      <c r="PZ61" s="62">
        <v>5</v>
      </c>
      <c r="QA61" s="3" t="str">
        <f t="shared" si="1846"/>
        <v>Outcome Index 5  | Odd 5</v>
      </c>
      <c r="QB61" s="2">
        <f t="shared" si="1344"/>
        <v>80</v>
      </c>
      <c r="QC61" s="2">
        <f t="shared" si="269"/>
        <v>83</v>
      </c>
      <c r="QD61" s="2">
        <v>4</v>
      </c>
      <c r="QE61" s="207" t="str">
        <f t="shared" si="1847"/>
        <v/>
      </c>
      <c r="QF61" s="208"/>
      <c r="QG61" s="231" t="str">
        <f t="shared" si="1663"/>
        <v/>
      </c>
      <c r="QH61" s="344"/>
      <c r="QI61" s="40"/>
      <c r="QJ61" s="62">
        <v>5</v>
      </c>
      <c r="QK61" s="3" t="str">
        <f t="shared" si="1848"/>
        <v>Outcome Index 5  | Odd 5</v>
      </c>
      <c r="QL61" s="2">
        <f t="shared" si="1345"/>
        <v>80</v>
      </c>
      <c r="QM61" s="2">
        <f t="shared" si="273"/>
        <v>83</v>
      </c>
      <c r="QN61" s="2">
        <v>4</v>
      </c>
      <c r="QO61" s="207" t="str">
        <f t="shared" si="1849"/>
        <v/>
      </c>
      <c r="QP61" s="208"/>
      <c r="QQ61" s="231" t="str">
        <f t="shared" si="1665"/>
        <v/>
      </c>
      <c r="QR61" s="344"/>
      <c r="QS61" s="40"/>
      <c r="QT61" s="62">
        <v>5</v>
      </c>
      <c r="QU61" s="3" t="str">
        <f t="shared" si="1850"/>
        <v>Outcome Index 5  | Odd 5</v>
      </c>
      <c r="QV61" s="2">
        <f t="shared" si="1346"/>
        <v>80</v>
      </c>
      <c r="QW61" s="2">
        <f t="shared" si="277"/>
        <v>83</v>
      </c>
      <c r="QX61" s="2">
        <v>4</v>
      </c>
      <c r="QY61" s="207" t="str">
        <f t="shared" si="1851"/>
        <v/>
      </c>
      <c r="QZ61" s="208"/>
      <c r="RA61" s="231" t="str">
        <f t="shared" si="1667"/>
        <v/>
      </c>
      <c r="RB61" s="344"/>
      <c r="RC61" s="40"/>
      <c r="RD61" s="62">
        <v>5</v>
      </c>
      <c r="RE61" s="3" t="str">
        <f t="shared" si="1852"/>
        <v>Outcome Index 5  | Odd 5</v>
      </c>
      <c r="RF61" s="2">
        <f t="shared" si="1347"/>
        <v>80</v>
      </c>
      <c r="RG61" s="2">
        <f t="shared" si="281"/>
        <v>83</v>
      </c>
      <c r="RH61" s="2">
        <v>4</v>
      </c>
      <c r="RI61" s="207" t="str">
        <f t="shared" si="1853"/>
        <v/>
      </c>
      <c r="RJ61" s="208"/>
      <c r="RK61" s="231" t="str">
        <f t="shared" si="1669"/>
        <v/>
      </c>
      <c r="RL61" s="344"/>
      <c r="RM61" s="40"/>
      <c r="RN61" s="62">
        <v>5</v>
      </c>
      <c r="RO61" s="3" t="str">
        <f t="shared" si="1854"/>
        <v>Outcome Index 5  | Odd 5</v>
      </c>
      <c r="RP61" s="2">
        <f t="shared" si="1348"/>
        <v>80</v>
      </c>
      <c r="RQ61" s="2">
        <f t="shared" si="285"/>
        <v>83</v>
      </c>
      <c r="RR61" s="2">
        <v>4</v>
      </c>
      <c r="RS61" s="207" t="str">
        <f t="shared" si="1855"/>
        <v/>
      </c>
      <c r="RT61" s="208"/>
      <c r="RU61" s="231" t="str">
        <f t="shared" si="1671"/>
        <v/>
      </c>
      <c r="RV61" s="344"/>
      <c r="RW61" s="40"/>
      <c r="RX61" s="62">
        <v>5</v>
      </c>
      <c r="RY61" s="3" t="str">
        <f t="shared" si="1856"/>
        <v>Outcome Index 5  | Odd 5</v>
      </c>
      <c r="RZ61" s="2">
        <f t="shared" si="1349"/>
        <v>80</v>
      </c>
      <c r="SA61" s="2">
        <f t="shared" si="289"/>
        <v>83</v>
      </c>
      <c r="SB61" s="2">
        <v>4</v>
      </c>
      <c r="SC61" s="207" t="str">
        <f t="shared" si="1857"/>
        <v/>
      </c>
      <c r="SD61" s="208"/>
      <c r="SE61" s="231" t="str">
        <f t="shared" si="1673"/>
        <v/>
      </c>
      <c r="SF61" s="344"/>
      <c r="SG61" s="40"/>
      <c r="SH61" s="62">
        <v>5</v>
      </c>
      <c r="SI61" s="3" t="str">
        <f t="shared" si="1858"/>
        <v>Outcome Index 5  | Odd 5</v>
      </c>
      <c r="SJ61" s="2">
        <f t="shared" si="1350"/>
        <v>80</v>
      </c>
      <c r="SK61" s="2">
        <f t="shared" si="293"/>
        <v>83</v>
      </c>
      <c r="SL61" s="2">
        <v>4</v>
      </c>
      <c r="SM61" s="207" t="str">
        <f t="shared" si="1859"/>
        <v/>
      </c>
      <c r="SN61" s="208"/>
      <c r="SO61" s="231" t="str">
        <f t="shared" si="1675"/>
        <v/>
      </c>
      <c r="SP61" s="344"/>
      <c r="SQ61" s="40"/>
      <c r="SR61" s="62">
        <v>5</v>
      </c>
      <c r="SS61" s="3" t="str">
        <f t="shared" si="1860"/>
        <v>Outcome Index 5  | Odd 5</v>
      </c>
      <c r="ST61" s="2">
        <f t="shared" si="1351"/>
        <v>80</v>
      </c>
      <c r="SU61" s="2">
        <f t="shared" si="297"/>
        <v>83</v>
      </c>
      <c r="SV61" s="2">
        <v>4</v>
      </c>
      <c r="SW61" s="207" t="str">
        <f t="shared" si="1861"/>
        <v/>
      </c>
      <c r="SX61" s="208"/>
      <c r="SY61" s="231" t="str">
        <f t="shared" si="1677"/>
        <v/>
      </c>
      <c r="SZ61" s="344"/>
      <c r="TA61" s="40"/>
      <c r="TB61" s="62">
        <v>5</v>
      </c>
      <c r="TC61" s="3" t="str">
        <f t="shared" si="1862"/>
        <v>Outcome Index 5  | Odd 5</v>
      </c>
      <c r="TD61" s="2">
        <f t="shared" si="1352"/>
        <v>80</v>
      </c>
      <c r="TE61" s="2">
        <f t="shared" si="301"/>
        <v>83</v>
      </c>
      <c r="TF61" s="2">
        <v>4</v>
      </c>
      <c r="TG61" s="207" t="str">
        <f t="shared" si="1863"/>
        <v/>
      </c>
      <c r="TH61" s="208"/>
      <c r="TI61" s="231" t="str">
        <f t="shared" si="1679"/>
        <v/>
      </c>
      <c r="TJ61" s="344"/>
      <c r="TK61" s="40"/>
      <c r="TL61" s="62">
        <v>5</v>
      </c>
      <c r="TM61" s="3" t="str">
        <f t="shared" si="1864"/>
        <v>Outcome Index 5  | Odd 5</v>
      </c>
      <c r="TN61" s="2">
        <f t="shared" si="1353"/>
        <v>80</v>
      </c>
      <c r="TO61" s="2">
        <f t="shared" si="305"/>
        <v>83</v>
      </c>
      <c r="TP61" s="2">
        <v>4</v>
      </c>
      <c r="TQ61" s="207" t="str">
        <f t="shared" si="1865"/>
        <v/>
      </c>
      <c r="TR61" s="208"/>
      <c r="TS61" s="231" t="str">
        <f t="shared" si="1681"/>
        <v/>
      </c>
      <c r="TT61" s="344"/>
      <c r="TU61" s="40"/>
      <c r="TV61" s="62">
        <v>5</v>
      </c>
      <c r="TW61" s="3" t="str">
        <f t="shared" si="1866"/>
        <v>Outcome Index 5  | Odd 5</v>
      </c>
      <c r="TX61" s="2">
        <f t="shared" si="1354"/>
        <v>80</v>
      </c>
      <c r="TY61" s="2">
        <f t="shared" si="309"/>
        <v>83</v>
      </c>
      <c r="TZ61" s="2">
        <v>4</v>
      </c>
      <c r="UA61" s="207" t="str">
        <f t="shared" si="1867"/>
        <v/>
      </c>
      <c r="UB61" s="208"/>
      <c r="UC61" s="231" t="str">
        <f t="shared" si="1683"/>
        <v/>
      </c>
      <c r="UD61" s="344"/>
      <c r="UE61" s="40"/>
      <c r="UF61" s="62">
        <v>5</v>
      </c>
      <c r="UG61" s="3" t="str">
        <f t="shared" si="1868"/>
        <v>Outcome Index 5  | Odd 5</v>
      </c>
      <c r="UH61" s="2">
        <f t="shared" si="1355"/>
        <v>80</v>
      </c>
      <c r="UI61" s="2">
        <f t="shared" si="313"/>
        <v>83</v>
      </c>
      <c r="UJ61" s="2">
        <v>4</v>
      </c>
      <c r="UK61" s="207" t="str">
        <f t="shared" si="1869"/>
        <v/>
      </c>
      <c r="UL61" s="208"/>
      <c r="UM61" s="231" t="str">
        <f t="shared" si="1685"/>
        <v/>
      </c>
      <c r="UN61" s="344"/>
      <c r="UO61" s="40"/>
      <c r="UP61" s="62">
        <v>5</v>
      </c>
      <c r="UQ61" s="3" t="str">
        <f t="shared" si="1870"/>
        <v>Outcome Index 5  | Odd 5</v>
      </c>
      <c r="UR61" s="2">
        <f t="shared" si="1356"/>
        <v>80</v>
      </c>
      <c r="US61" s="2">
        <f t="shared" si="317"/>
        <v>83</v>
      </c>
      <c r="UT61" s="2">
        <v>4</v>
      </c>
      <c r="UU61" s="207" t="str">
        <f t="shared" si="1871"/>
        <v/>
      </c>
      <c r="UV61" s="208"/>
      <c r="UW61" s="231" t="str">
        <f t="shared" si="1687"/>
        <v/>
      </c>
      <c r="UX61" s="344"/>
      <c r="UY61" s="40"/>
      <c r="UZ61" s="62">
        <v>5</v>
      </c>
      <c r="VA61" s="3" t="str">
        <f t="shared" si="1872"/>
        <v>Outcome Index 5  | Odd 5</v>
      </c>
      <c r="VB61" s="2">
        <f t="shared" si="1357"/>
        <v>80</v>
      </c>
      <c r="VC61" s="2">
        <f t="shared" si="321"/>
        <v>83</v>
      </c>
      <c r="VD61" s="2">
        <v>4</v>
      </c>
      <c r="VE61" s="207" t="str">
        <f t="shared" si="1873"/>
        <v/>
      </c>
      <c r="VF61" s="208"/>
      <c r="VG61" s="231" t="str">
        <f t="shared" si="1689"/>
        <v/>
      </c>
      <c r="VH61" s="344"/>
      <c r="VI61" s="40"/>
      <c r="VJ61" s="62">
        <v>5</v>
      </c>
      <c r="VK61" s="3" t="str">
        <f t="shared" si="1874"/>
        <v>Outcome Index 5  | Odd 5</v>
      </c>
      <c r="VL61" s="2">
        <f t="shared" si="1358"/>
        <v>80</v>
      </c>
      <c r="VM61" s="2">
        <f t="shared" si="325"/>
        <v>83</v>
      </c>
      <c r="VN61" s="2">
        <v>4</v>
      </c>
      <c r="VO61" s="207" t="str">
        <f t="shared" si="1875"/>
        <v/>
      </c>
      <c r="VP61" s="208"/>
      <c r="VQ61" s="231" t="str">
        <f t="shared" si="1691"/>
        <v/>
      </c>
      <c r="VR61" s="344"/>
      <c r="VS61" s="40"/>
      <c r="VT61" s="62">
        <v>5</v>
      </c>
      <c r="VU61" s="3" t="str">
        <f t="shared" si="1876"/>
        <v>Outcome Index 5  | Odd 5</v>
      </c>
      <c r="VV61" s="2">
        <f t="shared" si="1359"/>
        <v>80</v>
      </c>
      <c r="VW61" s="2">
        <f t="shared" si="329"/>
        <v>83</v>
      </c>
      <c r="VX61" s="2">
        <v>4</v>
      </c>
      <c r="VY61" s="207" t="str">
        <f t="shared" si="1877"/>
        <v/>
      </c>
      <c r="VZ61" s="208"/>
      <c r="WA61" s="231" t="str">
        <f t="shared" si="1693"/>
        <v/>
      </c>
      <c r="WB61" s="344"/>
      <c r="WC61" s="40"/>
      <c r="WD61" s="62">
        <v>5</v>
      </c>
      <c r="WE61" s="3" t="str">
        <f t="shared" si="1878"/>
        <v>Outcome Index 5  | Odd 5</v>
      </c>
      <c r="WF61" s="2">
        <f t="shared" si="1360"/>
        <v>80</v>
      </c>
      <c r="WG61" s="2">
        <f t="shared" si="333"/>
        <v>83</v>
      </c>
      <c r="WH61" s="2">
        <v>4</v>
      </c>
      <c r="WI61" s="207" t="str">
        <f t="shared" si="1879"/>
        <v/>
      </c>
      <c r="WJ61" s="208"/>
      <c r="WK61" s="231" t="str">
        <f t="shared" si="1695"/>
        <v/>
      </c>
      <c r="WL61" s="344"/>
      <c r="WM61" s="40"/>
      <c r="WN61" s="62">
        <v>5</v>
      </c>
      <c r="WO61" s="3" t="str">
        <f t="shared" si="1880"/>
        <v>Outcome Index 5  | Odd 5</v>
      </c>
      <c r="WP61" s="2">
        <f t="shared" si="1361"/>
        <v>80</v>
      </c>
      <c r="WQ61" s="2">
        <f t="shared" si="337"/>
        <v>83</v>
      </c>
      <c r="WR61" s="2">
        <v>4</v>
      </c>
      <c r="WS61" s="207" t="str">
        <f t="shared" si="1881"/>
        <v/>
      </c>
      <c r="WT61" s="208"/>
      <c r="WU61" s="231" t="str">
        <f t="shared" si="1697"/>
        <v/>
      </c>
      <c r="WV61" s="344"/>
      <c r="WW61" s="40"/>
      <c r="WX61" s="62">
        <v>5</v>
      </c>
      <c r="WY61" s="3" t="str">
        <f t="shared" si="1882"/>
        <v>Outcome Index 5  | Odd 5</v>
      </c>
      <c r="WZ61" s="2">
        <f t="shared" si="1362"/>
        <v>80</v>
      </c>
      <c r="XA61" s="2">
        <f t="shared" si="341"/>
        <v>83</v>
      </c>
      <c r="XB61" s="2">
        <v>4</v>
      </c>
      <c r="XC61" s="207" t="str">
        <f t="shared" si="1883"/>
        <v/>
      </c>
      <c r="XD61" s="208"/>
      <c r="XE61" s="231" t="str">
        <f t="shared" si="1699"/>
        <v/>
      </c>
      <c r="XF61" s="344"/>
      <c r="XG61" s="40"/>
      <c r="XH61" s="62">
        <v>5</v>
      </c>
      <c r="XI61" s="3" t="str">
        <f t="shared" si="1884"/>
        <v>Outcome Index 5  | Odd 5</v>
      </c>
      <c r="XJ61" s="2">
        <f t="shared" si="1363"/>
        <v>80</v>
      </c>
      <c r="XK61" s="2">
        <f t="shared" si="345"/>
        <v>83</v>
      </c>
      <c r="XL61" s="2">
        <v>4</v>
      </c>
      <c r="XM61" s="207" t="str">
        <f t="shared" si="1885"/>
        <v/>
      </c>
      <c r="XN61" s="208"/>
      <c r="XO61" s="231" t="str">
        <f t="shared" si="1701"/>
        <v/>
      </c>
      <c r="XP61" s="344"/>
      <c r="XQ61" s="40"/>
      <c r="XR61" s="62">
        <v>5</v>
      </c>
      <c r="XS61" s="3" t="str">
        <f t="shared" si="1886"/>
        <v>Outcome Index 5  | Odd 5</v>
      </c>
      <c r="XT61" s="2">
        <f t="shared" si="1364"/>
        <v>80</v>
      </c>
      <c r="XU61" s="2">
        <f t="shared" si="349"/>
        <v>83</v>
      </c>
      <c r="XV61" s="2">
        <v>4</v>
      </c>
      <c r="XW61" s="207" t="str">
        <f t="shared" si="1887"/>
        <v/>
      </c>
      <c r="XX61" s="208"/>
      <c r="XY61" s="231" t="str">
        <f t="shared" si="1703"/>
        <v/>
      </c>
      <c r="XZ61" s="344"/>
      <c r="YA61" s="40"/>
      <c r="YB61" s="62">
        <v>5</v>
      </c>
      <c r="YC61" s="3" t="str">
        <f t="shared" si="1888"/>
        <v>Outcome Index 5  | Odd 5</v>
      </c>
      <c r="YD61" s="2">
        <f t="shared" si="1365"/>
        <v>80</v>
      </c>
      <c r="YE61" s="2">
        <f t="shared" si="353"/>
        <v>83</v>
      </c>
      <c r="YF61" s="2">
        <v>4</v>
      </c>
      <c r="YG61" s="207" t="str">
        <f t="shared" si="1889"/>
        <v/>
      </c>
      <c r="YH61" s="208"/>
      <c r="YI61" s="231" t="str">
        <f t="shared" si="1705"/>
        <v/>
      </c>
      <c r="YJ61" s="344"/>
      <c r="YK61" s="40"/>
      <c r="YL61" s="62">
        <v>5</v>
      </c>
      <c r="YM61" s="3" t="str">
        <f t="shared" si="1890"/>
        <v>Outcome Index 5  | Odd 5</v>
      </c>
      <c r="YN61" s="2">
        <f t="shared" si="1366"/>
        <v>80</v>
      </c>
      <c r="YO61" s="2">
        <f t="shared" si="357"/>
        <v>83</v>
      </c>
      <c r="YP61" s="2">
        <v>4</v>
      </c>
      <c r="YQ61" s="207" t="str">
        <f t="shared" si="1891"/>
        <v/>
      </c>
      <c r="YR61" s="208"/>
      <c r="YS61" s="231" t="str">
        <f t="shared" si="1707"/>
        <v/>
      </c>
      <c r="YT61" s="344"/>
      <c r="YU61" s="40"/>
      <c r="YV61" s="62">
        <v>5</v>
      </c>
      <c r="YW61" s="3" t="str">
        <f t="shared" si="1892"/>
        <v>Outcome Index 5  | Odd 5</v>
      </c>
      <c r="YX61" s="2">
        <f t="shared" si="1367"/>
        <v>80</v>
      </c>
      <c r="YY61" s="2">
        <f t="shared" si="361"/>
        <v>83</v>
      </c>
      <c r="YZ61" s="2">
        <v>4</v>
      </c>
      <c r="ZA61" s="207" t="str">
        <f t="shared" si="1893"/>
        <v/>
      </c>
      <c r="ZB61" s="208"/>
      <c r="ZC61" s="231" t="str">
        <f t="shared" si="1709"/>
        <v/>
      </c>
      <c r="ZD61" s="344"/>
      <c r="ZE61" s="40"/>
      <c r="ZF61" s="62">
        <v>5</v>
      </c>
      <c r="ZG61" s="3" t="str">
        <f t="shared" si="1894"/>
        <v>Outcome Index 5  | Odd 5</v>
      </c>
      <c r="ZH61" s="2">
        <f t="shared" si="1368"/>
        <v>80</v>
      </c>
      <c r="ZI61" s="2">
        <f t="shared" si="365"/>
        <v>83</v>
      </c>
      <c r="ZJ61" s="2">
        <v>4</v>
      </c>
      <c r="ZK61" s="207" t="str">
        <f t="shared" si="1895"/>
        <v/>
      </c>
      <c r="ZL61" s="208"/>
      <c r="ZM61" s="231" t="str">
        <f t="shared" si="1711"/>
        <v/>
      </c>
      <c r="ZN61" s="344"/>
      <c r="ZO61" s="40"/>
      <c r="ZP61" s="62">
        <v>5</v>
      </c>
      <c r="ZQ61" s="3" t="str">
        <f t="shared" si="1896"/>
        <v>Outcome Index 5  | Odd 5</v>
      </c>
      <c r="ZR61" s="2">
        <f t="shared" si="1369"/>
        <v>80</v>
      </c>
      <c r="ZS61" s="2">
        <f t="shared" si="369"/>
        <v>83</v>
      </c>
      <c r="ZT61" s="2">
        <v>4</v>
      </c>
      <c r="ZU61" s="207" t="str">
        <f t="shared" si="1897"/>
        <v/>
      </c>
      <c r="ZV61" s="208"/>
      <c r="ZW61" s="231" t="str">
        <f t="shared" si="1713"/>
        <v/>
      </c>
      <c r="ZX61" s="344"/>
      <c r="ZY61" s="40"/>
      <c r="ZZ61" s="62">
        <v>5</v>
      </c>
      <c r="AAA61" s="3" t="str">
        <f t="shared" si="1898"/>
        <v>Outcome Index 5  | Odd 5</v>
      </c>
      <c r="AAB61" s="2">
        <f t="shared" si="1370"/>
        <v>80</v>
      </c>
      <c r="AAC61" s="2">
        <f t="shared" si="373"/>
        <v>83</v>
      </c>
      <c r="AAD61" s="2">
        <v>4</v>
      </c>
      <c r="AAE61" s="207" t="str">
        <f t="shared" si="1899"/>
        <v/>
      </c>
      <c r="AAF61" s="208"/>
      <c r="AAG61" s="231" t="str">
        <f t="shared" si="1715"/>
        <v/>
      </c>
      <c r="AAH61" s="344"/>
      <c r="AAI61" s="40"/>
      <c r="AAJ61" s="62">
        <v>5</v>
      </c>
      <c r="AAK61" s="3" t="str">
        <f t="shared" si="1900"/>
        <v>Outcome Index 5  | Odd 5</v>
      </c>
      <c r="AAL61" s="2">
        <f t="shared" si="1371"/>
        <v>80</v>
      </c>
      <c r="AAM61" s="2">
        <f t="shared" si="377"/>
        <v>83</v>
      </c>
      <c r="AAN61" s="2">
        <v>4</v>
      </c>
      <c r="AAO61" s="207" t="str">
        <f t="shared" si="1901"/>
        <v/>
      </c>
      <c r="AAP61" s="208"/>
      <c r="AAQ61" s="231" t="str">
        <f t="shared" si="1717"/>
        <v/>
      </c>
      <c r="AAR61" s="344"/>
      <c r="AAS61" s="40"/>
      <c r="AAT61" s="62">
        <v>5</v>
      </c>
      <c r="AAU61" s="3" t="str">
        <f t="shared" si="1902"/>
        <v>Outcome Index 5  | Odd 5</v>
      </c>
      <c r="AAV61" s="2">
        <f t="shared" si="1372"/>
        <v>80</v>
      </c>
      <c r="AAW61" s="2">
        <f t="shared" si="381"/>
        <v>83</v>
      </c>
      <c r="AAX61" s="2">
        <v>4</v>
      </c>
      <c r="AAY61" s="207" t="str">
        <f t="shared" si="1903"/>
        <v/>
      </c>
      <c r="AAZ61" s="208"/>
      <c r="ABA61" s="231" t="str">
        <f t="shared" si="1719"/>
        <v/>
      </c>
      <c r="ABB61" s="344"/>
      <c r="ABC61" s="40"/>
      <c r="ABD61" s="62">
        <v>5</v>
      </c>
      <c r="ABE61" s="3" t="str">
        <f t="shared" si="1904"/>
        <v>Outcome Index 5  | Odd 5</v>
      </c>
      <c r="ABF61" s="2">
        <f t="shared" si="1373"/>
        <v>80</v>
      </c>
      <c r="ABG61" s="2">
        <f t="shared" si="385"/>
        <v>83</v>
      </c>
      <c r="ABH61" s="2">
        <v>4</v>
      </c>
      <c r="ABI61" s="207" t="str">
        <f t="shared" si="1905"/>
        <v/>
      </c>
      <c r="ABJ61" s="208"/>
      <c r="ABK61" s="231" t="str">
        <f t="shared" si="1721"/>
        <v/>
      </c>
      <c r="ABL61" s="344"/>
      <c r="ABM61" s="40"/>
      <c r="ABN61" s="62">
        <v>5</v>
      </c>
      <c r="ABO61" s="3" t="str">
        <f t="shared" si="1906"/>
        <v>Outcome Index 5  | Odd 5</v>
      </c>
      <c r="ABP61" s="2">
        <f t="shared" si="1374"/>
        <v>80</v>
      </c>
      <c r="ABQ61" s="2">
        <f t="shared" si="389"/>
        <v>83</v>
      </c>
      <c r="ABR61" s="2">
        <v>4</v>
      </c>
      <c r="ABS61" s="207" t="str">
        <f t="shared" si="1907"/>
        <v/>
      </c>
      <c r="ABT61" s="208"/>
      <c r="ABU61" s="231" t="str">
        <f t="shared" si="1723"/>
        <v/>
      </c>
      <c r="ABV61" s="344"/>
      <c r="ABW61" s="40"/>
      <c r="ABX61" s="62">
        <v>5</v>
      </c>
      <c r="ABY61" s="3" t="str">
        <f t="shared" si="1908"/>
        <v>Outcome Index 5  | Odd 5</v>
      </c>
      <c r="ABZ61" s="2">
        <f t="shared" si="1375"/>
        <v>80</v>
      </c>
      <c r="ACA61" s="2">
        <f t="shared" si="393"/>
        <v>83</v>
      </c>
      <c r="ACB61" s="2">
        <v>4</v>
      </c>
      <c r="ACC61" s="207" t="str">
        <f t="shared" si="1909"/>
        <v/>
      </c>
      <c r="ACD61" s="208"/>
      <c r="ACE61" s="231" t="str">
        <f t="shared" si="1725"/>
        <v/>
      </c>
      <c r="ACF61" s="344"/>
      <c r="ACG61" s="40"/>
      <c r="ACH61" s="62">
        <v>5</v>
      </c>
      <c r="ACI61" s="3" t="str">
        <f t="shared" si="1910"/>
        <v>Outcome Index 5  | Odd 5</v>
      </c>
      <c r="ACJ61" s="2">
        <f t="shared" si="1376"/>
        <v>80</v>
      </c>
      <c r="ACK61" s="2">
        <f t="shared" si="397"/>
        <v>83</v>
      </c>
      <c r="ACL61" s="2">
        <v>4</v>
      </c>
      <c r="ACM61" s="207" t="str">
        <f t="shared" si="1911"/>
        <v/>
      </c>
      <c r="ACN61" s="208"/>
      <c r="ACO61" s="231" t="str">
        <f t="shared" si="1727"/>
        <v/>
      </c>
      <c r="ACP61" s="344"/>
      <c r="ACQ61" s="40"/>
      <c r="ACR61" s="62">
        <v>5</v>
      </c>
      <c r="ACS61" s="3" t="str">
        <f t="shared" si="1912"/>
        <v>Outcome Index 5  | Odd 5</v>
      </c>
      <c r="ACT61" s="2">
        <f t="shared" si="1377"/>
        <v>80</v>
      </c>
      <c r="ACU61" s="2">
        <f t="shared" si="401"/>
        <v>83</v>
      </c>
      <c r="ACV61" s="2">
        <v>4</v>
      </c>
      <c r="ACW61" s="207" t="str">
        <f t="shared" si="1913"/>
        <v/>
      </c>
      <c r="ACX61" s="208"/>
      <c r="ACY61" s="231" t="str">
        <f t="shared" si="1729"/>
        <v/>
      </c>
      <c r="ACZ61" s="344"/>
      <c r="ADA61" s="40"/>
      <c r="ADB61" s="62">
        <v>5</v>
      </c>
      <c r="ADC61" s="3" t="str">
        <f t="shared" si="1914"/>
        <v>Outcome Index 5  | Odd 5</v>
      </c>
      <c r="ADD61" s="2">
        <f t="shared" si="1378"/>
        <v>80</v>
      </c>
      <c r="ADE61" s="2">
        <f t="shared" si="405"/>
        <v>83</v>
      </c>
      <c r="ADF61" s="2">
        <v>4</v>
      </c>
      <c r="ADG61" s="207" t="str">
        <f t="shared" si="1915"/>
        <v/>
      </c>
      <c r="ADH61" s="208"/>
      <c r="ADI61" s="231" t="str">
        <f t="shared" si="1731"/>
        <v/>
      </c>
      <c r="ADJ61" s="344"/>
      <c r="ADK61" s="40"/>
      <c r="ADL61" s="62">
        <v>5</v>
      </c>
      <c r="ADM61" s="3" t="str">
        <f t="shared" si="1916"/>
        <v>Outcome Index 5  | Odd 5</v>
      </c>
      <c r="ADN61" s="2">
        <f t="shared" si="1379"/>
        <v>80</v>
      </c>
      <c r="ADO61" s="2">
        <f t="shared" si="409"/>
        <v>83</v>
      </c>
      <c r="ADP61" s="2">
        <v>4</v>
      </c>
      <c r="ADQ61" s="207" t="str">
        <f t="shared" si="1917"/>
        <v/>
      </c>
      <c r="ADR61" s="208"/>
      <c r="ADS61" s="231" t="str">
        <f t="shared" si="1733"/>
        <v/>
      </c>
      <c r="ADT61" s="344"/>
      <c r="ADU61" s="40"/>
      <c r="ADV61" s="62">
        <v>5</v>
      </c>
      <c r="ADW61" s="3" t="str">
        <f t="shared" si="1918"/>
        <v>Outcome Index 5  | Odd 5</v>
      </c>
      <c r="ADX61" s="2">
        <f t="shared" si="1380"/>
        <v>80</v>
      </c>
      <c r="ADY61" s="2">
        <f t="shared" si="413"/>
        <v>83</v>
      </c>
      <c r="ADZ61" s="2">
        <v>4</v>
      </c>
      <c r="AEA61" s="207" t="str">
        <f t="shared" si="1919"/>
        <v/>
      </c>
      <c r="AEB61" s="208"/>
      <c r="AEC61" s="231" t="str">
        <f t="shared" si="1735"/>
        <v/>
      </c>
      <c r="AED61" s="344"/>
      <c r="AEE61" s="40"/>
      <c r="AEF61" s="62">
        <v>5</v>
      </c>
      <c r="AEG61" s="3" t="str">
        <f t="shared" si="1920"/>
        <v>Outcome Index 5  | Odd 5</v>
      </c>
      <c r="AEH61" s="2">
        <f t="shared" si="1381"/>
        <v>80</v>
      </c>
      <c r="AEI61" s="2">
        <f t="shared" si="417"/>
        <v>83</v>
      </c>
      <c r="AEJ61" s="2">
        <v>4</v>
      </c>
      <c r="AEK61" s="207" t="str">
        <f t="shared" si="1921"/>
        <v/>
      </c>
      <c r="AEL61" s="208"/>
      <c r="AEM61" s="231" t="str">
        <f t="shared" si="1737"/>
        <v/>
      </c>
      <c r="AEN61" s="344"/>
      <c r="AEO61" s="40"/>
      <c r="AEP61" s="62">
        <v>5</v>
      </c>
      <c r="AEQ61" s="3" t="str">
        <f t="shared" si="1922"/>
        <v>Outcome Index 5  | Odd 5</v>
      </c>
      <c r="AER61" s="2">
        <f t="shared" si="1382"/>
        <v>80</v>
      </c>
      <c r="AES61" s="2">
        <f t="shared" si="421"/>
        <v>83</v>
      </c>
      <c r="AET61" s="2">
        <v>4</v>
      </c>
      <c r="AEU61" s="207" t="str">
        <f t="shared" si="1923"/>
        <v/>
      </c>
      <c r="AEV61" s="208"/>
      <c r="AEW61" s="231" t="str">
        <f t="shared" si="1739"/>
        <v/>
      </c>
      <c r="AEX61" s="344"/>
      <c r="AEY61" s="40"/>
      <c r="AEZ61" s="62">
        <v>5</v>
      </c>
      <c r="AFA61" s="3" t="str">
        <f t="shared" si="1924"/>
        <v>Outcome Index 5  | Odd 5</v>
      </c>
      <c r="AFB61" s="2">
        <f t="shared" si="1383"/>
        <v>80</v>
      </c>
      <c r="AFC61" s="2">
        <f t="shared" si="425"/>
        <v>83</v>
      </c>
      <c r="AFD61" s="2">
        <v>4</v>
      </c>
      <c r="AFE61" s="207" t="str">
        <f t="shared" si="1925"/>
        <v/>
      </c>
      <c r="AFF61" s="208"/>
      <c r="AFG61" s="231" t="str">
        <f t="shared" si="1741"/>
        <v/>
      </c>
      <c r="AFH61" s="344"/>
      <c r="AFI61" s="40"/>
      <c r="AFJ61" s="62">
        <v>5</v>
      </c>
      <c r="AFK61" s="3" t="str">
        <f t="shared" si="1926"/>
        <v>Outcome Index 5  | Odd 5</v>
      </c>
      <c r="AFL61" s="2">
        <f t="shared" si="1384"/>
        <v>80</v>
      </c>
      <c r="AFM61" s="2">
        <f t="shared" si="429"/>
        <v>83</v>
      </c>
      <c r="AFN61" s="2">
        <v>4</v>
      </c>
      <c r="AFO61" s="207" t="str">
        <f t="shared" si="1927"/>
        <v/>
      </c>
      <c r="AFP61" s="208"/>
      <c r="AFQ61" s="231" t="str">
        <f t="shared" si="1743"/>
        <v/>
      </c>
      <c r="AFR61" s="344"/>
      <c r="AFS61" s="40"/>
      <c r="AFT61" s="62">
        <v>5</v>
      </c>
      <c r="AFU61" s="3" t="str">
        <f t="shared" si="1928"/>
        <v>Outcome Index 5  | Odd 5</v>
      </c>
      <c r="AFV61" s="2">
        <f t="shared" si="1385"/>
        <v>80</v>
      </c>
      <c r="AFW61" s="2">
        <f t="shared" si="433"/>
        <v>83</v>
      </c>
      <c r="AFX61" s="2">
        <v>4</v>
      </c>
      <c r="AFY61" s="207" t="str">
        <f t="shared" si="1929"/>
        <v/>
      </c>
      <c r="AFZ61" s="208"/>
      <c r="AGA61" s="231" t="str">
        <f t="shared" si="1745"/>
        <v/>
      </c>
      <c r="AGB61" s="344"/>
      <c r="AGC61" s="40"/>
      <c r="AGD61" s="62">
        <v>5</v>
      </c>
      <c r="AGE61" s="3" t="str">
        <f t="shared" si="1930"/>
        <v>Outcome Index 5  | Odd 5</v>
      </c>
      <c r="AGF61" s="2">
        <f t="shared" si="1386"/>
        <v>80</v>
      </c>
      <c r="AGG61" s="2">
        <f t="shared" si="437"/>
        <v>83</v>
      </c>
      <c r="AGH61" s="2">
        <v>4</v>
      </c>
      <c r="AGI61" s="207" t="str">
        <f t="shared" si="1931"/>
        <v/>
      </c>
      <c r="AGJ61" s="208"/>
      <c r="AGK61" s="231" t="str">
        <f t="shared" si="1747"/>
        <v/>
      </c>
      <c r="AGL61" s="344"/>
      <c r="AGM61" s="40"/>
      <c r="AGN61" s="62">
        <v>5</v>
      </c>
      <c r="AGO61" s="3" t="str">
        <f t="shared" si="1932"/>
        <v>Outcome Index 5  | Odd 5</v>
      </c>
      <c r="AGP61" s="2">
        <f t="shared" si="1387"/>
        <v>80</v>
      </c>
      <c r="AGQ61" s="2">
        <f t="shared" si="441"/>
        <v>83</v>
      </c>
      <c r="AGR61" s="2">
        <v>4</v>
      </c>
      <c r="AGS61" s="207" t="str">
        <f t="shared" si="1933"/>
        <v/>
      </c>
      <c r="AGT61" s="208"/>
      <c r="AGU61" s="231" t="str">
        <f t="shared" si="1749"/>
        <v/>
      </c>
      <c r="AGV61" s="344"/>
      <c r="AGW61" s="40"/>
      <c r="AGX61" s="62">
        <v>5</v>
      </c>
      <c r="AGY61" s="3" t="str">
        <f t="shared" si="1934"/>
        <v>Outcome Index 5  | Odd 5</v>
      </c>
      <c r="AGZ61" s="2">
        <f t="shared" si="1388"/>
        <v>80</v>
      </c>
      <c r="AHA61" s="2">
        <f t="shared" si="445"/>
        <v>83</v>
      </c>
      <c r="AHB61" s="2">
        <v>4</v>
      </c>
      <c r="AHC61" s="207" t="str">
        <f t="shared" si="1935"/>
        <v/>
      </c>
      <c r="AHD61" s="208"/>
      <c r="AHE61" s="231" t="str">
        <f t="shared" si="1751"/>
        <v/>
      </c>
      <c r="AHF61" s="344"/>
      <c r="AHG61" s="40"/>
      <c r="AHH61" s="62">
        <v>5</v>
      </c>
      <c r="AHI61" s="3" t="str">
        <f t="shared" si="1936"/>
        <v>Outcome Index 5  | Odd 5</v>
      </c>
      <c r="AHJ61" s="2">
        <f t="shared" si="1389"/>
        <v>80</v>
      </c>
      <c r="AHK61" s="2">
        <f t="shared" si="449"/>
        <v>83</v>
      </c>
      <c r="AHL61" s="2">
        <v>4</v>
      </c>
      <c r="AHM61" s="207" t="str">
        <f t="shared" si="1937"/>
        <v/>
      </c>
      <c r="AHN61" s="208"/>
      <c r="AHO61" s="231" t="str">
        <f t="shared" si="1753"/>
        <v/>
      </c>
      <c r="AHP61" s="344"/>
      <c r="AHQ61" s="40"/>
      <c r="AHR61" s="62">
        <v>5</v>
      </c>
      <c r="AHS61" s="3" t="str">
        <f t="shared" si="1938"/>
        <v>Outcome Index 5  | Odd 5</v>
      </c>
      <c r="AHT61" s="2">
        <f t="shared" si="1390"/>
        <v>80</v>
      </c>
      <c r="AHU61" s="2">
        <f t="shared" si="453"/>
        <v>83</v>
      </c>
      <c r="AHV61" s="2">
        <v>4</v>
      </c>
      <c r="AHW61" s="207" t="str">
        <f t="shared" si="1939"/>
        <v/>
      </c>
      <c r="AHX61" s="208"/>
      <c r="AHY61" s="231" t="str">
        <f t="shared" si="1755"/>
        <v/>
      </c>
      <c r="AHZ61" s="344"/>
      <c r="AIA61" s="40"/>
      <c r="AIB61" s="62">
        <v>5</v>
      </c>
      <c r="AIC61" s="3" t="str">
        <f t="shared" si="1940"/>
        <v>Outcome Index 5  | Odd 5</v>
      </c>
      <c r="AID61" s="2">
        <f t="shared" si="1391"/>
        <v>80</v>
      </c>
      <c r="AIE61" s="2">
        <f t="shared" si="457"/>
        <v>83</v>
      </c>
      <c r="AIF61" s="2">
        <v>4</v>
      </c>
      <c r="AIG61" s="207" t="str">
        <f t="shared" si="1941"/>
        <v/>
      </c>
      <c r="AIH61" s="208"/>
      <c r="AII61" s="231" t="str">
        <f t="shared" si="1757"/>
        <v/>
      </c>
      <c r="AIJ61" s="344"/>
      <c r="AIK61" s="40"/>
      <c r="AIL61" s="62">
        <v>5</v>
      </c>
      <c r="AIM61" s="3" t="str">
        <f t="shared" si="1942"/>
        <v>Outcome Index 5  | Odd 5</v>
      </c>
      <c r="AIN61" s="2">
        <f t="shared" si="1392"/>
        <v>80</v>
      </c>
      <c r="AIO61" s="2">
        <f t="shared" si="461"/>
        <v>83</v>
      </c>
      <c r="AIP61" s="2">
        <v>4</v>
      </c>
      <c r="AIQ61" s="207" t="str">
        <f t="shared" si="1943"/>
        <v/>
      </c>
      <c r="AIR61" s="208"/>
      <c r="AIS61" s="231" t="str">
        <f t="shared" si="1759"/>
        <v/>
      </c>
      <c r="AIT61" s="344"/>
      <c r="AIU61" s="40"/>
      <c r="AIV61" s="62">
        <v>5</v>
      </c>
      <c r="AIW61" s="3" t="str">
        <f t="shared" si="1944"/>
        <v>Outcome Index 5  | Odd 5</v>
      </c>
      <c r="AIX61" s="2">
        <f t="shared" si="1393"/>
        <v>80</v>
      </c>
      <c r="AIY61" s="2">
        <f t="shared" si="465"/>
        <v>83</v>
      </c>
      <c r="AIZ61" s="2">
        <v>4</v>
      </c>
      <c r="AJA61" s="207" t="str">
        <f t="shared" si="1945"/>
        <v/>
      </c>
      <c r="AJB61" s="208"/>
      <c r="AJC61" s="231" t="str">
        <f t="shared" si="1761"/>
        <v/>
      </c>
      <c r="AJD61" s="344"/>
    </row>
    <row r="62" spans="1:940">
      <c r="B62" s="42">
        <v>6</v>
      </c>
      <c r="C62" s="19" t="str">
        <f t="shared" si="1946"/>
        <v>Outcome Index 6  | Odd 6</v>
      </c>
      <c r="D62" s="18">
        <f t="shared" si="561"/>
        <v>84</v>
      </c>
      <c r="E62" s="18">
        <f t="shared" si="1947"/>
        <v>87</v>
      </c>
      <c r="F62" s="18">
        <v>4</v>
      </c>
      <c r="G62" s="301" t="str">
        <f t="shared" si="1948"/>
        <v/>
      </c>
      <c r="H62" s="301"/>
      <c r="I62" s="302" t="str">
        <f t="shared" si="1949"/>
        <v/>
      </c>
      <c r="J62" s="305"/>
      <c r="K62" s="40"/>
      <c r="L62" s="62">
        <v>6</v>
      </c>
      <c r="M62" s="19" t="str">
        <f t="shared" si="1950"/>
        <v>Outcome Index 6  | Odd 6</v>
      </c>
      <c r="N62" s="18">
        <f t="shared" si="562"/>
        <v>84</v>
      </c>
      <c r="O62" s="18">
        <f t="shared" si="97"/>
        <v>87</v>
      </c>
      <c r="P62" s="18">
        <v>4</v>
      </c>
      <c r="Q62" s="303" t="str">
        <f t="shared" si="1951"/>
        <v/>
      </c>
      <c r="R62" s="304"/>
      <c r="S62" s="302" t="str">
        <f t="shared" si="1952"/>
        <v/>
      </c>
      <c r="T62" s="349"/>
      <c r="U62" s="40"/>
      <c r="V62" s="62">
        <v>6</v>
      </c>
      <c r="W62" s="19" t="str">
        <f t="shared" si="1762"/>
        <v>Outcome Index 6  | Odd 6</v>
      </c>
      <c r="X62" s="18">
        <f t="shared" si="1302"/>
        <v>84</v>
      </c>
      <c r="Y62" s="18">
        <f t="shared" si="101"/>
        <v>87</v>
      </c>
      <c r="Z62" s="18">
        <v>4</v>
      </c>
      <c r="AA62" s="303" t="str">
        <f t="shared" si="1763"/>
        <v/>
      </c>
      <c r="AB62" s="304"/>
      <c r="AC62" s="302" t="str">
        <f t="shared" si="1579"/>
        <v/>
      </c>
      <c r="AD62" s="349"/>
      <c r="AE62" s="40"/>
      <c r="AF62" s="62">
        <v>6</v>
      </c>
      <c r="AG62" s="19" t="str">
        <f t="shared" si="1764"/>
        <v>Outcome Index 6  | Odd 6</v>
      </c>
      <c r="AH62" s="18">
        <f t="shared" si="1303"/>
        <v>84</v>
      </c>
      <c r="AI62" s="18">
        <f t="shared" si="105"/>
        <v>87</v>
      </c>
      <c r="AJ62" s="18">
        <v>4</v>
      </c>
      <c r="AK62" s="303" t="str">
        <f t="shared" si="1765"/>
        <v/>
      </c>
      <c r="AL62" s="304"/>
      <c r="AM62" s="302" t="str">
        <f t="shared" si="1581"/>
        <v/>
      </c>
      <c r="AN62" s="349"/>
      <c r="AO62" s="40"/>
      <c r="AP62" s="62">
        <v>6</v>
      </c>
      <c r="AQ62" s="19" t="str">
        <f t="shared" si="1766"/>
        <v>Outcome Index 6  | Odd 6</v>
      </c>
      <c r="AR62" s="18">
        <f t="shared" si="1304"/>
        <v>84</v>
      </c>
      <c r="AS62" s="18">
        <f t="shared" si="109"/>
        <v>87</v>
      </c>
      <c r="AT62" s="18">
        <v>4</v>
      </c>
      <c r="AU62" s="303" t="str">
        <f t="shared" si="1767"/>
        <v/>
      </c>
      <c r="AV62" s="304"/>
      <c r="AW62" s="302" t="str">
        <f t="shared" si="1583"/>
        <v/>
      </c>
      <c r="AX62" s="349"/>
      <c r="AY62" s="40"/>
      <c r="AZ62" s="62">
        <v>6</v>
      </c>
      <c r="BA62" s="19" t="str">
        <f t="shared" si="1768"/>
        <v>Outcome Index 6  | Odd 6</v>
      </c>
      <c r="BB62" s="18">
        <f t="shared" si="1305"/>
        <v>84</v>
      </c>
      <c r="BC62" s="18">
        <f t="shared" si="113"/>
        <v>87</v>
      </c>
      <c r="BD62" s="18">
        <v>4</v>
      </c>
      <c r="BE62" s="303" t="str">
        <f t="shared" si="1769"/>
        <v/>
      </c>
      <c r="BF62" s="304"/>
      <c r="BG62" s="302" t="str">
        <f t="shared" si="1585"/>
        <v/>
      </c>
      <c r="BH62" s="349"/>
      <c r="BI62" s="40"/>
      <c r="BJ62" s="62">
        <v>6</v>
      </c>
      <c r="BK62" s="19" t="str">
        <f t="shared" si="1770"/>
        <v>Outcome Index 6  | Odd 6</v>
      </c>
      <c r="BL62" s="18">
        <f t="shared" si="1306"/>
        <v>84</v>
      </c>
      <c r="BM62" s="18">
        <f t="shared" si="117"/>
        <v>87</v>
      </c>
      <c r="BN62" s="18">
        <v>4</v>
      </c>
      <c r="BO62" s="303" t="str">
        <f t="shared" si="1771"/>
        <v/>
      </c>
      <c r="BP62" s="304"/>
      <c r="BQ62" s="302" t="str">
        <f t="shared" si="1587"/>
        <v/>
      </c>
      <c r="BR62" s="349"/>
      <c r="BS62" s="40"/>
      <c r="BT62" s="62">
        <v>6</v>
      </c>
      <c r="BU62" s="19" t="str">
        <f t="shared" si="1772"/>
        <v>Outcome Index 6  | Odd 6</v>
      </c>
      <c r="BV62" s="18">
        <f t="shared" si="1307"/>
        <v>84</v>
      </c>
      <c r="BW62" s="18">
        <f t="shared" si="121"/>
        <v>87</v>
      </c>
      <c r="BX62" s="18">
        <v>4</v>
      </c>
      <c r="BY62" s="303" t="str">
        <f t="shared" si="1773"/>
        <v/>
      </c>
      <c r="BZ62" s="304"/>
      <c r="CA62" s="302" t="str">
        <f t="shared" si="1589"/>
        <v/>
      </c>
      <c r="CB62" s="349"/>
      <c r="CC62" s="40"/>
      <c r="CD62" s="62">
        <v>6</v>
      </c>
      <c r="CE62" s="19" t="str">
        <f t="shared" si="1774"/>
        <v>Outcome Index 6  | Odd 6</v>
      </c>
      <c r="CF62" s="18">
        <f t="shared" si="1308"/>
        <v>84</v>
      </c>
      <c r="CG62" s="18">
        <f t="shared" si="125"/>
        <v>87</v>
      </c>
      <c r="CH62" s="18">
        <v>4</v>
      </c>
      <c r="CI62" s="303" t="str">
        <f t="shared" si="1775"/>
        <v/>
      </c>
      <c r="CJ62" s="304"/>
      <c r="CK62" s="302" t="str">
        <f t="shared" si="1591"/>
        <v/>
      </c>
      <c r="CL62" s="349"/>
      <c r="CM62" s="40"/>
      <c r="CN62" s="62">
        <v>6</v>
      </c>
      <c r="CO62" s="19" t="str">
        <f t="shared" si="1776"/>
        <v>Outcome Index 6  | Odd 6</v>
      </c>
      <c r="CP62" s="18">
        <f t="shared" si="1309"/>
        <v>84</v>
      </c>
      <c r="CQ62" s="18">
        <f t="shared" si="129"/>
        <v>87</v>
      </c>
      <c r="CR62" s="18">
        <v>4</v>
      </c>
      <c r="CS62" s="303" t="str">
        <f t="shared" si="1777"/>
        <v/>
      </c>
      <c r="CT62" s="304"/>
      <c r="CU62" s="302" t="str">
        <f t="shared" si="1593"/>
        <v/>
      </c>
      <c r="CV62" s="349"/>
      <c r="CW62" s="40"/>
      <c r="CX62" s="62">
        <v>6</v>
      </c>
      <c r="CY62" s="19" t="str">
        <f t="shared" si="1778"/>
        <v>Outcome Index 6  | Odd 6</v>
      </c>
      <c r="CZ62" s="18">
        <f t="shared" si="1310"/>
        <v>84</v>
      </c>
      <c r="DA62" s="18">
        <f t="shared" si="133"/>
        <v>87</v>
      </c>
      <c r="DB62" s="18">
        <v>4</v>
      </c>
      <c r="DC62" s="303" t="str">
        <f t="shared" si="1779"/>
        <v/>
      </c>
      <c r="DD62" s="304"/>
      <c r="DE62" s="302" t="str">
        <f t="shared" si="1595"/>
        <v/>
      </c>
      <c r="DF62" s="349"/>
      <c r="DG62" s="40"/>
      <c r="DH62" s="62">
        <v>6</v>
      </c>
      <c r="DI62" s="19" t="str">
        <f t="shared" si="1780"/>
        <v>Outcome Index 6  | Odd 6</v>
      </c>
      <c r="DJ62" s="18">
        <f t="shared" si="1311"/>
        <v>84</v>
      </c>
      <c r="DK62" s="18">
        <f t="shared" si="137"/>
        <v>87</v>
      </c>
      <c r="DL62" s="18">
        <v>4</v>
      </c>
      <c r="DM62" s="303" t="str">
        <f t="shared" si="1781"/>
        <v/>
      </c>
      <c r="DN62" s="304"/>
      <c r="DO62" s="302" t="str">
        <f t="shared" si="1597"/>
        <v/>
      </c>
      <c r="DP62" s="349"/>
      <c r="DQ62" s="40"/>
      <c r="DR62" s="62">
        <v>6</v>
      </c>
      <c r="DS62" s="19" t="str">
        <f t="shared" si="1782"/>
        <v>Outcome Index 6  | Odd 6</v>
      </c>
      <c r="DT62" s="18">
        <f t="shared" si="1312"/>
        <v>84</v>
      </c>
      <c r="DU62" s="18">
        <f t="shared" si="141"/>
        <v>87</v>
      </c>
      <c r="DV62" s="18">
        <v>4</v>
      </c>
      <c r="DW62" s="303" t="str">
        <f t="shared" si="1783"/>
        <v/>
      </c>
      <c r="DX62" s="304"/>
      <c r="DY62" s="302" t="str">
        <f t="shared" si="1599"/>
        <v/>
      </c>
      <c r="DZ62" s="349"/>
      <c r="EA62" s="40"/>
      <c r="EB62" s="62">
        <v>6</v>
      </c>
      <c r="EC62" s="19" t="str">
        <f t="shared" si="1784"/>
        <v>Outcome Index 6  | Odd 6</v>
      </c>
      <c r="ED62" s="18">
        <f t="shared" si="1313"/>
        <v>84</v>
      </c>
      <c r="EE62" s="18">
        <f t="shared" si="145"/>
        <v>87</v>
      </c>
      <c r="EF62" s="18">
        <v>4</v>
      </c>
      <c r="EG62" s="303" t="str">
        <f t="shared" si="1785"/>
        <v/>
      </c>
      <c r="EH62" s="304"/>
      <c r="EI62" s="302" t="str">
        <f t="shared" si="1601"/>
        <v/>
      </c>
      <c r="EJ62" s="349"/>
      <c r="EK62" s="40"/>
      <c r="EL62" s="62">
        <v>6</v>
      </c>
      <c r="EM62" s="19" t="str">
        <f t="shared" si="1786"/>
        <v>Outcome Index 6  | Odd 6</v>
      </c>
      <c r="EN62" s="18">
        <f t="shared" si="1314"/>
        <v>84</v>
      </c>
      <c r="EO62" s="18">
        <f t="shared" si="149"/>
        <v>87</v>
      </c>
      <c r="EP62" s="18">
        <v>4</v>
      </c>
      <c r="EQ62" s="303" t="str">
        <f t="shared" si="1787"/>
        <v/>
      </c>
      <c r="ER62" s="304"/>
      <c r="ES62" s="302" t="str">
        <f t="shared" si="1603"/>
        <v/>
      </c>
      <c r="ET62" s="349"/>
      <c r="EU62" s="40"/>
      <c r="EV62" s="62">
        <v>6</v>
      </c>
      <c r="EW62" s="19" t="str">
        <f t="shared" si="1788"/>
        <v>Outcome Index 6  | Odd 6</v>
      </c>
      <c r="EX62" s="18">
        <f t="shared" si="1315"/>
        <v>84</v>
      </c>
      <c r="EY62" s="18">
        <f t="shared" si="153"/>
        <v>87</v>
      </c>
      <c r="EZ62" s="18">
        <v>4</v>
      </c>
      <c r="FA62" s="303" t="str">
        <f t="shared" si="1789"/>
        <v/>
      </c>
      <c r="FB62" s="304"/>
      <c r="FC62" s="302" t="str">
        <f t="shared" si="1605"/>
        <v/>
      </c>
      <c r="FD62" s="349"/>
      <c r="FE62" s="40"/>
      <c r="FF62" s="62">
        <v>6</v>
      </c>
      <c r="FG62" s="19" t="str">
        <f t="shared" si="1790"/>
        <v>Outcome Index 6  | Odd 6</v>
      </c>
      <c r="FH62" s="18">
        <f t="shared" si="1316"/>
        <v>84</v>
      </c>
      <c r="FI62" s="18">
        <f t="shared" si="157"/>
        <v>87</v>
      </c>
      <c r="FJ62" s="18">
        <v>4</v>
      </c>
      <c r="FK62" s="303" t="str">
        <f t="shared" si="1791"/>
        <v/>
      </c>
      <c r="FL62" s="304"/>
      <c r="FM62" s="302" t="str">
        <f t="shared" si="1607"/>
        <v/>
      </c>
      <c r="FN62" s="349"/>
      <c r="FO62" s="40"/>
      <c r="FP62" s="62">
        <v>6</v>
      </c>
      <c r="FQ62" s="19" t="str">
        <f t="shared" si="1792"/>
        <v>Outcome Index 6  | Odd 6</v>
      </c>
      <c r="FR62" s="18">
        <f t="shared" si="1317"/>
        <v>84</v>
      </c>
      <c r="FS62" s="18">
        <f t="shared" si="161"/>
        <v>87</v>
      </c>
      <c r="FT62" s="18">
        <v>4</v>
      </c>
      <c r="FU62" s="303" t="str">
        <f t="shared" si="1793"/>
        <v/>
      </c>
      <c r="FV62" s="304"/>
      <c r="FW62" s="302" t="str">
        <f t="shared" si="1609"/>
        <v/>
      </c>
      <c r="FX62" s="349"/>
      <c r="FY62" s="40"/>
      <c r="FZ62" s="62">
        <v>6</v>
      </c>
      <c r="GA62" s="19" t="str">
        <f t="shared" si="1794"/>
        <v>Outcome Index 6  | Odd 6</v>
      </c>
      <c r="GB62" s="18">
        <f t="shared" si="1318"/>
        <v>84</v>
      </c>
      <c r="GC62" s="18">
        <f t="shared" si="165"/>
        <v>87</v>
      </c>
      <c r="GD62" s="18">
        <v>4</v>
      </c>
      <c r="GE62" s="303" t="str">
        <f t="shared" si="1795"/>
        <v/>
      </c>
      <c r="GF62" s="304"/>
      <c r="GG62" s="302" t="str">
        <f t="shared" si="1611"/>
        <v/>
      </c>
      <c r="GH62" s="349"/>
      <c r="GI62" s="40"/>
      <c r="GJ62" s="62">
        <v>6</v>
      </c>
      <c r="GK62" s="19" t="str">
        <f t="shared" si="1796"/>
        <v>Outcome Index 6  | Odd 6</v>
      </c>
      <c r="GL62" s="18">
        <f t="shared" si="1319"/>
        <v>84</v>
      </c>
      <c r="GM62" s="18">
        <f t="shared" si="169"/>
        <v>87</v>
      </c>
      <c r="GN62" s="18">
        <v>4</v>
      </c>
      <c r="GO62" s="303" t="str">
        <f t="shared" si="1797"/>
        <v/>
      </c>
      <c r="GP62" s="304"/>
      <c r="GQ62" s="302" t="str">
        <f t="shared" si="1613"/>
        <v/>
      </c>
      <c r="GR62" s="349"/>
      <c r="GS62" s="40"/>
      <c r="GT62" s="62">
        <v>6</v>
      </c>
      <c r="GU62" s="19" t="str">
        <f t="shared" si="1798"/>
        <v>Outcome Index 6  | Odd 6</v>
      </c>
      <c r="GV62" s="18">
        <f t="shared" si="1320"/>
        <v>84</v>
      </c>
      <c r="GW62" s="18">
        <f t="shared" si="173"/>
        <v>87</v>
      </c>
      <c r="GX62" s="18">
        <v>4</v>
      </c>
      <c r="GY62" s="303" t="str">
        <f t="shared" si="1799"/>
        <v/>
      </c>
      <c r="GZ62" s="304"/>
      <c r="HA62" s="302" t="str">
        <f t="shared" si="1615"/>
        <v/>
      </c>
      <c r="HB62" s="349"/>
      <c r="HC62" s="40"/>
      <c r="HD62" s="62">
        <v>6</v>
      </c>
      <c r="HE62" s="19" t="str">
        <f t="shared" si="1800"/>
        <v>Outcome Index 6  | Odd 6</v>
      </c>
      <c r="HF62" s="18">
        <f t="shared" si="1321"/>
        <v>84</v>
      </c>
      <c r="HG62" s="18">
        <f t="shared" si="177"/>
        <v>87</v>
      </c>
      <c r="HH62" s="18">
        <v>4</v>
      </c>
      <c r="HI62" s="303" t="str">
        <f t="shared" si="1801"/>
        <v/>
      </c>
      <c r="HJ62" s="304"/>
      <c r="HK62" s="302" t="str">
        <f t="shared" si="1617"/>
        <v/>
      </c>
      <c r="HL62" s="349"/>
      <c r="HM62" s="40"/>
      <c r="HN62" s="62">
        <v>6</v>
      </c>
      <c r="HO62" s="19" t="str">
        <f t="shared" si="1802"/>
        <v>Outcome Index 6  | Odd 6</v>
      </c>
      <c r="HP62" s="18">
        <f t="shared" si="1322"/>
        <v>84</v>
      </c>
      <c r="HQ62" s="18">
        <f t="shared" si="181"/>
        <v>87</v>
      </c>
      <c r="HR62" s="18">
        <v>4</v>
      </c>
      <c r="HS62" s="303" t="str">
        <f t="shared" si="1803"/>
        <v/>
      </c>
      <c r="HT62" s="304"/>
      <c r="HU62" s="302" t="str">
        <f t="shared" si="1619"/>
        <v/>
      </c>
      <c r="HV62" s="349"/>
      <c r="HW62" s="40"/>
      <c r="HX62" s="62">
        <v>6</v>
      </c>
      <c r="HY62" s="19" t="str">
        <f t="shared" si="1804"/>
        <v>Outcome Index 6  | Odd 6</v>
      </c>
      <c r="HZ62" s="18">
        <f t="shared" si="1323"/>
        <v>84</v>
      </c>
      <c r="IA62" s="18">
        <f t="shared" si="185"/>
        <v>87</v>
      </c>
      <c r="IB62" s="18">
        <v>4</v>
      </c>
      <c r="IC62" s="303" t="str">
        <f t="shared" si="1805"/>
        <v/>
      </c>
      <c r="ID62" s="304"/>
      <c r="IE62" s="302" t="str">
        <f t="shared" si="1621"/>
        <v/>
      </c>
      <c r="IF62" s="349"/>
      <c r="IG62" s="40"/>
      <c r="IH62" s="62">
        <v>6</v>
      </c>
      <c r="II62" s="19" t="str">
        <f t="shared" si="1806"/>
        <v>Outcome Index 6  | Odd 6</v>
      </c>
      <c r="IJ62" s="18">
        <f t="shared" si="1324"/>
        <v>84</v>
      </c>
      <c r="IK62" s="18">
        <f t="shared" si="189"/>
        <v>87</v>
      </c>
      <c r="IL62" s="18">
        <v>4</v>
      </c>
      <c r="IM62" s="303" t="str">
        <f t="shared" si="1807"/>
        <v/>
      </c>
      <c r="IN62" s="304"/>
      <c r="IO62" s="302" t="str">
        <f t="shared" si="1623"/>
        <v/>
      </c>
      <c r="IP62" s="349"/>
      <c r="IQ62" s="40"/>
      <c r="IR62" s="62">
        <v>6</v>
      </c>
      <c r="IS62" s="19" t="str">
        <f t="shared" si="1808"/>
        <v>Outcome Index 6  | Odd 6</v>
      </c>
      <c r="IT62" s="18">
        <f t="shared" si="1325"/>
        <v>84</v>
      </c>
      <c r="IU62" s="18">
        <f t="shared" si="193"/>
        <v>87</v>
      </c>
      <c r="IV62" s="18">
        <v>4</v>
      </c>
      <c r="IW62" s="303" t="str">
        <f t="shared" si="1809"/>
        <v/>
      </c>
      <c r="IX62" s="304"/>
      <c r="IY62" s="302" t="str">
        <f t="shared" si="1625"/>
        <v/>
      </c>
      <c r="IZ62" s="349"/>
      <c r="JA62" s="40"/>
      <c r="JB62" s="62">
        <v>6</v>
      </c>
      <c r="JC62" s="19" t="str">
        <f t="shared" si="1810"/>
        <v>Outcome Index 6  | Odd 6</v>
      </c>
      <c r="JD62" s="18">
        <f t="shared" si="1326"/>
        <v>84</v>
      </c>
      <c r="JE62" s="18">
        <f t="shared" si="197"/>
        <v>87</v>
      </c>
      <c r="JF62" s="18">
        <v>4</v>
      </c>
      <c r="JG62" s="303" t="str">
        <f t="shared" si="1811"/>
        <v/>
      </c>
      <c r="JH62" s="304"/>
      <c r="JI62" s="302" t="str">
        <f t="shared" si="1627"/>
        <v/>
      </c>
      <c r="JJ62" s="349"/>
      <c r="JK62" s="40"/>
      <c r="JL62" s="62">
        <v>6</v>
      </c>
      <c r="JM62" s="19" t="str">
        <f t="shared" si="1812"/>
        <v>Outcome Index 6  | Odd 6</v>
      </c>
      <c r="JN62" s="18">
        <f t="shared" si="1327"/>
        <v>84</v>
      </c>
      <c r="JO62" s="18">
        <f t="shared" si="201"/>
        <v>87</v>
      </c>
      <c r="JP62" s="18">
        <v>4</v>
      </c>
      <c r="JQ62" s="303" t="str">
        <f t="shared" si="1813"/>
        <v/>
      </c>
      <c r="JR62" s="304"/>
      <c r="JS62" s="302" t="str">
        <f t="shared" si="1629"/>
        <v/>
      </c>
      <c r="JT62" s="349"/>
      <c r="JU62" s="40"/>
      <c r="JV62" s="62">
        <v>6</v>
      </c>
      <c r="JW62" s="19" t="str">
        <f t="shared" si="1814"/>
        <v>Outcome Index 6  | Odd 6</v>
      </c>
      <c r="JX62" s="18">
        <f t="shared" si="1328"/>
        <v>84</v>
      </c>
      <c r="JY62" s="18">
        <f t="shared" si="205"/>
        <v>87</v>
      </c>
      <c r="JZ62" s="18">
        <v>4</v>
      </c>
      <c r="KA62" s="303" t="str">
        <f t="shared" si="1815"/>
        <v/>
      </c>
      <c r="KB62" s="304"/>
      <c r="KC62" s="302" t="str">
        <f t="shared" si="1631"/>
        <v/>
      </c>
      <c r="KD62" s="349"/>
      <c r="KE62" s="40"/>
      <c r="KF62" s="62">
        <v>6</v>
      </c>
      <c r="KG62" s="19" t="str">
        <f t="shared" si="1816"/>
        <v>Outcome Index 6  | Odd 6</v>
      </c>
      <c r="KH62" s="18">
        <f t="shared" si="1329"/>
        <v>84</v>
      </c>
      <c r="KI62" s="18">
        <f t="shared" si="209"/>
        <v>87</v>
      </c>
      <c r="KJ62" s="18">
        <v>4</v>
      </c>
      <c r="KK62" s="303" t="str">
        <f t="shared" si="1817"/>
        <v/>
      </c>
      <c r="KL62" s="304"/>
      <c r="KM62" s="302" t="str">
        <f t="shared" si="1633"/>
        <v/>
      </c>
      <c r="KN62" s="349"/>
      <c r="KO62" s="40"/>
      <c r="KP62" s="62">
        <v>6</v>
      </c>
      <c r="KQ62" s="19" t="str">
        <f t="shared" si="1818"/>
        <v>Outcome Index 6  | Odd 6</v>
      </c>
      <c r="KR62" s="18">
        <f t="shared" si="1330"/>
        <v>84</v>
      </c>
      <c r="KS62" s="18">
        <f t="shared" si="213"/>
        <v>87</v>
      </c>
      <c r="KT62" s="18">
        <v>4</v>
      </c>
      <c r="KU62" s="303" t="str">
        <f t="shared" si="1819"/>
        <v/>
      </c>
      <c r="KV62" s="304"/>
      <c r="KW62" s="302" t="str">
        <f t="shared" si="1635"/>
        <v/>
      </c>
      <c r="KX62" s="349"/>
      <c r="KY62" s="40"/>
      <c r="KZ62" s="62">
        <v>6</v>
      </c>
      <c r="LA62" s="19" t="str">
        <f t="shared" si="1820"/>
        <v>Outcome Index 6  | Odd 6</v>
      </c>
      <c r="LB62" s="18">
        <f t="shared" si="1331"/>
        <v>84</v>
      </c>
      <c r="LC62" s="18">
        <f t="shared" si="217"/>
        <v>87</v>
      </c>
      <c r="LD62" s="18">
        <v>4</v>
      </c>
      <c r="LE62" s="303" t="str">
        <f t="shared" si="1821"/>
        <v/>
      </c>
      <c r="LF62" s="304"/>
      <c r="LG62" s="302" t="str">
        <f t="shared" si="1637"/>
        <v/>
      </c>
      <c r="LH62" s="349"/>
      <c r="LI62" s="40"/>
      <c r="LJ62" s="62">
        <v>6</v>
      </c>
      <c r="LK62" s="19" t="str">
        <f t="shared" si="1822"/>
        <v>Outcome Index 6  | Odd 6</v>
      </c>
      <c r="LL62" s="18">
        <f t="shared" si="1332"/>
        <v>84</v>
      </c>
      <c r="LM62" s="18">
        <f t="shared" si="221"/>
        <v>87</v>
      </c>
      <c r="LN62" s="18">
        <v>4</v>
      </c>
      <c r="LO62" s="303" t="str">
        <f t="shared" si="1823"/>
        <v/>
      </c>
      <c r="LP62" s="304"/>
      <c r="LQ62" s="302" t="str">
        <f t="shared" si="1639"/>
        <v/>
      </c>
      <c r="LR62" s="349"/>
      <c r="LS62" s="40"/>
      <c r="LT62" s="62">
        <v>6</v>
      </c>
      <c r="LU62" s="19" t="str">
        <f t="shared" si="1824"/>
        <v>Outcome Index 6  | Odd 6</v>
      </c>
      <c r="LV62" s="18">
        <f t="shared" si="1333"/>
        <v>84</v>
      </c>
      <c r="LW62" s="18">
        <f t="shared" si="225"/>
        <v>87</v>
      </c>
      <c r="LX62" s="18">
        <v>4</v>
      </c>
      <c r="LY62" s="303" t="str">
        <f t="shared" si="1825"/>
        <v/>
      </c>
      <c r="LZ62" s="304"/>
      <c r="MA62" s="302" t="str">
        <f t="shared" si="1641"/>
        <v/>
      </c>
      <c r="MB62" s="349"/>
      <c r="MC62" s="40"/>
      <c r="MD62" s="62">
        <v>6</v>
      </c>
      <c r="ME62" s="19" t="str">
        <f t="shared" si="1826"/>
        <v>Outcome Index 6  | Odd 6</v>
      </c>
      <c r="MF62" s="18">
        <f t="shared" si="1334"/>
        <v>84</v>
      </c>
      <c r="MG62" s="18">
        <f t="shared" si="229"/>
        <v>87</v>
      </c>
      <c r="MH62" s="18">
        <v>4</v>
      </c>
      <c r="MI62" s="303" t="str">
        <f t="shared" si="1827"/>
        <v/>
      </c>
      <c r="MJ62" s="304"/>
      <c r="MK62" s="302" t="str">
        <f t="shared" si="1643"/>
        <v/>
      </c>
      <c r="ML62" s="349"/>
      <c r="MM62" s="40"/>
      <c r="MN62" s="62">
        <v>6</v>
      </c>
      <c r="MO62" s="19" t="str">
        <f t="shared" si="1828"/>
        <v>Outcome Index 6  | Odd 6</v>
      </c>
      <c r="MP62" s="18">
        <f t="shared" si="1335"/>
        <v>84</v>
      </c>
      <c r="MQ62" s="18">
        <f t="shared" si="233"/>
        <v>87</v>
      </c>
      <c r="MR62" s="18">
        <v>4</v>
      </c>
      <c r="MS62" s="303" t="str">
        <f t="shared" si="1829"/>
        <v/>
      </c>
      <c r="MT62" s="304"/>
      <c r="MU62" s="302" t="str">
        <f t="shared" si="1645"/>
        <v/>
      </c>
      <c r="MV62" s="349"/>
      <c r="MW62" s="40"/>
      <c r="MX62" s="62">
        <v>6</v>
      </c>
      <c r="MY62" s="19" t="str">
        <f t="shared" si="1830"/>
        <v>Outcome Index 6  | Odd 6</v>
      </c>
      <c r="MZ62" s="18">
        <f t="shared" si="1336"/>
        <v>84</v>
      </c>
      <c r="NA62" s="18">
        <f t="shared" si="237"/>
        <v>87</v>
      </c>
      <c r="NB62" s="18">
        <v>4</v>
      </c>
      <c r="NC62" s="303" t="str">
        <f t="shared" si="1831"/>
        <v/>
      </c>
      <c r="ND62" s="304"/>
      <c r="NE62" s="302" t="str">
        <f t="shared" si="1647"/>
        <v/>
      </c>
      <c r="NF62" s="349"/>
      <c r="NG62" s="40"/>
      <c r="NH62" s="62">
        <v>6</v>
      </c>
      <c r="NI62" s="19" t="str">
        <f t="shared" si="1832"/>
        <v>Outcome Index 6  | Odd 6</v>
      </c>
      <c r="NJ62" s="18">
        <f t="shared" si="1337"/>
        <v>84</v>
      </c>
      <c r="NK62" s="18">
        <f t="shared" si="241"/>
        <v>87</v>
      </c>
      <c r="NL62" s="18">
        <v>4</v>
      </c>
      <c r="NM62" s="303" t="str">
        <f t="shared" si="1833"/>
        <v/>
      </c>
      <c r="NN62" s="304"/>
      <c r="NO62" s="302" t="str">
        <f t="shared" si="1649"/>
        <v/>
      </c>
      <c r="NP62" s="349"/>
      <c r="NQ62" s="40"/>
      <c r="NR62" s="62">
        <v>6</v>
      </c>
      <c r="NS62" s="19" t="str">
        <f t="shared" si="1834"/>
        <v>Outcome Index 6  | Odd 6</v>
      </c>
      <c r="NT62" s="18">
        <f t="shared" si="1338"/>
        <v>84</v>
      </c>
      <c r="NU62" s="18">
        <f t="shared" si="245"/>
        <v>87</v>
      </c>
      <c r="NV62" s="18">
        <v>4</v>
      </c>
      <c r="NW62" s="303" t="str">
        <f t="shared" si="1835"/>
        <v/>
      </c>
      <c r="NX62" s="304"/>
      <c r="NY62" s="302" t="str">
        <f t="shared" si="1651"/>
        <v/>
      </c>
      <c r="NZ62" s="349"/>
      <c r="OA62" s="40"/>
      <c r="OB62" s="62">
        <v>6</v>
      </c>
      <c r="OC62" s="19" t="str">
        <f t="shared" si="1836"/>
        <v>Outcome Index 6  | Odd 6</v>
      </c>
      <c r="OD62" s="18">
        <f t="shared" si="1339"/>
        <v>84</v>
      </c>
      <c r="OE62" s="18">
        <f t="shared" si="249"/>
        <v>87</v>
      </c>
      <c r="OF62" s="18">
        <v>4</v>
      </c>
      <c r="OG62" s="303" t="str">
        <f t="shared" si="1837"/>
        <v/>
      </c>
      <c r="OH62" s="304"/>
      <c r="OI62" s="302" t="str">
        <f t="shared" si="1653"/>
        <v/>
      </c>
      <c r="OJ62" s="349"/>
      <c r="OK62" s="40"/>
      <c r="OL62" s="62">
        <v>6</v>
      </c>
      <c r="OM62" s="19" t="str">
        <f t="shared" si="1838"/>
        <v>Outcome Index 6  | Odd 6</v>
      </c>
      <c r="ON62" s="18">
        <f t="shared" si="1340"/>
        <v>84</v>
      </c>
      <c r="OO62" s="18">
        <f t="shared" si="253"/>
        <v>87</v>
      </c>
      <c r="OP62" s="18">
        <v>4</v>
      </c>
      <c r="OQ62" s="303" t="str">
        <f t="shared" si="1839"/>
        <v/>
      </c>
      <c r="OR62" s="304"/>
      <c r="OS62" s="302" t="str">
        <f t="shared" si="1655"/>
        <v/>
      </c>
      <c r="OT62" s="349"/>
      <c r="OU62" s="40"/>
      <c r="OV62" s="62">
        <v>6</v>
      </c>
      <c r="OW62" s="19" t="str">
        <f t="shared" si="1840"/>
        <v>Outcome Index 6  | Odd 6</v>
      </c>
      <c r="OX62" s="18">
        <f t="shared" si="1341"/>
        <v>84</v>
      </c>
      <c r="OY62" s="18">
        <f t="shared" si="257"/>
        <v>87</v>
      </c>
      <c r="OZ62" s="18">
        <v>4</v>
      </c>
      <c r="PA62" s="303" t="str">
        <f t="shared" si="1841"/>
        <v/>
      </c>
      <c r="PB62" s="304"/>
      <c r="PC62" s="302" t="str">
        <f t="shared" si="1657"/>
        <v/>
      </c>
      <c r="PD62" s="349"/>
      <c r="PE62" s="40"/>
      <c r="PF62" s="62">
        <v>6</v>
      </c>
      <c r="PG62" s="19" t="str">
        <f t="shared" si="1842"/>
        <v>Outcome Index 6  | Odd 6</v>
      </c>
      <c r="PH62" s="18">
        <f t="shared" si="1342"/>
        <v>84</v>
      </c>
      <c r="PI62" s="18">
        <f t="shared" si="261"/>
        <v>87</v>
      </c>
      <c r="PJ62" s="18">
        <v>4</v>
      </c>
      <c r="PK62" s="303" t="str">
        <f t="shared" si="1843"/>
        <v/>
      </c>
      <c r="PL62" s="304"/>
      <c r="PM62" s="302" t="str">
        <f t="shared" si="1659"/>
        <v/>
      </c>
      <c r="PN62" s="349"/>
      <c r="PO62" s="40"/>
      <c r="PP62" s="62">
        <v>6</v>
      </c>
      <c r="PQ62" s="19" t="str">
        <f t="shared" si="1844"/>
        <v>Outcome Index 6  | Odd 6</v>
      </c>
      <c r="PR62" s="18">
        <f t="shared" si="1343"/>
        <v>84</v>
      </c>
      <c r="PS62" s="18">
        <f t="shared" si="265"/>
        <v>87</v>
      </c>
      <c r="PT62" s="18">
        <v>4</v>
      </c>
      <c r="PU62" s="303" t="str">
        <f t="shared" si="1845"/>
        <v/>
      </c>
      <c r="PV62" s="304"/>
      <c r="PW62" s="302" t="str">
        <f t="shared" si="1661"/>
        <v/>
      </c>
      <c r="PX62" s="349"/>
      <c r="PY62" s="40"/>
      <c r="PZ62" s="62">
        <v>6</v>
      </c>
      <c r="QA62" s="19" t="str">
        <f t="shared" si="1846"/>
        <v>Outcome Index 6  | Odd 6</v>
      </c>
      <c r="QB62" s="18">
        <f t="shared" si="1344"/>
        <v>84</v>
      </c>
      <c r="QC62" s="18">
        <f t="shared" si="269"/>
        <v>87</v>
      </c>
      <c r="QD62" s="18">
        <v>4</v>
      </c>
      <c r="QE62" s="303" t="str">
        <f t="shared" si="1847"/>
        <v/>
      </c>
      <c r="QF62" s="304"/>
      <c r="QG62" s="302" t="str">
        <f t="shared" si="1663"/>
        <v/>
      </c>
      <c r="QH62" s="349"/>
      <c r="QI62" s="40"/>
      <c r="QJ62" s="62">
        <v>6</v>
      </c>
      <c r="QK62" s="19" t="str">
        <f t="shared" si="1848"/>
        <v>Outcome Index 6  | Odd 6</v>
      </c>
      <c r="QL62" s="18">
        <f t="shared" si="1345"/>
        <v>84</v>
      </c>
      <c r="QM62" s="18">
        <f t="shared" si="273"/>
        <v>87</v>
      </c>
      <c r="QN62" s="18">
        <v>4</v>
      </c>
      <c r="QO62" s="303" t="str">
        <f t="shared" si="1849"/>
        <v/>
      </c>
      <c r="QP62" s="304"/>
      <c r="QQ62" s="302" t="str">
        <f t="shared" si="1665"/>
        <v/>
      </c>
      <c r="QR62" s="349"/>
      <c r="QS62" s="40"/>
      <c r="QT62" s="62">
        <v>6</v>
      </c>
      <c r="QU62" s="19" t="str">
        <f t="shared" si="1850"/>
        <v>Outcome Index 6  | Odd 6</v>
      </c>
      <c r="QV62" s="18">
        <f t="shared" si="1346"/>
        <v>84</v>
      </c>
      <c r="QW62" s="18">
        <f t="shared" si="277"/>
        <v>87</v>
      </c>
      <c r="QX62" s="18">
        <v>4</v>
      </c>
      <c r="QY62" s="303" t="str">
        <f t="shared" si="1851"/>
        <v/>
      </c>
      <c r="QZ62" s="304"/>
      <c r="RA62" s="302" t="str">
        <f t="shared" si="1667"/>
        <v/>
      </c>
      <c r="RB62" s="349"/>
      <c r="RC62" s="40"/>
      <c r="RD62" s="62">
        <v>6</v>
      </c>
      <c r="RE62" s="19" t="str">
        <f t="shared" si="1852"/>
        <v>Outcome Index 6  | Odd 6</v>
      </c>
      <c r="RF62" s="18">
        <f t="shared" si="1347"/>
        <v>84</v>
      </c>
      <c r="RG62" s="18">
        <f t="shared" si="281"/>
        <v>87</v>
      </c>
      <c r="RH62" s="18">
        <v>4</v>
      </c>
      <c r="RI62" s="303" t="str">
        <f t="shared" si="1853"/>
        <v/>
      </c>
      <c r="RJ62" s="304"/>
      <c r="RK62" s="302" t="str">
        <f t="shared" si="1669"/>
        <v/>
      </c>
      <c r="RL62" s="349"/>
      <c r="RM62" s="40"/>
      <c r="RN62" s="62">
        <v>6</v>
      </c>
      <c r="RO62" s="19" t="str">
        <f t="shared" si="1854"/>
        <v>Outcome Index 6  | Odd 6</v>
      </c>
      <c r="RP62" s="18">
        <f t="shared" si="1348"/>
        <v>84</v>
      </c>
      <c r="RQ62" s="18">
        <f t="shared" si="285"/>
        <v>87</v>
      </c>
      <c r="RR62" s="18">
        <v>4</v>
      </c>
      <c r="RS62" s="303" t="str">
        <f t="shared" si="1855"/>
        <v/>
      </c>
      <c r="RT62" s="304"/>
      <c r="RU62" s="302" t="str">
        <f t="shared" si="1671"/>
        <v/>
      </c>
      <c r="RV62" s="349"/>
      <c r="RW62" s="40"/>
      <c r="RX62" s="62">
        <v>6</v>
      </c>
      <c r="RY62" s="19" t="str">
        <f t="shared" si="1856"/>
        <v>Outcome Index 6  | Odd 6</v>
      </c>
      <c r="RZ62" s="18">
        <f t="shared" si="1349"/>
        <v>84</v>
      </c>
      <c r="SA62" s="18">
        <f t="shared" si="289"/>
        <v>87</v>
      </c>
      <c r="SB62" s="18">
        <v>4</v>
      </c>
      <c r="SC62" s="303" t="str">
        <f t="shared" si="1857"/>
        <v/>
      </c>
      <c r="SD62" s="304"/>
      <c r="SE62" s="302" t="str">
        <f t="shared" si="1673"/>
        <v/>
      </c>
      <c r="SF62" s="349"/>
      <c r="SG62" s="40"/>
      <c r="SH62" s="62">
        <v>6</v>
      </c>
      <c r="SI62" s="19" t="str">
        <f t="shared" si="1858"/>
        <v>Outcome Index 6  | Odd 6</v>
      </c>
      <c r="SJ62" s="18">
        <f t="shared" si="1350"/>
        <v>84</v>
      </c>
      <c r="SK62" s="18">
        <f t="shared" si="293"/>
        <v>87</v>
      </c>
      <c r="SL62" s="18">
        <v>4</v>
      </c>
      <c r="SM62" s="303" t="str">
        <f t="shared" si="1859"/>
        <v/>
      </c>
      <c r="SN62" s="304"/>
      <c r="SO62" s="302" t="str">
        <f t="shared" si="1675"/>
        <v/>
      </c>
      <c r="SP62" s="349"/>
      <c r="SQ62" s="40"/>
      <c r="SR62" s="62">
        <v>6</v>
      </c>
      <c r="SS62" s="19" t="str">
        <f t="shared" si="1860"/>
        <v>Outcome Index 6  | Odd 6</v>
      </c>
      <c r="ST62" s="18">
        <f t="shared" si="1351"/>
        <v>84</v>
      </c>
      <c r="SU62" s="18">
        <f t="shared" si="297"/>
        <v>87</v>
      </c>
      <c r="SV62" s="18">
        <v>4</v>
      </c>
      <c r="SW62" s="303" t="str">
        <f t="shared" si="1861"/>
        <v/>
      </c>
      <c r="SX62" s="304"/>
      <c r="SY62" s="302" t="str">
        <f t="shared" si="1677"/>
        <v/>
      </c>
      <c r="SZ62" s="349"/>
      <c r="TA62" s="40"/>
      <c r="TB62" s="62">
        <v>6</v>
      </c>
      <c r="TC62" s="19" t="str">
        <f t="shared" si="1862"/>
        <v>Outcome Index 6  | Odd 6</v>
      </c>
      <c r="TD62" s="18">
        <f t="shared" si="1352"/>
        <v>84</v>
      </c>
      <c r="TE62" s="18">
        <f t="shared" si="301"/>
        <v>87</v>
      </c>
      <c r="TF62" s="18">
        <v>4</v>
      </c>
      <c r="TG62" s="303" t="str">
        <f t="shared" si="1863"/>
        <v/>
      </c>
      <c r="TH62" s="304"/>
      <c r="TI62" s="302" t="str">
        <f t="shared" si="1679"/>
        <v/>
      </c>
      <c r="TJ62" s="349"/>
      <c r="TK62" s="40"/>
      <c r="TL62" s="62">
        <v>6</v>
      </c>
      <c r="TM62" s="19" t="str">
        <f t="shared" si="1864"/>
        <v>Outcome Index 6  | Odd 6</v>
      </c>
      <c r="TN62" s="18">
        <f t="shared" si="1353"/>
        <v>84</v>
      </c>
      <c r="TO62" s="18">
        <f t="shared" si="305"/>
        <v>87</v>
      </c>
      <c r="TP62" s="18">
        <v>4</v>
      </c>
      <c r="TQ62" s="303" t="str">
        <f t="shared" si="1865"/>
        <v/>
      </c>
      <c r="TR62" s="304"/>
      <c r="TS62" s="302" t="str">
        <f t="shared" si="1681"/>
        <v/>
      </c>
      <c r="TT62" s="349"/>
      <c r="TU62" s="40"/>
      <c r="TV62" s="62">
        <v>6</v>
      </c>
      <c r="TW62" s="19" t="str">
        <f t="shared" si="1866"/>
        <v>Outcome Index 6  | Odd 6</v>
      </c>
      <c r="TX62" s="18">
        <f t="shared" si="1354"/>
        <v>84</v>
      </c>
      <c r="TY62" s="18">
        <f t="shared" si="309"/>
        <v>87</v>
      </c>
      <c r="TZ62" s="18">
        <v>4</v>
      </c>
      <c r="UA62" s="303" t="str">
        <f t="shared" si="1867"/>
        <v/>
      </c>
      <c r="UB62" s="304"/>
      <c r="UC62" s="302" t="str">
        <f t="shared" si="1683"/>
        <v/>
      </c>
      <c r="UD62" s="349"/>
      <c r="UE62" s="40"/>
      <c r="UF62" s="62">
        <v>6</v>
      </c>
      <c r="UG62" s="19" t="str">
        <f t="shared" si="1868"/>
        <v>Outcome Index 6  | Odd 6</v>
      </c>
      <c r="UH62" s="18">
        <f t="shared" si="1355"/>
        <v>84</v>
      </c>
      <c r="UI62" s="18">
        <f t="shared" si="313"/>
        <v>87</v>
      </c>
      <c r="UJ62" s="18">
        <v>4</v>
      </c>
      <c r="UK62" s="303" t="str">
        <f t="shared" si="1869"/>
        <v/>
      </c>
      <c r="UL62" s="304"/>
      <c r="UM62" s="302" t="str">
        <f t="shared" si="1685"/>
        <v/>
      </c>
      <c r="UN62" s="349"/>
      <c r="UO62" s="40"/>
      <c r="UP62" s="62">
        <v>6</v>
      </c>
      <c r="UQ62" s="19" t="str">
        <f t="shared" si="1870"/>
        <v>Outcome Index 6  | Odd 6</v>
      </c>
      <c r="UR62" s="18">
        <f t="shared" si="1356"/>
        <v>84</v>
      </c>
      <c r="US62" s="18">
        <f t="shared" si="317"/>
        <v>87</v>
      </c>
      <c r="UT62" s="18">
        <v>4</v>
      </c>
      <c r="UU62" s="303" t="str">
        <f t="shared" si="1871"/>
        <v/>
      </c>
      <c r="UV62" s="304"/>
      <c r="UW62" s="302" t="str">
        <f t="shared" si="1687"/>
        <v/>
      </c>
      <c r="UX62" s="349"/>
      <c r="UY62" s="40"/>
      <c r="UZ62" s="62">
        <v>6</v>
      </c>
      <c r="VA62" s="19" t="str">
        <f t="shared" si="1872"/>
        <v>Outcome Index 6  | Odd 6</v>
      </c>
      <c r="VB62" s="18">
        <f t="shared" si="1357"/>
        <v>84</v>
      </c>
      <c r="VC62" s="18">
        <f t="shared" si="321"/>
        <v>87</v>
      </c>
      <c r="VD62" s="18">
        <v>4</v>
      </c>
      <c r="VE62" s="303" t="str">
        <f t="shared" si="1873"/>
        <v/>
      </c>
      <c r="VF62" s="304"/>
      <c r="VG62" s="302" t="str">
        <f t="shared" si="1689"/>
        <v/>
      </c>
      <c r="VH62" s="349"/>
      <c r="VI62" s="40"/>
      <c r="VJ62" s="62">
        <v>6</v>
      </c>
      <c r="VK62" s="19" t="str">
        <f t="shared" si="1874"/>
        <v>Outcome Index 6  | Odd 6</v>
      </c>
      <c r="VL62" s="18">
        <f t="shared" si="1358"/>
        <v>84</v>
      </c>
      <c r="VM62" s="18">
        <f t="shared" si="325"/>
        <v>87</v>
      </c>
      <c r="VN62" s="18">
        <v>4</v>
      </c>
      <c r="VO62" s="303" t="str">
        <f t="shared" si="1875"/>
        <v/>
      </c>
      <c r="VP62" s="304"/>
      <c r="VQ62" s="302" t="str">
        <f t="shared" si="1691"/>
        <v/>
      </c>
      <c r="VR62" s="349"/>
      <c r="VS62" s="40"/>
      <c r="VT62" s="62">
        <v>6</v>
      </c>
      <c r="VU62" s="19" t="str">
        <f t="shared" si="1876"/>
        <v>Outcome Index 6  | Odd 6</v>
      </c>
      <c r="VV62" s="18">
        <f t="shared" si="1359"/>
        <v>84</v>
      </c>
      <c r="VW62" s="18">
        <f t="shared" si="329"/>
        <v>87</v>
      </c>
      <c r="VX62" s="18">
        <v>4</v>
      </c>
      <c r="VY62" s="303" t="str">
        <f t="shared" si="1877"/>
        <v/>
      </c>
      <c r="VZ62" s="304"/>
      <c r="WA62" s="302" t="str">
        <f t="shared" si="1693"/>
        <v/>
      </c>
      <c r="WB62" s="349"/>
      <c r="WC62" s="40"/>
      <c r="WD62" s="62">
        <v>6</v>
      </c>
      <c r="WE62" s="19" t="str">
        <f t="shared" si="1878"/>
        <v>Outcome Index 6  | Odd 6</v>
      </c>
      <c r="WF62" s="18">
        <f t="shared" si="1360"/>
        <v>84</v>
      </c>
      <c r="WG62" s="18">
        <f t="shared" si="333"/>
        <v>87</v>
      </c>
      <c r="WH62" s="18">
        <v>4</v>
      </c>
      <c r="WI62" s="303" t="str">
        <f t="shared" si="1879"/>
        <v/>
      </c>
      <c r="WJ62" s="304"/>
      <c r="WK62" s="302" t="str">
        <f t="shared" si="1695"/>
        <v/>
      </c>
      <c r="WL62" s="349"/>
      <c r="WM62" s="40"/>
      <c r="WN62" s="62">
        <v>6</v>
      </c>
      <c r="WO62" s="19" t="str">
        <f t="shared" si="1880"/>
        <v>Outcome Index 6  | Odd 6</v>
      </c>
      <c r="WP62" s="18">
        <f t="shared" si="1361"/>
        <v>84</v>
      </c>
      <c r="WQ62" s="18">
        <f t="shared" si="337"/>
        <v>87</v>
      </c>
      <c r="WR62" s="18">
        <v>4</v>
      </c>
      <c r="WS62" s="303" t="str">
        <f t="shared" si="1881"/>
        <v/>
      </c>
      <c r="WT62" s="304"/>
      <c r="WU62" s="302" t="str">
        <f t="shared" si="1697"/>
        <v/>
      </c>
      <c r="WV62" s="349"/>
      <c r="WW62" s="40"/>
      <c r="WX62" s="62">
        <v>6</v>
      </c>
      <c r="WY62" s="19" t="str">
        <f t="shared" si="1882"/>
        <v>Outcome Index 6  | Odd 6</v>
      </c>
      <c r="WZ62" s="18">
        <f t="shared" si="1362"/>
        <v>84</v>
      </c>
      <c r="XA62" s="18">
        <f t="shared" si="341"/>
        <v>87</v>
      </c>
      <c r="XB62" s="18">
        <v>4</v>
      </c>
      <c r="XC62" s="303" t="str">
        <f t="shared" si="1883"/>
        <v/>
      </c>
      <c r="XD62" s="304"/>
      <c r="XE62" s="302" t="str">
        <f t="shared" si="1699"/>
        <v/>
      </c>
      <c r="XF62" s="349"/>
      <c r="XG62" s="40"/>
      <c r="XH62" s="62">
        <v>6</v>
      </c>
      <c r="XI62" s="19" t="str">
        <f t="shared" si="1884"/>
        <v>Outcome Index 6  | Odd 6</v>
      </c>
      <c r="XJ62" s="18">
        <f t="shared" si="1363"/>
        <v>84</v>
      </c>
      <c r="XK62" s="18">
        <f t="shared" si="345"/>
        <v>87</v>
      </c>
      <c r="XL62" s="18">
        <v>4</v>
      </c>
      <c r="XM62" s="303" t="str">
        <f t="shared" si="1885"/>
        <v/>
      </c>
      <c r="XN62" s="304"/>
      <c r="XO62" s="302" t="str">
        <f t="shared" si="1701"/>
        <v/>
      </c>
      <c r="XP62" s="349"/>
      <c r="XQ62" s="40"/>
      <c r="XR62" s="62">
        <v>6</v>
      </c>
      <c r="XS62" s="19" t="str">
        <f t="shared" si="1886"/>
        <v>Outcome Index 6  | Odd 6</v>
      </c>
      <c r="XT62" s="18">
        <f t="shared" si="1364"/>
        <v>84</v>
      </c>
      <c r="XU62" s="18">
        <f t="shared" si="349"/>
        <v>87</v>
      </c>
      <c r="XV62" s="18">
        <v>4</v>
      </c>
      <c r="XW62" s="303" t="str">
        <f t="shared" si="1887"/>
        <v/>
      </c>
      <c r="XX62" s="304"/>
      <c r="XY62" s="302" t="str">
        <f t="shared" si="1703"/>
        <v/>
      </c>
      <c r="XZ62" s="349"/>
      <c r="YA62" s="40"/>
      <c r="YB62" s="62">
        <v>6</v>
      </c>
      <c r="YC62" s="19" t="str">
        <f t="shared" si="1888"/>
        <v>Outcome Index 6  | Odd 6</v>
      </c>
      <c r="YD62" s="18">
        <f t="shared" si="1365"/>
        <v>84</v>
      </c>
      <c r="YE62" s="18">
        <f t="shared" si="353"/>
        <v>87</v>
      </c>
      <c r="YF62" s="18">
        <v>4</v>
      </c>
      <c r="YG62" s="303" t="str">
        <f t="shared" si="1889"/>
        <v/>
      </c>
      <c r="YH62" s="304"/>
      <c r="YI62" s="302" t="str">
        <f t="shared" si="1705"/>
        <v/>
      </c>
      <c r="YJ62" s="349"/>
      <c r="YK62" s="40"/>
      <c r="YL62" s="62">
        <v>6</v>
      </c>
      <c r="YM62" s="19" t="str">
        <f t="shared" si="1890"/>
        <v>Outcome Index 6  | Odd 6</v>
      </c>
      <c r="YN62" s="18">
        <f t="shared" si="1366"/>
        <v>84</v>
      </c>
      <c r="YO62" s="18">
        <f t="shared" si="357"/>
        <v>87</v>
      </c>
      <c r="YP62" s="18">
        <v>4</v>
      </c>
      <c r="YQ62" s="303" t="str">
        <f t="shared" si="1891"/>
        <v/>
      </c>
      <c r="YR62" s="304"/>
      <c r="YS62" s="302" t="str">
        <f t="shared" si="1707"/>
        <v/>
      </c>
      <c r="YT62" s="349"/>
      <c r="YU62" s="40"/>
      <c r="YV62" s="62">
        <v>6</v>
      </c>
      <c r="YW62" s="19" t="str">
        <f t="shared" si="1892"/>
        <v>Outcome Index 6  | Odd 6</v>
      </c>
      <c r="YX62" s="18">
        <f t="shared" si="1367"/>
        <v>84</v>
      </c>
      <c r="YY62" s="18">
        <f t="shared" si="361"/>
        <v>87</v>
      </c>
      <c r="YZ62" s="18">
        <v>4</v>
      </c>
      <c r="ZA62" s="303" t="str">
        <f t="shared" si="1893"/>
        <v/>
      </c>
      <c r="ZB62" s="304"/>
      <c r="ZC62" s="302" t="str">
        <f t="shared" si="1709"/>
        <v/>
      </c>
      <c r="ZD62" s="349"/>
      <c r="ZE62" s="40"/>
      <c r="ZF62" s="62">
        <v>6</v>
      </c>
      <c r="ZG62" s="19" t="str">
        <f t="shared" si="1894"/>
        <v>Outcome Index 6  | Odd 6</v>
      </c>
      <c r="ZH62" s="18">
        <f t="shared" si="1368"/>
        <v>84</v>
      </c>
      <c r="ZI62" s="18">
        <f t="shared" si="365"/>
        <v>87</v>
      </c>
      <c r="ZJ62" s="18">
        <v>4</v>
      </c>
      <c r="ZK62" s="303" t="str">
        <f t="shared" si="1895"/>
        <v/>
      </c>
      <c r="ZL62" s="304"/>
      <c r="ZM62" s="302" t="str">
        <f t="shared" si="1711"/>
        <v/>
      </c>
      <c r="ZN62" s="349"/>
      <c r="ZO62" s="40"/>
      <c r="ZP62" s="62">
        <v>6</v>
      </c>
      <c r="ZQ62" s="19" t="str">
        <f t="shared" si="1896"/>
        <v>Outcome Index 6  | Odd 6</v>
      </c>
      <c r="ZR62" s="18">
        <f t="shared" si="1369"/>
        <v>84</v>
      </c>
      <c r="ZS62" s="18">
        <f t="shared" si="369"/>
        <v>87</v>
      </c>
      <c r="ZT62" s="18">
        <v>4</v>
      </c>
      <c r="ZU62" s="303" t="str">
        <f t="shared" si="1897"/>
        <v/>
      </c>
      <c r="ZV62" s="304"/>
      <c r="ZW62" s="302" t="str">
        <f t="shared" si="1713"/>
        <v/>
      </c>
      <c r="ZX62" s="349"/>
      <c r="ZY62" s="40"/>
      <c r="ZZ62" s="62">
        <v>6</v>
      </c>
      <c r="AAA62" s="19" t="str">
        <f t="shared" si="1898"/>
        <v>Outcome Index 6  | Odd 6</v>
      </c>
      <c r="AAB62" s="18">
        <f t="shared" si="1370"/>
        <v>84</v>
      </c>
      <c r="AAC62" s="18">
        <f t="shared" si="373"/>
        <v>87</v>
      </c>
      <c r="AAD62" s="18">
        <v>4</v>
      </c>
      <c r="AAE62" s="303" t="str">
        <f t="shared" si="1899"/>
        <v/>
      </c>
      <c r="AAF62" s="304"/>
      <c r="AAG62" s="302" t="str">
        <f t="shared" si="1715"/>
        <v/>
      </c>
      <c r="AAH62" s="349"/>
      <c r="AAI62" s="40"/>
      <c r="AAJ62" s="62">
        <v>6</v>
      </c>
      <c r="AAK62" s="19" t="str">
        <f t="shared" si="1900"/>
        <v>Outcome Index 6  | Odd 6</v>
      </c>
      <c r="AAL62" s="18">
        <f t="shared" si="1371"/>
        <v>84</v>
      </c>
      <c r="AAM62" s="18">
        <f t="shared" si="377"/>
        <v>87</v>
      </c>
      <c r="AAN62" s="18">
        <v>4</v>
      </c>
      <c r="AAO62" s="303" t="str">
        <f t="shared" si="1901"/>
        <v/>
      </c>
      <c r="AAP62" s="304"/>
      <c r="AAQ62" s="302" t="str">
        <f t="shared" si="1717"/>
        <v/>
      </c>
      <c r="AAR62" s="349"/>
      <c r="AAS62" s="40"/>
      <c r="AAT62" s="62">
        <v>6</v>
      </c>
      <c r="AAU62" s="19" t="str">
        <f t="shared" si="1902"/>
        <v>Outcome Index 6  | Odd 6</v>
      </c>
      <c r="AAV62" s="18">
        <f t="shared" si="1372"/>
        <v>84</v>
      </c>
      <c r="AAW62" s="18">
        <f t="shared" si="381"/>
        <v>87</v>
      </c>
      <c r="AAX62" s="18">
        <v>4</v>
      </c>
      <c r="AAY62" s="303" t="str">
        <f t="shared" si="1903"/>
        <v/>
      </c>
      <c r="AAZ62" s="304"/>
      <c r="ABA62" s="302" t="str">
        <f t="shared" si="1719"/>
        <v/>
      </c>
      <c r="ABB62" s="349"/>
      <c r="ABC62" s="40"/>
      <c r="ABD62" s="62">
        <v>6</v>
      </c>
      <c r="ABE62" s="19" t="str">
        <f t="shared" si="1904"/>
        <v>Outcome Index 6  | Odd 6</v>
      </c>
      <c r="ABF62" s="18">
        <f t="shared" si="1373"/>
        <v>84</v>
      </c>
      <c r="ABG62" s="18">
        <f t="shared" si="385"/>
        <v>87</v>
      </c>
      <c r="ABH62" s="18">
        <v>4</v>
      </c>
      <c r="ABI62" s="303" t="str">
        <f t="shared" si="1905"/>
        <v/>
      </c>
      <c r="ABJ62" s="304"/>
      <c r="ABK62" s="302" t="str">
        <f t="shared" si="1721"/>
        <v/>
      </c>
      <c r="ABL62" s="349"/>
      <c r="ABM62" s="40"/>
      <c r="ABN62" s="62">
        <v>6</v>
      </c>
      <c r="ABO62" s="19" t="str">
        <f t="shared" si="1906"/>
        <v>Outcome Index 6  | Odd 6</v>
      </c>
      <c r="ABP62" s="18">
        <f t="shared" si="1374"/>
        <v>84</v>
      </c>
      <c r="ABQ62" s="18">
        <f t="shared" si="389"/>
        <v>87</v>
      </c>
      <c r="ABR62" s="18">
        <v>4</v>
      </c>
      <c r="ABS62" s="303" t="str">
        <f t="shared" si="1907"/>
        <v/>
      </c>
      <c r="ABT62" s="304"/>
      <c r="ABU62" s="302" t="str">
        <f t="shared" si="1723"/>
        <v/>
      </c>
      <c r="ABV62" s="349"/>
      <c r="ABW62" s="40"/>
      <c r="ABX62" s="62">
        <v>6</v>
      </c>
      <c r="ABY62" s="19" t="str">
        <f t="shared" si="1908"/>
        <v>Outcome Index 6  | Odd 6</v>
      </c>
      <c r="ABZ62" s="18">
        <f t="shared" si="1375"/>
        <v>84</v>
      </c>
      <c r="ACA62" s="18">
        <f t="shared" si="393"/>
        <v>87</v>
      </c>
      <c r="ACB62" s="18">
        <v>4</v>
      </c>
      <c r="ACC62" s="303" t="str">
        <f t="shared" si="1909"/>
        <v/>
      </c>
      <c r="ACD62" s="304"/>
      <c r="ACE62" s="302" t="str">
        <f t="shared" si="1725"/>
        <v/>
      </c>
      <c r="ACF62" s="349"/>
      <c r="ACG62" s="40"/>
      <c r="ACH62" s="62">
        <v>6</v>
      </c>
      <c r="ACI62" s="19" t="str">
        <f t="shared" si="1910"/>
        <v>Outcome Index 6  | Odd 6</v>
      </c>
      <c r="ACJ62" s="18">
        <f t="shared" si="1376"/>
        <v>84</v>
      </c>
      <c r="ACK62" s="18">
        <f t="shared" si="397"/>
        <v>87</v>
      </c>
      <c r="ACL62" s="18">
        <v>4</v>
      </c>
      <c r="ACM62" s="303" t="str">
        <f t="shared" si="1911"/>
        <v/>
      </c>
      <c r="ACN62" s="304"/>
      <c r="ACO62" s="302" t="str">
        <f t="shared" si="1727"/>
        <v/>
      </c>
      <c r="ACP62" s="349"/>
      <c r="ACQ62" s="40"/>
      <c r="ACR62" s="62">
        <v>6</v>
      </c>
      <c r="ACS62" s="19" t="str">
        <f t="shared" si="1912"/>
        <v>Outcome Index 6  | Odd 6</v>
      </c>
      <c r="ACT62" s="18">
        <f t="shared" si="1377"/>
        <v>84</v>
      </c>
      <c r="ACU62" s="18">
        <f t="shared" si="401"/>
        <v>87</v>
      </c>
      <c r="ACV62" s="18">
        <v>4</v>
      </c>
      <c r="ACW62" s="303" t="str">
        <f t="shared" si="1913"/>
        <v/>
      </c>
      <c r="ACX62" s="304"/>
      <c r="ACY62" s="302" t="str">
        <f t="shared" si="1729"/>
        <v/>
      </c>
      <c r="ACZ62" s="349"/>
      <c r="ADA62" s="40"/>
      <c r="ADB62" s="62">
        <v>6</v>
      </c>
      <c r="ADC62" s="19" t="str">
        <f t="shared" si="1914"/>
        <v>Outcome Index 6  | Odd 6</v>
      </c>
      <c r="ADD62" s="18">
        <f t="shared" si="1378"/>
        <v>84</v>
      </c>
      <c r="ADE62" s="18">
        <f t="shared" si="405"/>
        <v>87</v>
      </c>
      <c r="ADF62" s="18">
        <v>4</v>
      </c>
      <c r="ADG62" s="303" t="str">
        <f t="shared" si="1915"/>
        <v/>
      </c>
      <c r="ADH62" s="304"/>
      <c r="ADI62" s="302" t="str">
        <f t="shared" si="1731"/>
        <v/>
      </c>
      <c r="ADJ62" s="349"/>
      <c r="ADK62" s="40"/>
      <c r="ADL62" s="62">
        <v>6</v>
      </c>
      <c r="ADM62" s="19" t="str">
        <f t="shared" si="1916"/>
        <v>Outcome Index 6  | Odd 6</v>
      </c>
      <c r="ADN62" s="18">
        <f t="shared" si="1379"/>
        <v>84</v>
      </c>
      <c r="ADO62" s="18">
        <f t="shared" si="409"/>
        <v>87</v>
      </c>
      <c r="ADP62" s="18">
        <v>4</v>
      </c>
      <c r="ADQ62" s="303" t="str">
        <f t="shared" si="1917"/>
        <v/>
      </c>
      <c r="ADR62" s="304"/>
      <c r="ADS62" s="302" t="str">
        <f t="shared" si="1733"/>
        <v/>
      </c>
      <c r="ADT62" s="349"/>
      <c r="ADU62" s="40"/>
      <c r="ADV62" s="62">
        <v>6</v>
      </c>
      <c r="ADW62" s="19" t="str">
        <f t="shared" si="1918"/>
        <v>Outcome Index 6  | Odd 6</v>
      </c>
      <c r="ADX62" s="18">
        <f t="shared" si="1380"/>
        <v>84</v>
      </c>
      <c r="ADY62" s="18">
        <f t="shared" si="413"/>
        <v>87</v>
      </c>
      <c r="ADZ62" s="18">
        <v>4</v>
      </c>
      <c r="AEA62" s="303" t="str">
        <f t="shared" si="1919"/>
        <v/>
      </c>
      <c r="AEB62" s="304"/>
      <c r="AEC62" s="302" t="str">
        <f t="shared" si="1735"/>
        <v/>
      </c>
      <c r="AED62" s="349"/>
      <c r="AEE62" s="40"/>
      <c r="AEF62" s="62">
        <v>6</v>
      </c>
      <c r="AEG62" s="19" t="str">
        <f t="shared" si="1920"/>
        <v>Outcome Index 6  | Odd 6</v>
      </c>
      <c r="AEH62" s="18">
        <f t="shared" si="1381"/>
        <v>84</v>
      </c>
      <c r="AEI62" s="18">
        <f t="shared" si="417"/>
        <v>87</v>
      </c>
      <c r="AEJ62" s="18">
        <v>4</v>
      </c>
      <c r="AEK62" s="303" t="str">
        <f t="shared" si="1921"/>
        <v/>
      </c>
      <c r="AEL62" s="304"/>
      <c r="AEM62" s="302" t="str">
        <f t="shared" si="1737"/>
        <v/>
      </c>
      <c r="AEN62" s="349"/>
      <c r="AEO62" s="40"/>
      <c r="AEP62" s="62">
        <v>6</v>
      </c>
      <c r="AEQ62" s="19" t="str">
        <f t="shared" si="1922"/>
        <v>Outcome Index 6  | Odd 6</v>
      </c>
      <c r="AER62" s="18">
        <f t="shared" si="1382"/>
        <v>84</v>
      </c>
      <c r="AES62" s="18">
        <f t="shared" si="421"/>
        <v>87</v>
      </c>
      <c r="AET62" s="18">
        <v>4</v>
      </c>
      <c r="AEU62" s="303" t="str">
        <f t="shared" si="1923"/>
        <v/>
      </c>
      <c r="AEV62" s="304"/>
      <c r="AEW62" s="302" t="str">
        <f t="shared" si="1739"/>
        <v/>
      </c>
      <c r="AEX62" s="349"/>
      <c r="AEY62" s="40"/>
      <c r="AEZ62" s="62">
        <v>6</v>
      </c>
      <c r="AFA62" s="19" t="str">
        <f t="shared" si="1924"/>
        <v>Outcome Index 6  | Odd 6</v>
      </c>
      <c r="AFB62" s="18">
        <f t="shared" si="1383"/>
        <v>84</v>
      </c>
      <c r="AFC62" s="18">
        <f t="shared" si="425"/>
        <v>87</v>
      </c>
      <c r="AFD62" s="18">
        <v>4</v>
      </c>
      <c r="AFE62" s="303" t="str">
        <f t="shared" si="1925"/>
        <v/>
      </c>
      <c r="AFF62" s="304"/>
      <c r="AFG62" s="302" t="str">
        <f t="shared" si="1741"/>
        <v/>
      </c>
      <c r="AFH62" s="349"/>
      <c r="AFI62" s="40"/>
      <c r="AFJ62" s="62">
        <v>6</v>
      </c>
      <c r="AFK62" s="19" t="str">
        <f t="shared" si="1926"/>
        <v>Outcome Index 6  | Odd 6</v>
      </c>
      <c r="AFL62" s="18">
        <f t="shared" si="1384"/>
        <v>84</v>
      </c>
      <c r="AFM62" s="18">
        <f t="shared" si="429"/>
        <v>87</v>
      </c>
      <c r="AFN62" s="18">
        <v>4</v>
      </c>
      <c r="AFO62" s="303" t="str">
        <f t="shared" si="1927"/>
        <v/>
      </c>
      <c r="AFP62" s="304"/>
      <c r="AFQ62" s="302" t="str">
        <f t="shared" si="1743"/>
        <v/>
      </c>
      <c r="AFR62" s="349"/>
      <c r="AFS62" s="40"/>
      <c r="AFT62" s="62">
        <v>6</v>
      </c>
      <c r="AFU62" s="19" t="str">
        <f t="shared" si="1928"/>
        <v>Outcome Index 6  | Odd 6</v>
      </c>
      <c r="AFV62" s="18">
        <f t="shared" si="1385"/>
        <v>84</v>
      </c>
      <c r="AFW62" s="18">
        <f t="shared" si="433"/>
        <v>87</v>
      </c>
      <c r="AFX62" s="18">
        <v>4</v>
      </c>
      <c r="AFY62" s="303" t="str">
        <f t="shared" si="1929"/>
        <v/>
      </c>
      <c r="AFZ62" s="304"/>
      <c r="AGA62" s="302" t="str">
        <f t="shared" si="1745"/>
        <v/>
      </c>
      <c r="AGB62" s="349"/>
      <c r="AGC62" s="40"/>
      <c r="AGD62" s="62">
        <v>6</v>
      </c>
      <c r="AGE62" s="19" t="str">
        <f t="shared" si="1930"/>
        <v>Outcome Index 6  | Odd 6</v>
      </c>
      <c r="AGF62" s="18">
        <f t="shared" si="1386"/>
        <v>84</v>
      </c>
      <c r="AGG62" s="18">
        <f t="shared" si="437"/>
        <v>87</v>
      </c>
      <c r="AGH62" s="18">
        <v>4</v>
      </c>
      <c r="AGI62" s="303" t="str">
        <f t="shared" si="1931"/>
        <v/>
      </c>
      <c r="AGJ62" s="304"/>
      <c r="AGK62" s="302" t="str">
        <f t="shared" si="1747"/>
        <v/>
      </c>
      <c r="AGL62" s="349"/>
      <c r="AGM62" s="40"/>
      <c r="AGN62" s="62">
        <v>6</v>
      </c>
      <c r="AGO62" s="19" t="str">
        <f t="shared" si="1932"/>
        <v>Outcome Index 6  | Odd 6</v>
      </c>
      <c r="AGP62" s="18">
        <f t="shared" si="1387"/>
        <v>84</v>
      </c>
      <c r="AGQ62" s="18">
        <f t="shared" si="441"/>
        <v>87</v>
      </c>
      <c r="AGR62" s="18">
        <v>4</v>
      </c>
      <c r="AGS62" s="303" t="str">
        <f t="shared" si="1933"/>
        <v/>
      </c>
      <c r="AGT62" s="304"/>
      <c r="AGU62" s="302" t="str">
        <f t="shared" si="1749"/>
        <v/>
      </c>
      <c r="AGV62" s="349"/>
      <c r="AGW62" s="40"/>
      <c r="AGX62" s="62">
        <v>6</v>
      </c>
      <c r="AGY62" s="19" t="str">
        <f t="shared" si="1934"/>
        <v>Outcome Index 6  | Odd 6</v>
      </c>
      <c r="AGZ62" s="18">
        <f t="shared" si="1388"/>
        <v>84</v>
      </c>
      <c r="AHA62" s="18">
        <f t="shared" si="445"/>
        <v>87</v>
      </c>
      <c r="AHB62" s="18">
        <v>4</v>
      </c>
      <c r="AHC62" s="303" t="str">
        <f t="shared" si="1935"/>
        <v/>
      </c>
      <c r="AHD62" s="304"/>
      <c r="AHE62" s="302" t="str">
        <f t="shared" si="1751"/>
        <v/>
      </c>
      <c r="AHF62" s="349"/>
      <c r="AHG62" s="40"/>
      <c r="AHH62" s="62">
        <v>6</v>
      </c>
      <c r="AHI62" s="19" t="str">
        <f t="shared" si="1936"/>
        <v>Outcome Index 6  | Odd 6</v>
      </c>
      <c r="AHJ62" s="18">
        <f t="shared" si="1389"/>
        <v>84</v>
      </c>
      <c r="AHK62" s="18">
        <f t="shared" si="449"/>
        <v>87</v>
      </c>
      <c r="AHL62" s="18">
        <v>4</v>
      </c>
      <c r="AHM62" s="303" t="str">
        <f t="shared" si="1937"/>
        <v/>
      </c>
      <c r="AHN62" s="304"/>
      <c r="AHO62" s="302" t="str">
        <f t="shared" si="1753"/>
        <v/>
      </c>
      <c r="AHP62" s="349"/>
      <c r="AHQ62" s="40"/>
      <c r="AHR62" s="62">
        <v>6</v>
      </c>
      <c r="AHS62" s="19" t="str">
        <f t="shared" si="1938"/>
        <v>Outcome Index 6  | Odd 6</v>
      </c>
      <c r="AHT62" s="18">
        <f t="shared" si="1390"/>
        <v>84</v>
      </c>
      <c r="AHU62" s="18">
        <f t="shared" si="453"/>
        <v>87</v>
      </c>
      <c r="AHV62" s="18">
        <v>4</v>
      </c>
      <c r="AHW62" s="303" t="str">
        <f t="shared" si="1939"/>
        <v/>
      </c>
      <c r="AHX62" s="304"/>
      <c r="AHY62" s="302" t="str">
        <f t="shared" si="1755"/>
        <v/>
      </c>
      <c r="AHZ62" s="349"/>
      <c r="AIA62" s="40"/>
      <c r="AIB62" s="62">
        <v>6</v>
      </c>
      <c r="AIC62" s="19" t="str">
        <f t="shared" si="1940"/>
        <v>Outcome Index 6  | Odd 6</v>
      </c>
      <c r="AID62" s="18">
        <f t="shared" si="1391"/>
        <v>84</v>
      </c>
      <c r="AIE62" s="18">
        <f t="shared" si="457"/>
        <v>87</v>
      </c>
      <c r="AIF62" s="18">
        <v>4</v>
      </c>
      <c r="AIG62" s="303" t="str">
        <f t="shared" si="1941"/>
        <v/>
      </c>
      <c r="AIH62" s="304"/>
      <c r="AII62" s="302" t="str">
        <f t="shared" si="1757"/>
        <v/>
      </c>
      <c r="AIJ62" s="349"/>
      <c r="AIK62" s="40"/>
      <c r="AIL62" s="62">
        <v>6</v>
      </c>
      <c r="AIM62" s="19" t="str">
        <f t="shared" si="1942"/>
        <v>Outcome Index 6  | Odd 6</v>
      </c>
      <c r="AIN62" s="18">
        <f t="shared" si="1392"/>
        <v>84</v>
      </c>
      <c r="AIO62" s="18">
        <f t="shared" si="461"/>
        <v>87</v>
      </c>
      <c r="AIP62" s="18">
        <v>4</v>
      </c>
      <c r="AIQ62" s="303" t="str">
        <f t="shared" si="1943"/>
        <v/>
      </c>
      <c r="AIR62" s="304"/>
      <c r="AIS62" s="302" t="str">
        <f t="shared" si="1759"/>
        <v/>
      </c>
      <c r="AIT62" s="349"/>
      <c r="AIU62" s="40"/>
      <c r="AIV62" s="62">
        <v>6</v>
      </c>
      <c r="AIW62" s="19" t="str">
        <f t="shared" si="1944"/>
        <v>Outcome Index 6  | Odd 6</v>
      </c>
      <c r="AIX62" s="18">
        <f t="shared" si="1393"/>
        <v>84</v>
      </c>
      <c r="AIY62" s="18">
        <f t="shared" si="465"/>
        <v>87</v>
      </c>
      <c r="AIZ62" s="18">
        <v>4</v>
      </c>
      <c r="AJA62" s="303" t="str">
        <f t="shared" si="1945"/>
        <v/>
      </c>
      <c r="AJB62" s="304"/>
      <c r="AJC62" s="302" t="str">
        <f t="shared" si="1761"/>
        <v/>
      </c>
      <c r="AJD62" s="349"/>
    </row>
    <row r="63" spans="1:940">
      <c r="B63" s="42">
        <v>7</v>
      </c>
      <c r="C63" s="3" t="str">
        <f t="shared" si="1946"/>
        <v>Outcome Index 7  | Odd 7</v>
      </c>
      <c r="D63" s="2">
        <f t="shared" si="561"/>
        <v>88</v>
      </c>
      <c r="E63" s="2">
        <f t="shared" si="1947"/>
        <v>91</v>
      </c>
      <c r="F63" s="2">
        <v>4</v>
      </c>
      <c r="G63" s="255" t="str">
        <f t="shared" si="1948"/>
        <v/>
      </c>
      <c r="H63" s="255"/>
      <c r="I63" s="231" t="str">
        <f t="shared" si="1949"/>
        <v/>
      </c>
      <c r="J63" s="205"/>
      <c r="K63" s="40"/>
      <c r="L63" s="62">
        <v>7</v>
      </c>
      <c r="M63" s="3" t="str">
        <f t="shared" si="1950"/>
        <v>Outcome Index 7  | Odd 7</v>
      </c>
      <c r="N63" s="2">
        <f t="shared" si="562"/>
        <v>88</v>
      </c>
      <c r="O63" s="2">
        <f t="shared" si="97"/>
        <v>91</v>
      </c>
      <c r="P63" s="2">
        <v>4</v>
      </c>
      <c r="Q63" s="207" t="str">
        <f t="shared" si="1951"/>
        <v/>
      </c>
      <c r="R63" s="208"/>
      <c r="S63" s="231" t="str">
        <f t="shared" si="1952"/>
        <v/>
      </c>
      <c r="T63" s="344"/>
      <c r="U63" s="40"/>
      <c r="V63" s="62">
        <v>7</v>
      </c>
      <c r="W63" s="3" t="str">
        <f t="shared" si="1762"/>
        <v>Outcome Index 7  | Odd 7</v>
      </c>
      <c r="X63" s="2">
        <f t="shared" si="1302"/>
        <v>88</v>
      </c>
      <c r="Y63" s="2">
        <f t="shared" si="101"/>
        <v>91</v>
      </c>
      <c r="Z63" s="2">
        <v>4</v>
      </c>
      <c r="AA63" s="207" t="str">
        <f t="shared" si="1763"/>
        <v/>
      </c>
      <c r="AB63" s="208"/>
      <c r="AC63" s="231" t="str">
        <f t="shared" si="1579"/>
        <v/>
      </c>
      <c r="AD63" s="344"/>
      <c r="AE63" s="40"/>
      <c r="AF63" s="62">
        <v>7</v>
      </c>
      <c r="AG63" s="3" t="str">
        <f t="shared" si="1764"/>
        <v>Outcome Index 7  | Odd 7</v>
      </c>
      <c r="AH63" s="2">
        <f t="shared" si="1303"/>
        <v>88</v>
      </c>
      <c r="AI63" s="2">
        <f t="shared" si="105"/>
        <v>91</v>
      </c>
      <c r="AJ63" s="2">
        <v>4</v>
      </c>
      <c r="AK63" s="207" t="str">
        <f t="shared" si="1765"/>
        <v/>
      </c>
      <c r="AL63" s="208"/>
      <c r="AM63" s="231" t="str">
        <f t="shared" si="1581"/>
        <v/>
      </c>
      <c r="AN63" s="344"/>
      <c r="AO63" s="40"/>
      <c r="AP63" s="62">
        <v>7</v>
      </c>
      <c r="AQ63" s="3" t="str">
        <f t="shared" si="1766"/>
        <v>Outcome Index 7  | Odd 7</v>
      </c>
      <c r="AR63" s="2">
        <f t="shared" si="1304"/>
        <v>88</v>
      </c>
      <c r="AS63" s="2">
        <f t="shared" si="109"/>
        <v>91</v>
      </c>
      <c r="AT63" s="2">
        <v>4</v>
      </c>
      <c r="AU63" s="207" t="str">
        <f t="shared" si="1767"/>
        <v/>
      </c>
      <c r="AV63" s="208"/>
      <c r="AW63" s="231" t="str">
        <f t="shared" si="1583"/>
        <v/>
      </c>
      <c r="AX63" s="344"/>
      <c r="AY63" s="40"/>
      <c r="AZ63" s="62">
        <v>7</v>
      </c>
      <c r="BA63" s="3" t="str">
        <f t="shared" si="1768"/>
        <v>Outcome Index 7  | Odd 7</v>
      </c>
      <c r="BB63" s="2">
        <f t="shared" si="1305"/>
        <v>88</v>
      </c>
      <c r="BC63" s="2">
        <f t="shared" si="113"/>
        <v>91</v>
      </c>
      <c r="BD63" s="2">
        <v>4</v>
      </c>
      <c r="BE63" s="207" t="str">
        <f t="shared" si="1769"/>
        <v/>
      </c>
      <c r="BF63" s="208"/>
      <c r="BG63" s="231" t="str">
        <f t="shared" si="1585"/>
        <v/>
      </c>
      <c r="BH63" s="344"/>
      <c r="BI63" s="40"/>
      <c r="BJ63" s="62">
        <v>7</v>
      </c>
      <c r="BK63" s="3" t="str">
        <f t="shared" si="1770"/>
        <v>Outcome Index 7  | Odd 7</v>
      </c>
      <c r="BL63" s="2">
        <f t="shared" si="1306"/>
        <v>88</v>
      </c>
      <c r="BM63" s="2">
        <f t="shared" si="117"/>
        <v>91</v>
      </c>
      <c r="BN63" s="2">
        <v>4</v>
      </c>
      <c r="BO63" s="207" t="str">
        <f t="shared" si="1771"/>
        <v/>
      </c>
      <c r="BP63" s="208"/>
      <c r="BQ63" s="231" t="str">
        <f t="shared" si="1587"/>
        <v/>
      </c>
      <c r="BR63" s="344"/>
      <c r="BS63" s="40"/>
      <c r="BT63" s="62">
        <v>7</v>
      </c>
      <c r="BU63" s="3" t="str">
        <f t="shared" si="1772"/>
        <v>Outcome Index 7  | Odd 7</v>
      </c>
      <c r="BV63" s="2">
        <f t="shared" si="1307"/>
        <v>88</v>
      </c>
      <c r="BW63" s="2">
        <f t="shared" si="121"/>
        <v>91</v>
      </c>
      <c r="BX63" s="2">
        <v>4</v>
      </c>
      <c r="BY63" s="207" t="str">
        <f t="shared" si="1773"/>
        <v/>
      </c>
      <c r="BZ63" s="208"/>
      <c r="CA63" s="231" t="str">
        <f t="shared" si="1589"/>
        <v/>
      </c>
      <c r="CB63" s="344"/>
      <c r="CC63" s="40"/>
      <c r="CD63" s="62">
        <v>7</v>
      </c>
      <c r="CE63" s="3" t="str">
        <f t="shared" si="1774"/>
        <v>Outcome Index 7  | Odd 7</v>
      </c>
      <c r="CF63" s="2">
        <f t="shared" si="1308"/>
        <v>88</v>
      </c>
      <c r="CG63" s="2">
        <f t="shared" si="125"/>
        <v>91</v>
      </c>
      <c r="CH63" s="2">
        <v>4</v>
      </c>
      <c r="CI63" s="207" t="str">
        <f t="shared" si="1775"/>
        <v/>
      </c>
      <c r="CJ63" s="208"/>
      <c r="CK63" s="231" t="str">
        <f t="shared" si="1591"/>
        <v/>
      </c>
      <c r="CL63" s="344"/>
      <c r="CM63" s="40"/>
      <c r="CN63" s="62">
        <v>7</v>
      </c>
      <c r="CO63" s="3" t="str">
        <f t="shared" si="1776"/>
        <v>Outcome Index 7  | Odd 7</v>
      </c>
      <c r="CP63" s="2">
        <f t="shared" si="1309"/>
        <v>88</v>
      </c>
      <c r="CQ63" s="2">
        <f t="shared" si="129"/>
        <v>91</v>
      </c>
      <c r="CR63" s="2">
        <v>4</v>
      </c>
      <c r="CS63" s="207" t="str">
        <f t="shared" si="1777"/>
        <v/>
      </c>
      <c r="CT63" s="208"/>
      <c r="CU63" s="231" t="str">
        <f t="shared" si="1593"/>
        <v/>
      </c>
      <c r="CV63" s="344"/>
      <c r="CW63" s="40"/>
      <c r="CX63" s="62">
        <v>7</v>
      </c>
      <c r="CY63" s="3" t="str">
        <f t="shared" si="1778"/>
        <v>Outcome Index 7  | Odd 7</v>
      </c>
      <c r="CZ63" s="2">
        <f t="shared" si="1310"/>
        <v>88</v>
      </c>
      <c r="DA63" s="2">
        <f t="shared" si="133"/>
        <v>91</v>
      </c>
      <c r="DB63" s="2">
        <v>4</v>
      </c>
      <c r="DC63" s="207" t="str">
        <f t="shared" si="1779"/>
        <v/>
      </c>
      <c r="DD63" s="208"/>
      <c r="DE63" s="231" t="str">
        <f t="shared" si="1595"/>
        <v/>
      </c>
      <c r="DF63" s="344"/>
      <c r="DG63" s="40"/>
      <c r="DH63" s="62">
        <v>7</v>
      </c>
      <c r="DI63" s="3" t="str">
        <f t="shared" si="1780"/>
        <v>Outcome Index 7  | Odd 7</v>
      </c>
      <c r="DJ63" s="2">
        <f t="shared" si="1311"/>
        <v>88</v>
      </c>
      <c r="DK63" s="2">
        <f t="shared" si="137"/>
        <v>91</v>
      </c>
      <c r="DL63" s="2">
        <v>4</v>
      </c>
      <c r="DM63" s="207" t="str">
        <f t="shared" si="1781"/>
        <v/>
      </c>
      <c r="DN63" s="208"/>
      <c r="DO63" s="231" t="str">
        <f t="shared" si="1597"/>
        <v/>
      </c>
      <c r="DP63" s="344"/>
      <c r="DQ63" s="40"/>
      <c r="DR63" s="62">
        <v>7</v>
      </c>
      <c r="DS63" s="3" t="str">
        <f t="shared" si="1782"/>
        <v>Outcome Index 7  | Odd 7</v>
      </c>
      <c r="DT63" s="2">
        <f t="shared" si="1312"/>
        <v>88</v>
      </c>
      <c r="DU63" s="2">
        <f t="shared" si="141"/>
        <v>91</v>
      </c>
      <c r="DV63" s="2">
        <v>4</v>
      </c>
      <c r="DW63" s="207" t="str">
        <f t="shared" si="1783"/>
        <v/>
      </c>
      <c r="DX63" s="208"/>
      <c r="DY63" s="231" t="str">
        <f t="shared" si="1599"/>
        <v/>
      </c>
      <c r="DZ63" s="344"/>
      <c r="EA63" s="40"/>
      <c r="EB63" s="62">
        <v>7</v>
      </c>
      <c r="EC63" s="3" t="str">
        <f t="shared" si="1784"/>
        <v>Outcome Index 7  | Odd 7</v>
      </c>
      <c r="ED63" s="2">
        <f t="shared" si="1313"/>
        <v>88</v>
      </c>
      <c r="EE63" s="2">
        <f t="shared" si="145"/>
        <v>91</v>
      </c>
      <c r="EF63" s="2">
        <v>4</v>
      </c>
      <c r="EG63" s="207" t="str">
        <f t="shared" si="1785"/>
        <v/>
      </c>
      <c r="EH63" s="208"/>
      <c r="EI63" s="231" t="str">
        <f t="shared" si="1601"/>
        <v/>
      </c>
      <c r="EJ63" s="344"/>
      <c r="EK63" s="40"/>
      <c r="EL63" s="62">
        <v>7</v>
      </c>
      <c r="EM63" s="3" t="str">
        <f t="shared" si="1786"/>
        <v>Outcome Index 7  | Odd 7</v>
      </c>
      <c r="EN63" s="2">
        <f t="shared" si="1314"/>
        <v>88</v>
      </c>
      <c r="EO63" s="2">
        <f t="shared" si="149"/>
        <v>91</v>
      </c>
      <c r="EP63" s="2">
        <v>4</v>
      </c>
      <c r="EQ63" s="207" t="str">
        <f t="shared" si="1787"/>
        <v/>
      </c>
      <c r="ER63" s="208"/>
      <c r="ES63" s="231" t="str">
        <f t="shared" si="1603"/>
        <v/>
      </c>
      <c r="ET63" s="344"/>
      <c r="EU63" s="40"/>
      <c r="EV63" s="62">
        <v>7</v>
      </c>
      <c r="EW63" s="3" t="str">
        <f t="shared" si="1788"/>
        <v>Outcome Index 7  | Odd 7</v>
      </c>
      <c r="EX63" s="2">
        <f t="shared" si="1315"/>
        <v>88</v>
      </c>
      <c r="EY63" s="2">
        <f t="shared" si="153"/>
        <v>91</v>
      </c>
      <c r="EZ63" s="2">
        <v>4</v>
      </c>
      <c r="FA63" s="207" t="str">
        <f t="shared" si="1789"/>
        <v/>
      </c>
      <c r="FB63" s="208"/>
      <c r="FC63" s="231" t="str">
        <f t="shared" si="1605"/>
        <v/>
      </c>
      <c r="FD63" s="344"/>
      <c r="FE63" s="40"/>
      <c r="FF63" s="62">
        <v>7</v>
      </c>
      <c r="FG63" s="3" t="str">
        <f t="shared" si="1790"/>
        <v>Outcome Index 7  | Odd 7</v>
      </c>
      <c r="FH63" s="2">
        <f t="shared" si="1316"/>
        <v>88</v>
      </c>
      <c r="FI63" s="2">
        <f t="shared" si="157"/>
        <v>91</v>
      </c>
      <c r="FJ63" s="2">
        <v>4</v>
      </c>
      <c r="FK63" s="207" t="str">
        <f t="shared" si="1791"/>
        <v/>
      </c>
      <c r="FL63" s="208"/>
      <c r="FM63" s="231" t="str">
        <f t="shared" si="1607"/>
        <v/>
      </c>
      <c r="FN63" s="344"/>
      <c r="FO63" s="40"/>
      <c r="FP63" s="62">
        <v>7</v>
      </c>
      <c r="FQ63" s="3" t="str">
        <f t="shared" si="1792"/>
        <v>Outcome Index 7  | Odd 7</v>
      </c>
      <c r="FR63" s="2">
        <f t="shared" si="1317"/>
        <v>88</v>
      </c>
      <c r="FS63" s="2">
        <f t="shared" si="161"/>
        <v>91</v>
      </c>
      <c r="FT63" s="2">
        <v>4</v>
      </c>
      <c r="FU63" s="207" t="str">
        <f t="shared" si="1793"/>
        <v/>
      </c>
      <c r="FV63" s="208"/>
      <c r="FW63" s="231" t="str">
        <f t="shared" si="1609"/>
        <v/>
      </c>
      <c r="FX63" s="344"/>
      <c r="FY63" s="40"/>
      <c r="FZ63" s="62">
        <v>7</v>
      </c>
      <c r="GA63" s="3" t="str">
        <f t="shared" si="1794"/>
        <v>Outcome Index 7  | Odd 7</v>
      </c>
      <c r="GB63" s="2">
        <f t="shared" si="1318"/>
        <v>88</v>
      </c>
      <c r="GC63" s="2">
        <f t="shared" si="165"/>
        <v>91</v>
      </c>
      <c r="GD63" s="2">
        <v>4</v>
      </c>
      <c r="GE63" s="207" t="str">
        <f t="shared" si="1795"/>
        <v/>
      </c>
      <c r="GF63" s="208"/>
      <c r="GG63" s="231" t="str">
        <f t="shared" si="1611"/>
        <v/>
      </c>
      <c r="GH63" s="344"/>
      <c r="GI63" s="40"/>
      <c r="GJ63" s="62">
        <v>7</v>
      </c>
      <c r="GK63" s="3" t="str">
        <f t="shared" si="1796"/>
        <v>Outcome Index 7  | Odd 7</v>
      </c>
      <c r="GL63" s="2">
        <f t="shared" si="1319"/>
        <v>88</v>
      </c>
      <c r="GM63" s="2">
        <f t="shared" si="169"/>
        <v>91</v>
      </c>
      <c r="GN63" s="2">
        <v>4</v>
      </c>
      <c r="GO63" s="207" t="str">
        <f t="shared" si="1797"/>
        <v/>
      </c>
      <c r="GP63" s="208"/>
      <c r="GQ63" s="231" t="str">
        <f t="shared" si="1613"/>
        <v/>
      </c>
      <c r="GR63" s="344"/>
      <c r="GS63" s="40"/>
      <c r="GT63" s="62">
        <v>7</v>
      </c>
      <c r="GU63" s="3" t="str">
        <f t="shared" si="1798"/>
        <v>Outcome Index 7  | Odd 7</v>
      </c>
      <c r="GV63" s="2">
        <f t="shared" si="1320"/>
        <v>88</v>
      </c>
      <c r="GW63" s="2">
        <f t="shared" si="173"/>
        <v>91</v>
      </c>
      <c r="GX63" s="2">
        <v>4</v>
      </c>
      <c r="GY63" s="207" t="str">
        <f t="shared" si="1799"/>
        <v/>
      </c>
      <c r="GZ63" s="208"/>
      <c r="HA63" s="231" t="str">
        <f t="shared" si="1615"/>
        <v/>
      </c>
      <c r="HB63" s="344"/>
      <c r="HC63" s="40"/>
      <c r="HD63" s="62">
        <v>7</v>
      </c>
      <c r="HE63" s="3" t="str">
        <f t="shared" si="1800"/>
        <v>Outcome Index 7  | Odd 7</v>
      </c>
      <c r="HF63" s="2">
        <f t="shared" si="1321"/>
        <v>88</v>
      </c>
      <c r="HG63" s="2">
        <f t="shared" si="177"/>
        <v>91</v>
      </c>
      <c r="HH63" s="2">
        <v>4</v>
      </c>
      <c r="HI63" s="207" t="str">
        <f t="shared" si="1801"/>
        <v/>
      </c>
      <c r="HJ63" s="208"/>
      <c r="HK63" s="231" t="str">
        <f t="shared" si="1617"/>
        <v/>
      </c>
      <c r="HL63" s="344"/>
      <c r="HM63" s="40"/>
      <c r="HN63" s="62">
        <v>7</v>
      </c>
      <c r="HO63" s="3" t="str">
        <f t="shared" si="1802"/>
        <v>Outcome Index 7  | Odd 7</v>
      </c>
      <c r="HP63" s="2">
        <f t="shared" si="1322"/>
        <v>88</v>
      </c>
      <c r="HQ63" s="2">
        <f t="shared" si="181"/>
        <v>91</v>
      </c>
      <c r="HR63" s="2">
        <v>4</v>
      </c>
      <c r="HS63" s="207" t="str">
        <f t="shared" si="1803"/>
        <v/>
      </c>
      <c r="HT63" s="208"/>
      <c r="HU63" s="231" t="str">
        <f t="shared" si="1619"/>
        <v/>
      </c>
      <c r="HV63" s="344"/>
      <c r="HW63" s="40"/>
      <c r="HX63" s="62">
        <v>7</v>
      </c>
      <c r="HY63" s="3" t="str">
        <f t="shared" si="1804"/>
        <v>Outcome Index 7  | Odd 7</v>
      </c>
      <c r="HZ63" s="2">
        <f t="shared" si="1323"/>
        <v>88</v>
      </c>
      <c r="IA63" s="2">
        <f t="shared" si="185"/>
        <v>91</v>
      </c>
      <c r="IB63" s="2">
        <v>4</v>
      </c>
      <c r="IC63" s="207" t="str">
        <f t="shared" si="1805"/>
        <v/>
      </c>
      <c r="ID63" s="208"/>
      <c r="IE63" s="231" t="str">
        <f t="shared" si="1621"/>
        <v/>
      </c>
      <c r="IF63" s="344"/>
      <c r="IG63" s="40"/>
      <c r="IH63" s="62">
        <v>7</v>
      </c>
      <c r="II63" s="3" t="str">
        <f t="shared" si="1806"/>
        <v>Outcome Index 7  | Odd 7</v>
      </c>
      <c r="IJ63" s="2">
        <f t="shared" si="1324"/>
        <v>88</v>
      </c>
      <c r="IK63" s="2">
        <f t="shared" si="189"/>
        <v>91</v>
      </c>
      <c r="IL63" s="2">
        <v>4</v>
      </c>
      <c r="IM63" s="207" t="str">
        <f t="shared" si="1807"/>
        <v/>
      </c>
      <c r="IN63" s="208"/>
      <c r="IO63" s="231" t="str">
        <f t="shared" si="1623"/>
        <v/>
      </c>
      <c r="IP63" s="344"/>
      <c r="IQ63" s="40"/>
      <c r="IR63" s="62">
        <v>7</v>
      </c>
      <c r="IS63" s="3" t="str">
        <f t="shared" si="1808"/>
        <v>Outcome Index 7  | Odd 7</v>
      </c>
      <c r="IT63" s="2">
        <f t="shared" si="1325"/>
        <v>88</v>
      </c>
      <c r="IU63" s="2">
        <f t="shared" si="193"/>
        <v>91</v>
      </c>
      <c r="IV63" s="2">
        <v>4</v>
      </c>
      <c r="IW63" s="207" t="str">
        <f t="shared" si="1809"/>
        <v/>
      </c>
      <c r="IX63" s="208"/>
      <c r="IY63" s="231" t="str">
        <f t="shared" si="1625"/>
        <v/>
      </c>
      <c r="IZ63" s="344"/>
      <c r="JA63" s="40"/>
      <c r="JB63" s="62">
        <v>7</v>
      </c>
      <c r="JC63" s="3" t="str">
        <f t="shared" si="1810"/>
        <v>Outcome Index 7  | Odd 7</v>
      </c>
      <c r="JD63" s="2">
        <f t="shared" si="1326"/>
        <v>88</v>
      </c>
      <c r="JE63" s="2">
        <f t="shared" si="197"/>
        <v>91</v>
      </c>
      <c r="JF63" s="2">
        <v>4</v>
      </c>
      <c r="JG63" s="207" t="str">
        <f t="shared" si="1811"/>
        <v/>
      </c>
      <c r="JH63" s="208"/>
      <c r="JI63" s="231" t="str">
        <f t="shared" si="1627"/>
        <v/>
      </c>
      <c r="JJ63" s="344"/>
      <c r="JK63" s="40"/>
      <c r="JL63" s="62">
        <v>7</v>
      </c>
      <c r="JM63" s="3" t="str">
        <f t="shared" si="1812"/>
        <v>Outcome Index 7  | Odd 7</v>
      </c>
      <c r="JN63" s="2">
        <f t="shared" si="1327"/>
        <v>88</v>
      </c>
      <c r="JO63" s="2">
        <f t="shared" si="201"/>
        <v>91</v>
      </c>
      <c r="JP63" s="2">
        <v>4</v>
      </c>
      <c r="JQ63" s="207" t="str">
        <f t="shared" si="1813"/>
        <v/>
      </c>
      <c r="JR63" s="208"/>
      <c r="JS63" s="231" t="str">
        <f t="shared" si="1629"/>
        <v/>
      </c>
      <c r="JT63" s="344"/>
      <c r="JU63" s="40"/>
      <c r="JV63" s="62">
        <v>7</v>
      </c>
      <c r="JW63" s="3" t="str">
        <f t="shared" si="1814"/>
        <v>Outcome Index 7  | Odd 7</v>
      </c>
      <c r="JX63" s="2">
        <f t="shared" si="1328"/>
        <v>88</v>
      </c>
      <c r="JY63" s="2">
        <f t="shared" si="205"/>
        <v>91</v>
      </c>
      <c r="JZ63" s="2">
        <v>4</v>
      </c>
      <c r="KA63" s="207" t="str">
        <f t="shared" si="1815"/>
        <v/>
      </c>
      <c r="KB63" s="208"/>
      <c r="KC63" s="231" t="str">
        <f t="shared" si="1631"/>
        <v/>
      </c>
      <c r="KD63" s="344"/>
      <c r="KE63" s="40"/>
      <c r="KF63" s="62">
        <v>7</v>
      </c>
      <c r="KG63" s="3" t="str">
        <f t="shared" si="1816"/>
        <v>Outcome Index 7  | Odd 7</v>
      </c>
      <c r="KH63" s="2">
        <f t="shared" si="1329"/>
        <v>88</v>
      </c>
      <c r="KI63" s="2">
        <f t="shared" si="209"/>
        <v>91</v>
      </c>
      <c r="KJ63" s="2">
        <v>4</v>
      </c>
      <c r="KK63" s="207" t="str">
        <f t="shared" si="1817"/>
        <v/>
      </c>
      <c r="KL63" s="208"/>
      <c r="KM63" s="231" t="str">
        <f t="shared" si="1633"/>
        <v/>
      </c>
      <c r="KN63" s="344"/>
      <c r="KO63" s="40"/>
      <c r="KP63" s="62">
        <v>7</v>
      </c>
      <c r="KQ63" s="3" t="str">
        <f t="shared" si="1818"/>
        <v>Outcome Index 7  | Odd 7</v>
      </c>
      <c r="KR63" s="2">
        <f t="shared" si="1330"/>
        <v>88</v>
      </c>
      <c r="KS63" s="2">
        <f t="shared" si="213"/>
        <v>91</v>
      </c>
      <c r="KT63" s="2">
        <v>4</v>
      </c>
      <c r="KU63" s="207" t="str">
        <f t="shared" si="1819"/>
        <v/>
      </c>
      <c r="KV63" s="208"/>
      <c r="KW63" s="231" t="str">
        <f t="shared" si="1635"/>
        <v/>
      </c>
      <c r="KX63" s="344"/>
      <c r="KY63" s="40"/>
      <c r="KZ63" s="62">
        <v>7</v>
      </c>
      <c r="LA63" s="3" t="str">
        <f t="shared" si="1820"/>
        <v>Outcome Index 7  | Odd 7</v>
      </c>
      <c r="LB63" s="2">
        <f t="shared" si="1331"/>
        <v>88</v>
      </c>
      <c r="LC63" s="2">
        <f t="shared" si="217"/>
        <v>91</v>
      </c>
      <c r="LD63" s="2">
        <v>4</v>
      </c>
      <c r="LE63" s="207" t="str">
        <f t="shared" si="1821"/>
        <v/>
      </c>
      <c r="LF63" s="208"/>
      <c r="LG63" s="231" t="str">
        <f t="shared" si="1637"/>
        <v/>
      </c>
      <c r="LH63" s="344"/>
      <c r="LI63" s="40"/>
      <c r="LJ63" s="62">
        <v>7</v>
      </c>
      <c r="LK63" s="3" t="str">
        <f t="shared" si="1822"/>
        <v>Outcome Index 7  | Odd 7</v>
      </c>
      <c r="LL63" s="2">
        <f t="shared" si="1332"/>
        <v>88</v>
      </c>
      <c r="LM63" s="2">
        <f t="shared" si="221"/>
        <v>91</v>
      </c>
      <c r="LN63" s="2">
        <v>4</v>
      </c>
      <c r="LO63" s="207" t="str">
        <f t="shared" si="1823"/>
        <v/>
      </c>
      <c r="LP63" s="208"/>
      <c r="LQ63" s="231" t="str">
        <f t="shared" si="1639"/>
        <v/>
      </c>
      <c r="LR63" s="344"/>
      <c r="LS63" s="40"/>
      <c r="LT63" s="62">
        <v>7</v>
      </c>
      <c r="LU63" s="3" t="str">
        <f t="shared" si="1824"/>
        <v>Outcome Index 7  | Odd 7</v>
      </c>
      <c r="LV63" s="2">
        <f t="shared" si="1333"/>
        <v>88</v>
      </c>
      <c r="LW63" s="2">
        <f t="shared" si="225"/>
        <v>91</v>
      </c>
      <c r="LX63" s="2">
        <v>4</v>
      </c>
      <c r="LY63" s="207" t="str">
        <f t="shared" si="1825"/>
        <v/>
      </c>
      <c r="LZ63" s="208"/>
      <c r="MA63" s="231" t="str">
        <f t="shared" si="1641"/>
        <v/>
      </c>
      <c r="MB63" s="344"/>
      <c r="MC63" s="40"/>
      <c r="MD63" s="62">
        <v>7</v>
      </c>
      <c r="ME63" s="3" t="str">
        <f t="shared" si="1826"/>
        <v>Outcome Index 7  | Odd 7</v>
      </c>
      <c r="MF63" s="2">
        <f t="shared" si="1334"/>
        <v>88</v>
      </c>
      <c r="MG63" s="2">
        <f t="shared" si="229"/>
        <v>91</v>
      </c>
      <c r="MH63" s="2">
        <v>4</v>
      </c>
      <c r="MI63" s="207" t="str">
        <f t="shared" si="1827"/>
        <v/>
      </c>
      <c r="MJ63" s="208"/>
      <c r="MK63" s="231" t="str">
        <f t="shared" si="1643"/>
        <v/>
      </c>
      <c r="ML63" s="344"/>
      <c r="MM63" s="40"/>
      <c r="MN63" s="62">
        <v>7</v>
      </c>
      <c r="MO63" s="3" t="str">
        <f t="shared" si="1828"/>
        <v>Outcome Index 7  | Odd 7</v>
      </c>
      <c r="MP63" s="2">
        <f t="shared" si="1335"/>
        <v>88</v>
      </c>
      <c r="MQ63" s="2">
        <f t="shared" si="233"/>
        <v>91</v>
      </c>
      <c r="MR63" s="2">
        <v>4</v>
      </c>
      <c r="MS63" s="207" t="str">
        <f t="shared" si="1829"/>
        <v/>
      </c>
      <c r="MT63" s="208"/>
      <c r="MU63" s="231" t="str">
        <f t="shared" si="1645"/>
        <v/>
      </c>
      <c r="MV63" s="344"/>
      <c r="MW63" s="40"/>
      <c r="MX63" s="62">
        <v>7</v>
      </c>
      <c r="MY63" s="3" t="str">
        <f t="shared" si="1830"/>
        <v>Outcome Index 7  | Odd 7</v>
      </c>
      <c r="MZ63" s="2">
        <f t="shared" si="1336"/>
        <v>88</v>
      </c>
      <c r="NA63" s="2">
        <f t="shared" si="237"/>
        <v>91</v>
      </c>
      <c r="NB63" s="2">
        <v>4</v>
      </c>
      <c r="NC63" s="207" t="str">
        <f t="shared" si="1831"/>
        <v/>
      </c>
      <c r="ND63" s="208"/>
      <c r="NE63" s="231" t="str">
        <f t="shared" si="1647"/>
        <v/>
      </c>
      <c r="NF63" s="344"/>
      <c r="NG63" s="40"/>
      <c r="NH63" s="62">
        <v>7</v>
      </c>
      <c r="NI63" s="3" t="str">
        <f t="shared" si="1832"/>
        <v>Outcome Index 7  | Odd 7</v>
      </c>
      <c r="NJ63" s="2">
        <f t="shared" si="1337"/>
        <v>88</v>
      </c>
      <c r="NK63" s="2">
        <f t="shared" si="241"/>
        <v>91</v>
      </c>
      <c r="NL63" s="2">
        <v>4</v>
      </c>
      <c r="NM63" s="207" t="str">
        <f t="shared" si="1833"/>
        <v/>
      </c>
      <c r="NN63" s="208"/>
      <c r="NO63" s="231" t="str">
        <f t="shared" si="1649"/>
        <v/>
      </c>
      <c r="NP63" s="344"/>
      <c r="NQ63" s="40"/>
      <c r="NR63" s="62">
        <v>7</v>
      </c>
      <c r="NS63" s="3" t="str">
        <f t="shared" si="1834"/>
        <v>Outcome Index 7  | Odd 7</v>
      </c>
      <c r="NT63" s="2">
        <f t="shared" si="1338"/>
        <v>88</v>
      </c>
      <c r="NU63" s="2">
        <f t="shared" si="245"/>
        <v>91</v>
      </c>
      <c r="NV63" s="2">
        <v>4</v>
      </c>
      <c r="NW63" s="207" t="str">
        <f t="shared" si="1835"/>
        <v/>
      </c>
      <c r="NX63" s="208"/>
      <c r="NY63" s="231" t="str">
        <f t="shared" si="1651"/>
        <v/>
      </c>
      <c r="NZ63" s="344"/>
      <c r="OA63" s="40"/>
      <c r="OB63" s="62">
        <v>7</v>
      </c>
      <c r="OC63" s="3" t="str">
        <f t="shared" si="1836"/>
        <v>Outcome Index 7  | Odd 7</v>
      </c>
      <c r="OD63" s="2">
        <f t="shared" si="1339"/>
        <v>88</v>
      </c>
      <c r="OE63" s="2">
        <f t="shared" si="249"/>
        <v>91</v>
      </c>
      <c r="OF63" s="2">
        <v>4</v>
      </c>
      <c r="OG63" s="207" t="str">
        <f t="shared" si="1837"/>
        <v/>
      </c>
      <c r="OH63" s="208"/>
      <c r="OI63" s="231" t="str">
        <f t="shared" si="1653"/>
        <v/>
      </c>
      <c r="OJ63" s="344"/>
      <c r="OK63" s="40"/>
      <c r="OL63" s="62">
        <v>7</v>
      </c>
      <c r="OM63" s="3" t="str">
        <f t="shared" si="1838"/>
        <v>Outcome Index 7  | Odd 7</v>
      </c>
      <c r="ON63" s="2">
        <f t="shared" si="1340"/>
        <v>88</v>
      </c>
      <c r="OO63" s="2">
        <f t="shared" si="253"/>
        <v>91</v>
      </c>
      <c r="OP63" s="2">
        <v>4</v>
      </c>
      <c r="OQ63" s="207" t="str">
        <f t="shared" si="1839"/>
        <v/>
      </c>
      <c r="OR63" s="208"/>
      <c r="OS63" s="231" t="str">
        <f t="shared" si="1655"/>
        <v/>
      </c>
      <c r="OT63" s="344"/>
      <c r="OU63" s="40"/>
      <c r="OV63" s="62">
        <v>7</v>
      </c>
      <c r="OW63" s="3" t="str">
        <f t="shared" si="1840"/>
        <v>Outcome Index 7  | Odd 7</v>
      </c>
      <c r="OX63" s="2">
        <f t="shared" si="1341"/>
        <v>88</v>
      </c>
      <c r="OY63" s="2">
        <f t="shared" si="257"/>
        <v>91</v>
      </c>
      <c r="OZ63" s="2">
        <v>4</v>
      </c>
      <c r="PA63" s="207" t="str">
        <f t="shared" si="1841"/>
        <v/>
      </c>
      <c r="PB63" s="208"/>
      <c r="PC63" s="231" t="str">
        <f t="shared" si="1657"/>
        <v/>
      </c>
      <c r="PD63" s="344"/>
      <c r="PE63" s="40"/>
      <c r="PF63" s="62">
        <v>7</v>
      </c>
      <c r="PG63" s="3" t="str">
        <f t="shared" si="1842"/>
        <v>Outcome Index 7  | Odd 7</v>
      </c>
      <c r="PH63" s="2">
        <f t="shared" si="1342"/>
        <v>88</v>
      </c>
      <c r="PI63" s="2">
        <f t="shared" si="261"/>
        <v>91</v>
      </c>
      <c r="PJ63" s="2">
        <v>4</v>
      </c>
      <c r="PK63" s="207" t="str">
        <f t="shared" si="1843"/>
        <v/>
      </c>
      <c r="PL63" s="208"/>
      <c r="PM63" s="231" t="str">
        <f t="shared" si="1659"/>
        <v/>
      </c>
      <c r="PN63" s="344"/>
      <c r="PO63" s="40"/>
      <c r="PP63" s="62">
        <v>7</v>
      </c>
      <c r="PQ63" s="3" t="str">
        <f t="shared" si="1844"/>
        <v>Outcome Index 7  | Odd 7</v>
      </c>
      <c r="PR63" s="2">
        <f t="shared" si="1343"/>
        <v>88</v>
      </c>
      <c r="PS63" s="2">
        <f t="shared" si="265"/>
        <v>91</v>
      </c>
      <c r="PT63" s="2">
        <v>4</v>
      </c>
      <c r="PU63" s="207" t="str">
        <f t="shared" si="1845"/>
        <v/>
      </c>
      <c r="PV63" s="208"/>
      <c r="PW63" s="231" t="str">
        <f t="shared" si="1661"/>
        <v/>
      </c>
      <c r="PX63" s="344"/>
      <c r="PY63" s="40"/>
      <c r="PZ63" s="62">
        <v>7</v>
      </c>
      <c r="QA63" s="3" t="str">
        <f t="shared" si="1846"/>
        <v>Outcome Index 7  | Odd 7</v>
      </c>
      <c r="QB63" s="2">
        <f t="shared" si="1344"/>
        <v>88</v>
      </c>
      <c r="QC63" s="2">
        <f t="shared" si="269"/>
        <v>91</v>
      </c>
      <c r="QD63" s="2">
        <v>4</v>
      </c>
      <c r="QE63" s="207" t="str">
        <f t="shared" si="1847"/>
        <v/>
      </c>
      <c r="QF63" s="208"/>
      <c r="QG63" s="231" t="str">
        <f t="shared" si="1663"/>
        <v/>
      </c>
      <c r="QH63" s="344"/>
      <c r="QI63" s="40"/>
      <c r="QJ63" s="62">
        <v>7</v>
      </c>
      <c r="QK63" s="3" t="str">
        <f t="shared" si="1848"/>
        <v>Outcome Index 7  | Odd 7</v>
      </c>
      <c r="QL63" s="2">
        <f t="shared" si="1345"/>
        <v>88</v>
      </c>
      <c r="QM63" s="2">
        <f t="shared" si="273"/>
        <v>91</v>
      </c>
      <c r="QN63" s="2">
        <v>4</v>
      </c>
      <c r="QO63" s="207" t="str">
        <f t="shared" si="1849"/>
        <v/>
      </c>
      <c r="QP63" s="208"/>
      <c r="QQ63" s="231" t="str">
        <f t="shared" si="1665"/>
        <v/>
      </c>
      <c r="QR63" s="344"/>
      <c r="QS63" s="40"/>
      <c r="QT63" s="62">
        <v>7</v>
      </c>
      <c r="QU63" s="3" t="str">
        <f t="shared" si="1850"/>
        <v>Outcome Index 7  | Odd 7</v>
      </c>
      <c r="QV63" s="2">
        <f t="shared" si="1346"/>
        <v>88</v>
      </c>
      <c r="QW63" s="2">
        <f t="shared" si="277"/>
        <v>91</v>
      </c>
      <c r="QX63" s="2">
        <v>4</v>
      </c>
      <c r="QY63" s="207" t="str">
        <f t="shared" si="1851"/>
        <v/>
      </c>
      <c r="QZ63" s="208"/>
      <c r="RA63" s="231" t="str">
        <f t="shared" si="1667"/>
        <v/>
      </c>
      <c r="RB63" s="344"/>
      <c r="RC63" s="40"/>
      <c r="RD63" s="62">
        <v>7</v>
      </c>
      <c r="RE63" s="3" t="str">
        <f t="shared" si="1852"/>
        <v>Outcome Index 7  | Odd 7</v>
      </c>
      <c r="RF63" s="2">
        <f t="shared" si="1347"/>
        <v>88</v>
      </c>
      <c r="RG63" s="2">
        <f t="shared" si="281"/>
        <v>91</v>
      </c>
      <c r="RH63" s="2">
        <v>4</v>
      </c>
      <c r="RI63" s="207" t="str">
        <f t="shared" si="1853"/>
        <v/>
      </c>
      <c r="RJ63" s="208"/>
      <c r="RK63" s="231" t="str">
        <f t="shared" si="1669"/>
        <v/>
      </c>
      <c r="RL63" s="344"/>
      <c r="RM63" s="40"/>
      <c r="RN63" s="62">
        <v>7</v>
      </c>
      <c r="RO63" s="3" t="str">
        <f t="shared" si="1854"/>
        <v>Outcome Index 7  | Odd 7</v>
      </c>
      <c r="RP63" s="2">
        <f t="shared" si="1348"/>
        <v>88</v>
      </c>
      <c r="RQ63" s="2">
        <f t="shared" si="285"/>
        <v>91</v>
      </c>
      <c r="RR63" s="2">
        <v>4</v>
      </c>
      <c r="RS63" s="207" t="str">
        <f t="shared" si="1855"/>
        <v/>
      </c>
      <c r="RT63" s="208"/>
      <c r="RU63" s="231" t="str">
        <f t="shared" si="1671"/>
        <v/>
      </c>
      <c r="RV63" s="344"/>
      <c r="RW63" s="40"/>
      <c r="RX63" s="62">
        <v>7</v>
      </c>
      <c r="RY63" s="3" t="str">
        <f t="shared" si="1856"/>
        <v>Outcome Index 7  | Odd 7</v>
      </c>
      <c r="RZ63" s="2">
        <f t="shared" si="1349"/>
        <v>88</v>
      </c>
      <c r="SA63" s="2">
        <f t="shared" si="289"/>
        <v>91</v>
      </c>
      <c r="SB63" s="2">
        <v>4</v>
      </c>
      <c r="SC63" s="207" t="str">
        <f t="shared" si="1857"/>
        <v/>
      </c>
      <c r="SD63" s="208"/>
      <c r="SE63" s="231" t="str">
        <f t="shared" si="1673"/>
        <v/>
      </c>
      <c r="SF63" s="344"/>
      <c r="SG63" s="40"/>
      <c r="SH63" s="62">
        <v>7</v>
      </c>
      <c r="SI63" s="3" t="str">
        <f t="shared" si="1858"/>
        <v>Outcome Index 7  | Odd 7</v>
      </c>
      <c r="SJ63" s="2">
        <f t="shared" si="1350"/>
        <v>88</v>
      </c>
      <c r="SK63" s="2">
        <f t="shared" si="293"/>
        <v>91</v>
      </c>
      <c r="SL63" s="2">
        <v>4</v>
      </c>
      <c r="SM63" s="207" t="str">
        <f t="shared" si="1859"/>
        <v/>
      </c>
      <c r="SN63" s="208"/>
      <c r="SO63" s="231" t="str">
        <f t="shared" si="1675"/>
        <v/>
      </c>
      <c r="SP63" s="344"/>
      <c r="SQ63" s="40"/>
      <c r="SR63" s="62">
        <v>7</v>
      </c>
      <c r="SS63" s="3" t="str">
        <f t="shared" si="1860"/>
        <v>Outcome Index 7  | Odd 7</v>
      </c>
      <c r="ST63" s="2">
        <f t="shared" si="1351"/>
        <v>88</v>
      </c>
      <c r="SU63" s="2">
        <f t="shared" si="297"/>
        <v>91</v>
      </c>
      <c r="SV63" s="2">
        <v>4</v>
      </c>
      <c r="SW63" s="207" t="str">
        <f t="shared" si="1861"/>
        <v/>
      </c>
      <c r="SX63" s="208"/>
      <c r="SY63" s="231" t="str">
        <f t="shared" si="1677"/>
        <v/>
      </c>
      <c r="SZ63" s="344"/>
      <c r="TA63" s="40"/>
      <c r="TB63" s="62">
        <v>7</v>
      </c>
      <c r="TC63" s="3" t="str">
        <f t="shared" si="1862"/>
        <v>Outcome Index 7  | Odd 7</v>
      </c>
      <c r="TD63" s="2">
        <f t="shared" si="1352"/>
        <v>88</v>
      </c>
      <c r="TE63" s="2">
        <f t="shared" si="301"/>
        <v>91</v>
      </c>
      <c r="TF63" s="2">
        <v>4</v>
      </c>
      <c r="TG63" s="207" t="str">
        <f t="shared" si="1863"/>
        <v/>
      </c>
      <c r="TH63" s="208"/>
      <c r="TI63" s="231" t="str">
        <f t="shared" si="1679"/>
        <v/>
      </c>
      <c r="TJ63" s="344"/>
      <c r="TK63" s="40"/>
      <c r="TL63" s="62">
        <v>7</v>
      </c>
      <c r="TM63" s="3" t="str">
        <f t="shared" si="1864"/>
        <v>Outcome Index 7  | Odd 7</v>
      </c>
      <c r="TN63" s="2">
        <f t="shared" si="1353"/>
        <v>88</v>
      </c>
      <c r="TO63" s="2">
        <f t="shared" si="305"/>
        <v>91</v>
      </c>
      <c r="TP63" s="2">
        <v>4</v>
      </c>
      <c r="TQ63" s="207" t="str">
        <f t="shared" si="1865"/>
        <v/>
      </c>
      <c r="TR63" s="208"/>
      <c r="TS63" s="231" t="str">
        <f t="shared" si="1681"/>
        <v/>
      </c>
      <c r="TT63" s="344"/>
      <c r="TU63" s="40"/>
      <c r="TV63" s="62">
        <v>7</v>
      </c>
      <c r="TW63" s="3" t="str">
        <f t="shared" si="1866"/>
        <v>Outcome Index 7  | Odd 7</v>
      </c>
      <c r="TX63" s="2">
        <f t="shared" si="1354"/>
        <v>88</v>
      </c>
      <c r="TY63" s="2">
        <f t="shared" si="309"/>
        <v>91</v>
      </c>
      <c r="TZ63" s="2">
        <v>4</v>
      </c>
      <c r="UA63" s="207" t="str">
        <f t="shared" si="1867"/>
        <v/>
      </c>
      <c r="UB63" s="208"/>
      <c r="UC63" s="231" t="str">
        <f t="shared" si="1683"/>
        <v/>
      </c>
      <c r="UD63" s="344"/>
      <c r="UE63" s="40"/>
      <c r="UF63" s="62">
        <v>7</v>
      </c>
      <c r="UG63" s="3" t="str">
        <f t="shared" si="1868"/>
        <v>Outcome Index 7  | Odd 7</v>
      </c>
      <c r="UH63" s="2">
        <f t="shared" si="1355"/>
        <v>88</v>
      </c>
      <c r="UI63" s="2">
        <f t="shared" si="313"/>
        <v>91</v>
      </c>
      <c r="UJ63" s="2">
        <v>4</v>
      </c>
      <c r="UK63" s="207" t="str">
        <f t="shared" si="1869"/>
        <v/>
      </c>
      <c r="UL63" s="208"/>
      <c r="UM63" s="231" t="str">
        <f t="shared" si="1685"/>
        <v/>
      </c>
      <c r="UN63" s="344"/>
      <c r="UO63" s="40"/>
      <c r="UP63" s="62">
        <v>7</v>
      </c>
      <c r="UQ63" s="3" t="str">
        <f t="shared" si="1870"/>
        <v>Outcome Index 7  | Odd 7</v>
      </c>
      <c r="UR63" s="2">
        <f t="shared" si="1356"/>
        <v>88</v>
      </c>
      <c r="US63" s="2">
        <f t="shared" si="317"/>
        <v>91</v>
      </c>
      <c r="UT63" s="2">
        <v>4</v>
      </c>
      <c r="UU63" s="207" t="str">
        <f t="shared" si="1871"/>
        <v/>
      </c>
      <c r="UV63" s="208"/>
      <c r="UW63" s="231" t="str">
        <f t="shared" si="1687"/>
        <v/>
      </c>
      <c r="UX63" s="344"/>
      <c r="UY63" s="40"/>
      <c r="UZ63" s="62">
        <v>7</v>
      </c>
      <c r="VA63" s="3" t="str">
        <f t="shared" si="1872"/>
        <v>Outcome Index 7  | Odd 7</v>
      </c>
      <c r="VB63" s="2">
        <f t="shared" si="1357"/>
        <v>88</v>
      </c>
      <c r="VC63" s="2">
        <f t="shared" si="321"/>
        <v>91</v>
      </c>
      <c r="VD63" s="2">
        <v>4</v>
      </c>
      <c r="VE63" s="207" t="str">
        <f t="shared" si="1873"/>
        <v/>
      </c>
      <c r="VF63" s="208"/>
      <c r="VG63" s="231" t="str">
        <f t="shared" si="1689"/>
        <v/>
      </c>
      <c r="VH63" s="344"/>
      <c r="VI63" s="40"/>
      <c r="VJ63" s="62">
        <v>7</v>
      </c>
      <c r="VK63" s="3" t="str">
        <f t="shared" si="1874"/>
        <v>Outcome Index 7  | Odd 7</v>
      </c>
      <c r="VL63" s="2">
        <f t="shared" si="1358"/>
        <v>88</v>
      </c>
      <c r="VM63" s="2">
        <f t="shared" si="325"/>
        <v>91</v>
      </c>
      <c r="VN63" s="2">
        <v>4</v>
      </c>
      <c r="VO63" s="207" t="str">
        <f t="shared" si="1875"/>
        <v/>
      </c>
      <c r="VP63" s="208"/>
      <c r="VQ63" s="231" t="str">
        <f t="shared" si="1691"/>
        <v/>
      </c>
      <c r="VR63" s="344"/>
      <c r="VS63" s="40"/>
      <c r="VT63" s="62">
        <v>7</v>
      </c>
      <c r="VU63" s="3" t="str">
        <f t="shared" si="1876"/>
        <v>Outcome Index 7  | Odd 7</v>
      </c>
      <c r="VV63" s="2">
        <f t="shared" si="1359"/>
        <v>88</v>
      </c>
      <c r="VW63" s="2">
        <f t="shared" si="329"/>
        <v>91</v>
      </c>
      <c r="VX63" s="2">
        <v>4</v>
      </c>
      <c r="VY63" s="207" t="str">
        <f t="shared" si="1877"/>
        <v/>
      </c>
      <c r="VZ63" s="208"/>
      <c r="WA63" s="231" t="str">
        <f t="shared" si="1693"/>
        <v/>
      </c>
      <c r="WB63" s="344"/>
      <c r="WC63" s="40"/>
      <c r="WD63" s="62">
        <v>7</v>
      </c>
      <c r="WE63" s="3" t="str">
        <f t="shared" si="1878"/>
        <v>Outcome Index 7  | Odd 7</v>
      </c>
      <c r="WF63" s="2">
        <f t="shared" si="1360"/>
        <v>88</v>
      </c>
      <c r="WG63" s="2">
        <f t="shared" si="333"/>
        <v>91</v>
      </c>
      <c r="WH63" s="2">
        <v>4</v>
      </c>
      <c r="WI63" s="207" t="str">
        <f t="shared" si="1879"/>
        <v/>
      </c>
      <c r="WJ63" s="208"/>
      <c r="WK63" s="231" t="str">
        <f t="shared" si="1695"/>
        <v/>
      </c>
      <c r="WL63" s="344"/>
      <c r="WM63" s="40"/>
      <c r="WN63" s="62">
        <v>7</v>
      </c>
      <c r="WO63" s="3" t="str">
        <f t="shared" si="1880"/>
        <v>Outcome Index 7  | Odd 7</v>
      </c>
      <c r="WP63" s="2">
        <f t="shared" si="1361"/>
        <v>88</v>
      </c>
      <c r="WQ63" s="2">
        <f t="shared" si="337"/>
        <v>91</v>
      </c>
      <c r="WR63" s="2">
        <v>4</v>
      </c>
      <c r="WS63" s="207" t="str">
        <f t="shared" si="1881"/>
        <v/>
      </c>
      <c r="WT63" s="208"/>
      <c r="WU63" s="231" t="str">
        <f t="shared" si="1697"/>
        <v/>
      </c>
      <c r="WV63" s="344"/>
      <c r="WW63" s="40"/>
      <c r="WX63" s="62">
        <v>7</v>
      </c>
      <c r="WY63" s="3" t="str">
        <f t="shared" si="1882"/>
        <v>Outcome Index 7  | Odd 7</v>
      </c>
      <c r="WZ63" s="2">
        <f t="shared" si="1362"/>
        <v>88</v>
      </c>
      <c r="XA63" s="2">
        <f t="shared" si="341"/>
        <v>91</v>
      </c>
      <c r="XB63" s="2">
        <v>4</v>
      </c>
      <c r="XC63" s="207" t="str">
        <f t="shared" si="1883"/>
        <v/>
      </c>
      <c r="XD63" s="208"/>
      <c r="XE63" s="231" t="str">
        <f t="shared" si="1699"/>
        <v/>
      </c>
      <c r="XF63" s="344"/>
      <c r="XG63" s="40"/>
      <c r="XH63" s="62">
        <v>7</v>
      </c>
      <c r="XI63" s="3" t="str">
        <f t="shared" si="1884"/>
        <v>Outcome Index 7  | Odd 7</v>
      </c>
      <c r="XJ63" s="2">
        <f t="shared" si="1363"/>
        <v>88</v>
      </c>
      <c r="XK63" s="2">
        <f t="shared" si="345"/>
        <v>91</v>
      </c>
      <c r="XL63" s="2">
        <v>4</v>
      </c>
      <c r="XM63" s="207" t="str">
        <f t="shared" si="1885"/>
        <v/>
      </c>
      <c r="XN63" s="208"/>
      <c r="XO63" s="231" t="str">
        <f t="shared" si="1701"/>
        <v/>
      </c>
      <c r="XP63" s="344"/>
      <c r="XQ63" s="40"/>
      <c r="XR63" s="62">
        <v>7</v>
      </c>
      <c r="XS63" s="3" t="str">
        <f t="shared" si="1886"/>
        <v>Outcome Index 7  | Odd 7</v>
      </c>
      <c r="XT63" s="2">
        <f t="shared" si="1364"/>
        <v>88</v>
      </c>
      <c r="XU63" s="2">
        <f t="shared" si="349"/>
        <v>91</v>
      </c>
      <c r="XV63" s="2">
        <v>4</v>
      </c>
      <c r="XW63" s="207" t="str">
        <f t="shared" si="1887"/>
        <v/>
      </c>
      <c r="XX63" s="208"/>
      <c r="XY63" s="231" t="str">
        <f t="shared" si="1703"/>
        <v/>
      </c>
      <c r="XZ63" s="344"/>
      <c r="YA63" s="40"/>
      <c r="YB63" s="62">
        <v>7</v>
      </c>
      <c r="YC63" s="3" t="str">
        <f t="shared" si="1888"/>
        <v>Outcome Index 7  | Odd 7</v>
      </c>
      <c r="YD63" s="2">
        <f t="shared" si="1365"/>
        <v>88</v>
      </c>
      <c r="YE63" s="2">
        <f t="shared" si="353"/>
        <v>91</v>
      </c>
      <c r="YF63" s="2">
        <v>4</v>
      </c>
      <c r="YG63" s="207" t="str">
        <f t="shared" si="1889"/>
        <v/>
      </c>
      <c r="YH63" s="208"/>
      <c r="YI63" s="231" t="str">
        <f t="shared" si="1705"/>
        <v/>
      </c>
      <c r="YJ63" s="344"/>
      <c r="YK63" s="40"/>
      <c r="YL63" s="62">
        <v>7</v>
      </c>
      <c r="YM63" s="3" t="str">
        <f t="shared" si="1890"/>
        <v>Outcome Index 7  | Odd 7</v>
      </c>
      <c r="YN63" s="2">
        <f t="shared" si="1366"/>
        <v>88</v>
      </c>
      <c r="YO63" s="2">
        <f t="shared" si="357"/>
        <v>91</v>
      </c>
      <c r="YP63" s="2">
        <v>4</v>
      </c>
      <c r="YQ63" s="207" t="str">
        <f t="shared" si="1891"/>
        <v/>
      </c>
      <c r="YR63" s="208"/>
      <c r="YS63" s="231" t="str">
        <f t="shared" si="1707"/>
        <v/>
      </c>
      <c r="YT63" s="344"/>
      <c r="YU63" s="40"/>
      <c r="YV63" s="62">
        <v>7</v>
      </c>
      <c r="YW63" s="3" t="str">
        <f t="shared" si="1892"/>
        <v>Outcome Index 7  | Odd 7</v>
      </c>
      <c r="YX63" s="2">
        <f t="shared" si="1367"/>
        <v>88</v>
      </c>
      <c r="YY63" s="2">
        <f t="shared" si="361"/>
        <v>91</v>
      </c>
      <c r="YZ63" s="2">
        <v>4</v>
      </c>
      <c r="ZA63" s="207" t="str">
        <f t="shared" si="1893"/>
        <v/>
      </c>
      <c r="ZB63" s="208"/>
      <c r="ZC63" s="231" t="str">
        <f t="shared" si="1709"/>
        <v/>
      </c>
      <c r="ZD63" s="344"/>
      <c r="ZE63" s="40"/>
      <c r="ZF63" s="62">
        <v>7</v>
      </c>
      <c r="ZG63" s="3" t="str">
        <f t="shared" si="1894"/>
        <v>Outcome Index 7  | Odd 7</v>
      </c>
      <c r="ZH63" s="2">
        <f t="shared" si="1368"/>
        <v>88</v>
      </c>
      <c r="ZI63" s="2">
        <f t="shared" si="365"/>
        <v>91</v>
      </c>
      <c r="ZJ63" s="2">
        <v>4</v>
      </c>
      <c r="ZK63" s="207" t="str">
        <f t="shared" si="1895"/>
        <v/>
      </c>
      <c r="ZL63" s="208"/>
      <c r="ZM63" s="231" t="str">
        <f t="shared" si="1711"/>
        <v/>
      </c>
      <c r="ZN63" s="344"/>
      <c r="ZO63" s="40"/>
      <c r="ZP63" s="62">
        <v>7</v>
      </c>
      <c r="ZQ63" s="3" t="str">
        <f t="shared" si="1896"/>
        <v>Outcome Index 7  | Odd 7</v>
      </c>
      <c r="ZR63" s="2">
        <f t="shared" si="1369"/>
        <v>88</v>
      </c>
      <c r="ZS63" s="2">
        <f t="shared" si="369"/>
        <v>91</v>
      </c>
      <c r="ZT63" s="2">
        <v>4</v>
      </c>
      <c r="ZU63" s="207" t="str">
        <f t="shared" si="1897"/>
        <v/>
      </c>
      <c r="ZV63" s="208"/>
      <c r="ZW63" s="231" t="str">
        <f t="shared" si="1713"/>
        <v/>
      </c>
      <c r="ZX63" s="344"/>
      <c r="ZY63" s="40"/>
      <c r="ZZ63" s="62">
        <v>7</v>
      </c>
      <c r="AAA63" s="3" t="str">
        <f t="shared" si="1898"/>
        <v>Outcome Index 7  | Odd 7</v>
      </c>
      <c r="AAB63" s="2">
        <f t="shared" si="1370"/>
        <v>88</v>
      </c>
      <c r="AAC63" s="2">
        <f t="shared" si="373"/>
        <v>91</v>
      </c>
      <c r="AAD63" s="2">
        <v>4</v>
      </c>
      <c r="AAE63" s="207" t="str">
        <f t="shared" si="1899"/>
        <v/>
      </c>
      <c r="AAF63" s="208"/>
      <c r="AAG63" s="231" t="str">
        <f t="shared" si="1715"/>
        <v/>
      </c>
      <c r="AAH63" s="344"/>
      <c r="AAI63" s="40"/>
      <c r="AAJ63" s="62">
        <v>7</v>
      </c>
      <c r="AAK63" s="3" t="str">
        <f t="shared" si="1900"/>
        <v>Outcome Index 7  | Odd 7</v>
      </c>
      <c r="AAL63" s="2">
        <f t="shared" si="1371"/>
        <v>88</v>
      </c>
      <c r="AAM63" s="2">
        <f t="shared" si="377"/>
        <v>91</v>
      </c>
      <c r="AAN63" s="2">
        <v>4</v>
      </c>
      <c r="AAO63" s="207" t="str">
        <f t="shared" si="1901"/>
        <v/>
      </c>
      <c r="AAP63" s="208"/>
      <c r="AAQ63" s="231" t="str">
        <f t="shared" si="1717"/>
        <v/>
      </c>
      <c r="AAR63" s="344"/>
      <c r="AAS63" s="40"/>
      <c r="AAT63" s="62">
        <v>7</v>
      </c>
      <c r="AAU63" s="3" t="str">
        <f t="shared" si="1902"/>
        <v>Outcome Index 7  | Odd 7</v>
      </c>
      <c r="AAV63" s="2">
        <f t="shared" si="1372"/>
        <v>88</v>
      </c>
      <c r="AAW63" s="2">
        <f t="shared" si="381"/>
        <v>91</v>
      </c>
      <c r="AAX63" s="2">
        <v>4</v>
      </c>
      <c r="AAY63" s="207" t="str">
        <f t="shared" si="1903"/>
        <v/>
      </c>
      <c r="AAZ63" s="208"/>
      <c r="ABA63" s="231" t="str">
        <f t="shared" si="1719"/>
        <v/>
      </c>
      <c r="ABB63" s="344"/>
      <c r="ABC63" s="40"/>
      <c r="ABD63" s="62">
        <v>7</v>
      </c>
      <c r="ABE63" s="3" t="str">
        <f t="shared" si="1904"/>
        <v>Outcome Index 7  | Odd 7</v>
      </c>
      <c r="ABF63" s="2">
        <f t="shared" si="1373"/>
        <v>88</v>
      </c>
      <c r="ABG63" s="2">
        <f t="shared" si="385"/>
        <v>91</v>
      </c>
      <c r="ABH63" s="2">
        <v>4</v>
      </c>
      <c r="ABI63" s="207" t="str">
        <f t="shared" si="1905"/>
        <v/>
      </c>
      <c r="ABJ63" s="208"/>
      <c r="ABK63" s="231" t="str">
        <f t="shared" si="1721"/>
        <v/>
      </c>
      <c r="ABL63" s="344"/>
      <c r="ABM63" s="40"/>
      <c r="ABN63" s="62">
        <v>7</v>
      </c>
      <c r="ABO63" s="3" t="str">
        <f t="shared" si="1906"/>
        <v>Outcome Index 7  | Odd 7</v>
      </c>
      <c r="ABP63" s="2">
        <f t="shared" si="1374"/>
        <v>88</v>
      </c>
      <c r="ABQ63" s="2">
        <f t="shared" si="389"/>
        <v>91</v>
      </c>
      <c r="ABR63" s="2">
        <v>4</v>
      </c>
      <c r="ABS63" s="207" t="str">
        <f t="shared" si="1907"/>
        <v/>
      </c>
      <c r="ABT63" s="208"/>
      <c r="ABU63" s="231" t="str">
        <f t="shared" si="1723"/>
        <v/>
      </c>
      <c r="ABV63" s="344"/>
      <c r="ABW63" s="40"/>
      <c r="ABX63" s="62">
        <v>7</v>
      </c>
      <c r="ABY63" s="3" t="str">
        <f t="shared" si="1908"/>
        <v>Outcome Index 7  | Odd 7</v>
      </c>
      <c r="ABZ63" s="2">
        <f t="shared" si="1375"/>
        <v>88</v>
      </c>
      <c r="ACA63" s="2">
        <f t="shared" si="393"/>
        <v>91</v>
      </c>
      <c r="ACB63" s="2">
        <v>4</v>
      </c>
      <c r="ACC63" s="207" t="str">
        <f t="shared" si="1909"/>
        <v/>
      </c>
      <c r="ACD63" s="208"/>
      <c r="ACE63" s="231" t="str">
        <f t="shared" si="1725"/>
        <v/>
      </c>
      <c r="ACF63" s="344"/>
      <c r="ACG63" s="40"/>
      <c r="ACH63" s="62">
        <v>7</v>
      </c>
      <c r="ACI63" s="3" t="str">
        <f t="shared" si="1910"/>
        <v>Outcome Index 7  | Odd 7</v>
      </c>
      <c r="ACJ63" s="2">
        <f t="shared" si="1376"/>
        <v>88</v>
      </c>
      <c r="ACK63" s="2">
        <f t="shared" si="397"/>
        <v>91</v>
      </c>
      <c r="ACL63" s="2">
        <v>4</v>
      </c>
      <c r="ACM63" s="207" t="str">
        <f t="shared" si="1911"/>
        <v/>
      </c>
      <c r="ACN63" s="208"/>
      <c r="ACO63" s="231" t="str">
        <f t="shared" si="1727"/>
        <v/>
      </c>
      <c r="ACP63" s="344"/>
      <c r="ACQ63" s="40"/>
      <c r="ACR63" s="62">
        <v>7</v>
      </c>
      <c r="ACS63" s="3" t="str">
        <f t="shared" si="1912"/>
        <v>Outcome Index 7  | Odd 7</v>
      </c>
      <c r="ACT63" s="2">
        <f t="shared" si="1377"/>
        <v>88</v>
      </c>
      <c r="ACU63" s="2">
        <f t="shared" si="401"/>
        <v>91</v>
      </c>
      <c r="ACV63" s="2">
        <v>4</v>
      </c>
      <c r="ACW63" s="207" t="str">
        <f t="shared" si="1913"/>
        <v/>
      </c>
      <c r="ACX63" s="208"/>
      <c r="ACY63" s="231" t="str">
        <f t="shared" si="1729"/>
        <v/>
      </c>
      <c r="ACZ63" s="344"/>
      <c r="ADA63" s="40"/>
      <c r="ADB63" s="62">
        <v>7</v>
      </c>
      <c r="ADC63" s="3" t="str">
        <f t="shared" si="1914"/>
        <v>Outcome Index 7  | Odd 7</v>
      </c>
      <c r="ADD63" s="2">
        <f t="shared" si="1378"/>
        <v>88</v>
      </c>
      <c r="ADE63" s="2">
        <f t="shared" si="405"/>
        <v>91</v>
      </c>
      <c r="ADF63" s="2">
        <v>4</v>
      </c>
      <c r="ADG63" s="207" t="str">
        <f t="shared" si="1915"/>
        <v/>
      </c>
      <c r="ADH63" s="208"/>
      <c r="ADI63" s="231" t="str">
        <f t="shared" si="1731"/>
        <v/>
      </c>
      <c r="ADJ63" s="344"/>
      <c r="ADK63" s="40"/>
      <c r="ADL63" s="62">
        <v>7</v>
      </c>
      <c r="ADM63" s="3" t="str">
        <f t="shared" si="1916"/>
        <v>Outcome Index 7  | Odd 7</v>
      </c>
      <c r="ADN63" s="2">
        <f t="shared" si="1379"/>
        <v>88</v>
      </c>
      <c r="ADO63" s="2">
        <f t="shared" si="409"/>
        <v>91</v>
      </c>
      <c r="ADP63" s="2">
        <v>4</v>
      </c>
      <c r="ADQ63" s="207" t="str">
        <f t="shared" si="1917"/>
        <v/>
      </c>
      <c r="ADR63" s="208"/>
      <c r="ADS63" s="231" t="str">
        <f t="shared" si="1733"/>
        <v/>
      </c>
      <c r="ADT63" s="344"/>
      <c r="ADU63" s="40"/>
      <c r="ADV63" s="62">
        <v>7</v>
      </c>
      <c r="ADW63" s="3" t="str">
        <f t="shared" si="1918"/>
        <v>Outcome Index 7  | Odd 7</v>
      </c>
      <c r="ADX63" s="2">
        <f t="shared" si="1380"/>
        <v>88</v>
      </c>
      <c r="ADY63" s="2">
        <f t="shared" si="413"/>
        <v>91</v>
      </c>
      <c r="ADZ63" s="2">
        <v>4</v>
      </c>
      <c r="AEA63" s="207" t="str">
        <f t="shared" si="1919"/>
        <v/>
      </c>
      <c r="AEB63" s="208"/>
      <c r="AEC63" s="231" t="str">
        <f t="shared" si="1735"/>
        <v/>
      </c>
      <c r="AED63" s="344"/>
      <c r="AEE63" s="40"/>
      <c r="AEF63" s="62">
        <v>7</v>
      </c>
      <c r="AEG63" s="3" t="str">
        <f t="shared" si="1920"/>
        <v>Outcome Index 7  | Odd 7</v>
      </c>
      <c r="AEH63" s="2">
        <f t="shared" si="1381"/>
        <v>88</v>
      </c>
      <c r="AEI63" s="2">
        <f t="shared" si="417"/>
        <v>91</v>
      </c>
      <c r="AEJ63" s="2">
        <v>4</v>
      </c>
      <c r="AEK63" s="207" t="str">
        <f t="shared" si="1921"/>
        <v/>
      </c>
      <c r="AEL63" s="208"/>
      <c r="AEM63" s="231" t="str">
        <f t="shared" si="1737"/>
        <v/>
      </c>
      <c r="AEN63" s="344"/>
      <c r="AEO63" s="40"/>
      <c r="AEP63" s="62">
        <v>7</v>
      </c>
      <c r="AEQ63" s="3" t="str">
        <f t="shared" si="1922"/>
        <v>Outcome Index 7  | Odd 7</v>
      </c>
      <c r="AER63" s="2">
        <f t="shared" si="1382"/>
        <v>88</v>
      </c>
      <c r="AES63" s="2">
        <f t="shared" si="421"/>
        <v>91</v>
      </c>
      <c r="AET63" s="2">
        <v>4</v>
      </c>
      <c r="AEU63" s="207" t="str">
        <f t="shared" si="1923"/>
        <v/>
      </c>
      <c r="AEV63" s="208"/>
      <c r="AEW63" s="231" t="str">
        <f t="shared" si="1739"/>
        <v/>
      </c>
      <c r="AEX63" s="344"/>
      <c r="AEY63" s="40"/>
      <c r="AEZ63" s="62">
        <v>7</v>
      </c>
      <c r="AFA63" s="3" t="str">
        <f t="shared" si="1924"/>
        <v>Outcome Index 7  | Odd 7</v>
      </c>
      <c r="AFB63" s="2">
        <f t="shared" si="1383"/>
        <v>88</v>
      </c>
      <c r="AFC63" s="2">
        <f t="shared" si="425"/>
        <v>91</v>
      </c>
      <c r="AFD63" s="2">
        <v>4</v>
      </c>
      <c r="AFE63" s="207" t="str">
        <f t="shared" si="1925"/>
        <v/>
      </c>
      <c r="AFF63" s="208"/>
      <c r="AFG63" s="231" t="str">
        <f t="shared" si="1741"/>
        <v/>
      </c>
      <c r="AFH63" s="344"/>
      <c r="AFI63" s="40"/>
      <c r="AFJ63" s="62">
        <v>7</v>
      </c>
      <c r="AFK63" s="3" t="str">
        <f t="shared" si="1926"/>
        <v>Outcome Index 7  | Odd 7</v>
      </c>
      <c r="AFL63" s="2">
        <f t="shared" si="1384"/>
        <v>88</v>
      </c>
      <c r="AFM63" s="2">
        <f t="shared" si="429"/>
        <v>91</v>
      </c>
      <c r="AFN63" s="2">
        <v>4</v>
      </c>
      <c r="AFO63" s="207" t="str">
        <f t="shared" si="1927"/>
        <v/>
      </c>
      <c r="AFP63" s="208"/>
      <c r="AFQ63" s="231" t="str">
        <f t="shared" si="1743"/>
        <v/>
      </c>
      <c r="AFR63" s="344"/>
      <c r="AFS63" s="40"/>
      <c r="AFT63" s="62">
        <v>7</v>
      </c>
      <c r="AFU63" s="3" t="str">
        <f t="shared" si="1928"/>
        <v>Outcome Index 7  | Odd 7</v>
      </c>
      <c r="AFV63" s="2">
        <f t="shared" si="1385"/>
        <v>88</v>
      </c>
      <c r="AFW63" s="2">
        <f t="shared" si="433"/>
        <v>91</v>
      </c>
      <c r="AFX63" s="2">
        <v>4</v>
      </c>
      <c r="AFY63" s="207" t="str">
        <f t="shared" si="1929"/>
        <v/>
      </c>
      <c r="AFZ63" s="208"/>
      <c r="AGA63" s="231" t="str">
        <f t="shared" si="1745"/>
        <v/>
      </c>
      <c r="AGB63" s="344"/>
      <c r="AGC63" s="40"/>
      <c r="AGD63" s="62">
        <v>7</v>
      </c>
      <c r="AGE63" s="3" t="str">
        <f t="shared" si="1930"/>
        <v>Outcome Index 7  | Odd 7</v>
      </c>
      <c r="AGF63" s="2">
        <f t="shared" si="1386"/>
        <v>88</v>
      </c>
      <c r="AGG63" s="2">
        <f t="shared" si="437"/>
        <v>91</v>
      </c>
      <c r="AGH63" s="2">
        <v>4</v>
      </c>
      <c r="AGI63" s="207" t="str">
        <f t="shared" si="1931"/>
        <v/>
      </c>
      <c r="AGJ63" s="208"/>
      <c r="AGK63" s="231" t="str">
        <f t="shared" si="1747"/>
        <v/>
      </c>
      <c r="AGL63" s="344"/>
      <c r="AGM63" s="40"/>
      <c r="AGN63" s="62">
        <v>7</v>
      </c>
      <c r="AGO63" s="3" t="str">
        <f t="shared" si="1932"/>
        <v>Outcome Index 7  | Odd 7</v>
      </c>
      <c r="AGP63" s="2">
        <f t="shared" si="1387"/>
        <v>88</v>
      </c>
      <c r="AGQ63" s="2">
        <f t="shared" si="441"/>
        <v>91</v>
      </c>
      <c r="AGR63" s="2">
        <v>4</v>
      </c>
      <c r="AGS63" s="207" t="str">
        <f t="shared" si="1933"/>
        <v/>
      </c>
      <c r="AGT63" s="208"/>
      <c r="AGU63" s="231" t="str">
        <f t="shared" si="1749"/>
        <v/>
      </c>
      <c r="AGV63" s="344"/>
      <c r="AGW63" s="40"/>
      <c r="AGX63" s="62">
        <v>7</v>
      </c>
      <c r="AGY63" s="3" t="str">
        <f t="shared" si="1934"/>
        <v>Outcome Index 7  | Odd 7</v>
      </c>
      <c r="AGZ63" s="2">
        <f t="shared" si="1388"/>
        <v>88</v>
      </c>
      <c r="AHA63" s="2">
        <f t="shared" si="445"/>
        <v>91</v>
      </c>
      <c r="AHB63" s="2">
        <v>4</v>
      </c>
      <c r="AHC63" s="207" t="str">
        <f t="shared" si="1935"/>
        <v/>
      </c>
      <c r="AHD63" s="208"/>
      <c r="AHE63" s="231" t="str">
        <f t="shared" si="1751"/>
        <v/>
      </c>
      <c r="AHF63" s="344"/>
      <c r="AHG63" s="40"/>
      <c r="AHH63" s="62">
        <v>7</v>
      </c>
      <c r="AHI63" s="3" t="str">
        <f t="shared" si="1936"/>
        <v>Outcome Index 7  | Odd 7</v>
      </c>
      <c r="AHJ63" s="2">
        <f t="shared" si="1389"/>
        <v>88</v>
      </c>
      <c r="AHK63" s="2">
        <f t="shared" si="449"/>
        <v>91</v>
      </c>
      <c r="AHL63" s="2">
        <v>4</v>
      </c>
      <c r="AHM63" s="207" t="str">
        <f t="shared" si="1937"/>
        <v/>
      </c>
      <c r="AHN63" s="208"/>
      <c r="AHO63" s="231" t="str">
        <f t="shared" si="1753"/>
        <v/>
      </c>
      <c r="AHP63" s="344"/>
      <c r="AHQ63" s="40"/>
      <c r="AHR63" s="62">
        <v>7</v>
      </c>
      <c r="AHS63" s="3" t="str">
        <f t="shared" si="1938"/>
        <v>Outcome Index 7  | Odd 7</v>
      </c>
      <c r="AHT63" s="2">
        <f t="shared" si="1390"/>
        <v>88</v>
      </c>
      <c r="AHU63" s="2">
        <f t="shared" si="453"/>
        <v>91</v>
      </c>
      <c r="AHV63" s="2">
        <v>4</v>
      </c>
      <c r="AHW63" s="207" t="str">
        <f t="shared" si="1939"/>
        <v/>
      </c>
      <c r="AHX63" s="208"/>
      <c r="AHY63" s="231" t="str">
        <f t="shared" si="1755"/>
        <v/>
      </c>
      <c r="AHZ63" s="344"/>
      <c r="AIA63" s="40"/>
      <c r="AIB63" s="62">
        <v>7</v>
      </c>
      <c r="AIC63" s="3" t="str">
        <f t="shared" si="1940"/>
        <v>Outcome Index 7  | Odd 7</v>
      </c>
      <c r="AID63" s="2">
        <f t="shared" si="1391"/>
        <v>88</v>
      </c>
      <c r="AIE63" s="2">
        <f t="shared" si="457"/>
        <v>91</v>
      </c>
      <c r="AIF63" s="2">
        <v>4</v>
      </c>
      <c r="AIG63" s="207" t="str">
        <f t="shared" si="1941"/>
        <v/>
      </c>
      <c r="AIH63" s="208"/>
      <c r="AII63" s="231" t="str">
        <f t="shared" si="1757"/>
        <v/>
      </c>
      <c r="AIJ63" s="344"/>
      <c r="AIK63" s="40"/>
      <c r="AIL63" s="62">
        <v>7</v>
      </c>
      <c r="AIM63" s="3" t="str">
        <f t="shared" si="1942"/>
        <v>Outcome Index 7  | Odd 7</v>
      </c>
      <c r="AIN63" s="2">
        <f t="shared" si="1392"/>
        <v>88</v>
      </c>
      <c r="AIO63" s="2">
        <f t="shared" si="461"/>
        <v>91</v>
      </c>
      <c r="AIP63" s="2">
        <v>4</v>
      </c>
      <c r="AIQ63" s="207" t="str">
        <f t="shared" si="1943"/>
        <v/>
      </c>
      <c r="AIR63" s="208"/>
      <c r="AIS63" s="231" t="str">
        <f t="shared" si="1759"/>
        <v/>
      </c>
      <c r="AIT63" s="344"/>
      <c r="AIU63" s="40"/>
      <c r="AIV63" s="62">
        <v>7</v>
      </c>
      <c r="AIW63" s="3" t="str">
        <f t="shared" si="1944"/>
        <v>Outcome Index 7  | Odd 7</v>
      </c>
      <c r="AIX63" s="2">
        <f t="shared" si="1393"/>
        <v>88</v>
      </c>
      <c r="AIY63" s="2">
        <f t="shared" si="465"/>
        <v>91</v>
      </c>
      <c r="AIZ63" s="2">
        <v>4</v>
      </c>
      <c r="AJA63" s="207" t="str">
        <f t="shared" si="1945"/>
        <v/>
      </c>
      <c r="AJB63" s="208"/>
      <c r="AJC63" s="231" t="str">
        <f t="shared" si="1761"/>
        <v/>
      </c>
      <c r="AJD63" s="344"/>
    </row>
    <row r="64" spans="1:940">
      <c r="B64" s="42">
        <v>8</v>
      </c>
      <c r="C64" s="19" t="str">
        <f t="shared" si="1946"/>
        <v>Outcome Index 8  | Odd 8</v>
      </c>
      <c r="D64" s="18">
        <f t="shared" si="561"/>
        <v>92</v>
      </c>
      <c r="E64" s="18">
        <f t="shared" si="1947"/>
        <v>95</v>
      </c>
      <c r="F64" s="18">
        <v>4</v>
      </c>
      <c r="G64" s="301" t="str">
        <f t="shared" si="1948"/>
        <v/>
      </c>
      <c r="H64" s="301"/>
      <c r="I64" s="302" t="str">
        <f t="shared" si="1949"/>
        <v/>
      </c>
      <c r="J64" s="305"/>
      <c r="K64" s="40"/>
      <c r="L64" s="62">
        <v>8</v>
      </c>
      <c r="M64" s="19" t="str">
        <f t="shared" si="1950"/>
        <v>Outcome Index 8  | Odd 8</v>
      </c>
      <c r="N64" s="18">
        <f t="shared" si="562"/>
        <v>92</v>
      </c>
      <c r="O64" s="18">
        <f t="shared" si="97"/>
        <v>95</v>
      </c>
      <c r="P64" s="18">
        <v>4</v>
      </c>
      <c r="Q64" s="303" t="str">
        <f t="shared" si="1951"/>
        <v/>
      </c>
      <c r="R64" s="304"/>
      <c r="S64" s="302" t="str">
        <f t="shared" si="1952"/>
        <v/>
      </c>
      <c r="T64" s="349"/>
      <c r="U64" s="40"/>
      <c r="V64" s="62">
        <v>8</v>
      </c>
      <c r="W64" s="19" t="str">
        <f t="shared" si="1762"/>
        <v>Outcome Index 8  | Odd 8</v>
      </c>
      <c r="X64" s="18">
        <f t="shared" si="1302"/>
        <v>92</v>
      </c>
      <c r="Y64" s="18">
        <f t="shared" si="101"/>
        <v>95</v>
      </c>
      <c r="Z64" s="18">
        <v>4</v>
      </c>
      <c r="AA64" s="303" t="str">
        <f t="shared" si="1763"/>
        <v/>
      </c>
      <c r="AB64" s="304"/>
      <c r="AC64" s="302" t="str">
        <f t="shared" si="1579"/>
        <v/>
      </c>
      <c r="AD64" s="349"/>
      <c r="AE64" s="40"/>
      <c r="AF64" s="62">
        <v>8</v>
      </c>
      <c r="AG64" s="19" t="str">
        <f t="shared" si="1764"/>
        <v>Outcome Index 8  | Odd 8</v>
      </c>
      <c r="AH64" s="18">
        <f t="shared" si="1303"/>
        <v>92</v>
      </c>
      <c r="AI64" s="18">
        <f t="shared" si="105"/>
        <v>95</v>
      </c>
      <c r="AJ64" s="18">
        <v>4</v>
      </c>
      <c r="AK64" s="303" t="str">
        <f t="shared" si="1765"/>
        <v/>
      </c>
      <c r="AL64" s="304"/>
      <c r="AM64" s="302" t="str">
        <f t="shared" si="1581"/>
        <v/>
      </c>
      <c r="AN64" s="349"/>
      <c r="AO64" s="40"/>
      <c r="AP64" s="62">
        <v>8</v>
      </c>
      <c r="AQ64" s="19" t="str">
        <f t="shared" si="1766"/>
        <v>Outcome Index 8  | Odd 8</v>
      </c>
      <c r="AR64" s="18">
        <f t="shared" si="1304"/>
        <v>92</v>
      </c>
      <c r="AS64" s="18">
        <f t="shared" si="109"/>
        <v>95</v>
      </c>
      <c r="AT64" s="18">
        <v>4</v>
      </c>
      <c r="AU64" s="303" t="str">
        <f t="shared" si="1767"/>
        <v/>
      </c>
      <c r="AV64" s="304"/>
      <c r="AW64" s="302" t="str">
        <f t="shared" si="1583"/>
        <v/>
      </c>
      <c r="AX64" s="349"/>
      <c r="AY64" s="40"/>
      <c r="AZ64" s="62">
        <v>8</v>
      </c>
      <c r="BA64" s="19" t="str">
        <f t="shared" si="1768"/>
        <v>Outcome Index 8  | Odd 8</v>
      </c>
      <c r="BB64" s="18">
        <f t="shared" si="1305"/>
        <v>92</v>
      </c>
      <c r="BC64" s="18">
        <f t="shared" si="113"/>
        <v>95</v>
      </c>
      <c r="BD64" s="18">
        <v>4</v>
      </c>
      <c r="BE64" s="303" t="str">
        <f t="shared" si="1769"/>
        <v/>
      </c>
      <c r="BF64" s="304"/>
      <c r="BG64" s="302" t="str">
        <f t="shared" si="1585"/>
        <v/>
      </c>
      <c r="BH64" s="349"/>
      <c r="BI64" s="40"/>
      <c r="BJ64" s="62">
        <v>8</v>
      </c>
      <c r="BK64" s="19" t="str">
        <f t="shared" si="1770"/>
        <v>Outcome Index 8  | Odd 8</v>
      </c>
      <c r="BL64" s="18">
        <f t="shared" si="1306"/>
        <v>92</v>
      </c>
      <c r="BM64" s="18">
        <f t="shared" si="117"/>
        <v>95</v>
      </c>
      <c r="BN64" s="18">
        <v>4</v>
      </c>
      <c r="BO64" s="303" t="str">
        <f t="shared" si="1771"/>
        <v/>
      </c>
      <c r="BP64" s="304"/>
      <c r="BQ64" s="302" t="str">
        <f t="shared" si="1587"/>
        <v/>
      </c>
      <c r="BR64" s="349"/>
      <c r="BS64" s="40"/>
      <c r="BT64" s="62">
        <v>8</v>
      </c>
      <c r="BU64" s="19" t="str">
        <f t="shared" si="1772"/>
        <v>Outcome Index 8  | Odd 8</v>
      </c>
      <c r="BV64" s="18">
        <f t="shared" si="1307"/>
        <v>92</v>
      </c>
      <c r="BW64" s="18">
        <f t="shared" si="121"/>
        <v>95</v>
      </c>
      <c r="BX64" s="18">
        <v>4</v>
      </c>
      <c r="BY64" s="303" t="str">
        <f t="shared" si="1773"/>
        <v/>
      </c>
      <c r="BZ64" s="304"/>
      <c r="CA64" s="302" t="str">
        <f t="shared" si="1589"/>
        <v/>
      </c>
      <c r="CB64" s="349"/>
      <c r="CC64" s="40"/>
      <c r="CD64" s="62">
        <v>8</v>
      </c>
      <c r="CE64" s="19" t="str">
        <f t="shared" si="1774"/>
        <v>Outcome Index 8  | Odd 8</v>
      </c>
      <c r="CF64" s="18">
        <f t="shared" si="1308"/>
        <v>92</v>
      </c>
      <c r="CG64" s="18">
        <f t="shared" si="125"/>
        <v>95</v>
      </c>
      <c r="CH64" s="18">
        <v>4</v>
      </c>
      <c r="CI64" s="303" t="str">
        <f t="shared" si="1775"/>
        <v/>
      </c>
      <c r="CJ64" s="304"/>
      <c r="CK64" s="302" t="str">
        <f t="shared" si="1591"/>
        <v/>
      </c>
      <c r="CL64" s="349"/>
      <c r="CM64" s="40"/>
      <c r="CN64" s="62">
        <v>8</v>
      </c>
      <c r="CO64" s="19" t="str">
        <f t="shared" si="1776"/>
        <v>Outcome Index 8  | Odd 8</v>
      </c>
      <c r="CP64" s="18">
        <f t="shared" si="1309"/>
        <v>92</v>
      </c>
      <c r="CQ64" s="18">
        <f t="shared" si="129"/>
        <v>95</v>
      </c>
      <c r="CR64" s="18">
        <v>4</v>
      </c>
      <c r="CS64" s="303" t="str">
        <f t="shared" si="1777"/>
        <v/>
      </c>
      <c r="CT64" s="304"/>
      <c r="CU64" s="302" t="str">
        <f t="shared" si="1593"/>
        <v/>
      </c>
      <c r="CV64" s="349"/>
      <c r="CW64" s="40"/>
      <c r="CX64" s="62">
        <v>8</v>
      </c>
      <c r="CY64" s="19" t="str">
        <f t="shared" si="1778"/>
        <v>Outcome Index 8  | Odd 8</v>
      </c>
      <c r="CZ64" s="18">
        <f t="shared" si="1310"/>
        <v>92</v>
      </c>
      <c r="DA64" s="18">
        <f t="shared" si="133"/>
        <v>95</v>
      </c>
      <c r="DB64" s="18">
        <v>4</v>
      </c>
      <c r="DC64" s="303" t="str">
        <f t="shared" si="1779"/>
        <v/>
      </c>
      <c r="DD64" s="304"/>
      <c r="DE64" s="302" t="str">
        <f t="shared" si="1595"/>
        <v/>
      </c>
      <c r="DF64" s="349"/>
      <c r="DG64" s="40"/>
      <c r="DH64" s="62">
        <v>8</v>
      </c>
      <c r="DI64" s="19" t="str">
        <f t="shared" si="1780"/>
        <v>Outcome Index 8  | Odd 8</v>
      </c>
      <c r="DJ64" s="18">
        <f t="shared" si="1311"/>
        <v>92</v>
      </c>
      <c r="DK64" s="18">
        <f t="shared" si="137"/>
        <v>95</v>
      </c>
      <c r="DL64" s="18">
        <v>4</v>
      </c>
      <c r="DM64" s="303" t="str">
        <f t="shared" si="1781"/>
        <v/>
      </c>
      <c r="DN64" s="304"/>
      <c r="DO64" s="302" t="str">
        <f t="shared" si="1597"/>
        <v/>
      </c>
      <c r="DP64" s="349"/>
      <c r="DQ64" s="40"/>
      <c r="DR64" s="62">
        <v>8</v>
      </c>
      <c r="DS64" s="19" t="str">
        <f t="shared" si="1782"/>
        <v>Outcome Index 8  | Odd 8</v>
      </c>
      <c r="DT64" s="18">
        <f t="shared" si="1312"/>
        <v>92</v>
      </c>
      <c r="DU64" s="18">
        <f t="shared" si="141"/>
        <v>95</v>
      </c>
      <c r="DV64" s="18">
        <v>4</v>
      </c>
      <c r="DW64" s="303" t="str">
        <f t="shared" si="1783"/>
        <v/>
      </c>
      <c r="DX64" s="304"/>
      <c r="DY64" s="302" t="str">
        <f t="shared" si="1599"/>
        <v/>
      </c>
      <c r="DZ64" s="349"/>
      <c r="EA64" s="40"/>
      <c r="EB64" s="62">
        <v>8</v>
      </c>
      <c r="EC64" s="19" t="str">
        <f t="shared" si="1784"/>
        <v>Outcome Index 8  | Odd 8</v>
      </c>
      <c r="ED64" s="18">
        <f t="shared" si="1313"/>
        <v>92</v>
      </c>
      <c r="EE64" s="18">
        <f t="shared" si="145"/>
        <v>95</v>
      </c>
      <c r="EF64" s="18">
        <v>4</v>
      </c>
      <c r="EG64" s="303" t="str">
        <f t="shared" si="1785"/>
        <v/>
      </c>
      <c r="EH64" s="304"/>
      <c r="EI64" s="302" t="str">
        <f t="shared" si="1601"/>
        <v/>
      </c>
      <c r="EJ64" s="349"/>
      <c r="EK64" s="40"/>
      <c r="EL64" s="62">
        <v>8</v>
      </c>
      <c r="EM64" s="19" t="str">
        <f t="shared" si="1786"/>
        <v>Outcome Index 8  | Odd 8</v>
      </c>
      <c r="EN64" s="18">
        <f t="shared" si="1314"/>
        <v>92</v>
      </c>
      <c r="EO64" s="18">
        <f t="shared" si="149"/>
        <v>95</v>
      </c>
      <c r="EP64" s="18">
        <v>4</v>
      </c>
      <c r="EQ64" s="303" t="str">
        <f t="shared" si="1787"/>
        <v/>
      </c>
      <c r="ER64" s="304"/>
      <c r="ES64" s="302" t="str">
        <f t="shared" si="1603"/>
        <v/>
      </c>
      <c r="ET64" s="349"/>
      <c r="EU64" s="40"/>
      <c r="EV64" s="62">
        <v>8</v>
      </c>
      <c r="EW64" s="19" t="str">
        <f t="shared" si="1788"/>
        <v>Outcome Index 8  | Odd 8</v>
      </c>
      <c r="EX64" s="18">
        <f t="shared" si="1315"/>
        <v>92</v>
      </c>
      <c r="EY64" s="18">
        <f t="shared" si="153"/>
        <v>95</v>
      </c>
      <c r="EZ64" s="18">
        <v>4</v>
      </c>
      <c r="FA64" s="303" t="str">
        <f t="shared" si="1789"/>
        <v/>
      </c>
      <c r="FB64" s="304"/>
      <c r="FC64" s="302" t="str">
        <f t="shared" si="1605"/>
        <v/>
      </c>
      <c r="FD64" s="349"/>
      <c r="FE64" s="40"/>
      <c r="FF64" s="62">
        <v>8</v>
      </c>
      <c r="FG64" s="19" t="str">
        <f t="shared" si="1790"/>
        <v>Outcome Index 8  | Odd 8</v>
      </c>
      <c r="FH64" s="18">
        <f t="shared" si="1316"/>
        <v>92</v>
      </c>
      <c r="FI64" s="18">
        <f t="shared" si="157"/>
        <v>95</v>
      </c>
      <c r="FJ64" s="18">
        <v>4</v>
      </c>
      <c r="FK64" s="303" t="str">
        <f t="shared" si="1791"/>
        <v/>
      </c>
      <c r="FL64" s="304"/>
      <c r="FM64" s="302" t="str">
        <f t="shared" si="1607"/>
        <v/>
      </c>
      <c r="FN64" s="349"/>
      <c r="FO64" s="40"/>
      <c r="FP64" s="62">
        <v>8</v>
      </c>
      <c r="FQ64" s="19" t="str">
        <f t="shared" si="1792"/>
        <v>Outcome Index 8  | Odd 8</v>
      </c>
      <c r="FR64" s="18">
        <f t="shared" si="1317"/>
        <v>92</v>
      </c>
      <c r="FS64" s="18">
        <f t="shared" si="161"/>
        <v>95</v>
      </c>
      <c r="FT64" s="18">
        <v>4</v>
      </c>
      <c r="FU64" s="303" t="str">
        <f t="shared" si="1793"/>
        <v/>
      </c>
      <c r="FV64" s="304"/>
      <c r="FW64" s="302" t="str">
        <f t="shared" si="1609"/>
        <v/>
      </c>
      <c r="FX64" s="349"/>
      <c r="FY64" s="40"/>
      <c r="FZ64" s="62">
        <v>8</v>
      </c>
      <c r="GA64" s="19" t="str">
        <f t="shared" si="1794"/>
        <v>Outcome Index 8  | Odd 8</v>
      </c>
      <c r="GB64" s="18">
        <f t="shared" si="1318"/>
        <v>92</v>
      </c>
      <c r="GC64" s="18">
        <f t="shared" si="165"/>
        <v>95</v>
      </c>
      <c r="GD64" s="18">
        <v>4</v>
      </c>
      <c r="GE64" s="303" t="str">
        <f t="shared" si="1795"/>
        <v/>
      </c>
      <c r="GF64" s="304"/>
      <c r="GG64" s="302" t="str">
        <f t="shared" si="1611"/>
        <v/>
      </c>
      <c r="GH64" s="349"/>
      <c r="GI64" s="40"/>
      <c r="GJ64" s="62">
        <v>8</v>
      </c>
      <c r="GK64" s="19" t="str">
        <f t="shared" si="1796"/>
        <v>Outcome Index 8  | Odd 8</v>
      </c>
      <c r="GL64" s="18">
        <f t="shared" si="1319"/>
        <v>92</v>
      </c>
      <c r="GM64" s="18">
        <f t="shared" si="169"/>
        <v>95</v>
      </c>
      <c r="GN64" s="18">
        <v>4</v>
      </c>
      <c r="GO64" s="303" t="str">
        <f t="shared" si="1797"/>
        <v/>
      </c>
      <c r="GP64" s="304"/>
      <c r="GQ64" s="302" t="str">
        <f t="shared" si="1613"/>
        <v/>
      </c>
      <c r="GR64" s="349"/>
      <c r="GS64" s="40"/>
      <c r="GT64" s="62">
        <v>8</v>
      </c>
      <c r="GU64" s="19" t="str">
        <f t="shared" si="1798"/>
        <v>Outcome Index 8  | Odd 8</v>
      </c>
      <c r="GV64" s="18">
        <f t="shared" si="1320"/>
        <v>92</v>
      </c>
      <c r="GW64" s="18">
        <f t="shared" si="173"/>
        <v>95</v>
      </c>
      <c r="GX64" s="18">
        <v>4</v>
      </c>
      <c r="GY64" s="303" t="str">
        <f t="shared" si="1799"/>
        <v/>
      </c>
      <c r="GZ64" s="304"/>
      <c r="HA64" s="302" t="str">
        <f t="shared" si="1615"/>
        <v/>
      </c>
      <c r="HB64" s="349"/>
      <c r="HC64" s="40"/>
      <c r="HD64" s="62">
        <v>8</v>
      </c>
      <c r="HE64" s="19" t="str">
        <f t="shared" si="1800"/>
        <v>Outcome Index 8  | Odd 8</v>
      </c>
      <c r="HF64" s="18">
        <f t="shared" si="1321"/>
        <v>92</v>
      </c>
      <c r="HG64" s="18">
        <f t="shared" si="177"/>
        <v>95</v>
      </c>
      <c r="HH64" s="18">
        <v>4</v>
      </c>
      <c r="HI64" s="303" t="str">
        <f t="shared" si="1801"/>
        <v/>
      </c>
      <c r="HJ64" s="304"/>
      <c r="HK64" s="302" t="str">
        <f t="shared" si="1617"/>
        <v/>
      </c>
      <c r="HL64" s="349"/>
      <c r="HM64" s="40"/>
      <c r="HN64" s="62">
        <v>8</v>
      </c>
      <c r="HO64" s="19" t="str">
        <f t="shared" si="1802"/>
        <v>Outcome Index 8  | Odd 8</v>
      </c>
      <c r="HP64" s="18">
        <f t="shared" si="1322"/>
        <v>92</v>
      </c>
      <c r="HQ64" s="18">
        <f t="shared" si="181"/>
        <v>95</v>
      </c>
      <c r="HR64" s="18">
        <v>4</v>
      </c>
      <c r="HS64" s="303" t="str">
        <f t="shared" si="1803"/>
        <v/>
      </c>
      <c r="HT64" s="304"/>
      <c r="HU64" s="302" t="str">
        <f t="shared" si="1619"/>
        <v/>
      </c>
      <c r="HV64" s="349"/>
      <c r="HW64" s="40"/>
      <c r="HX64" s="62">
        <v>8</v>
      </c>
      <c r="HY64" s="19" t="str">
        <f t="shared" si="1804"/>
        <v>Outcome Index 8  | Odd 8</v>
      </c>
      <c r="HZ64" s="18">
        <f t="shared" si="1323"/>
        <v>92</v>
      </c>
      <c r="IA64" s="18">
        <f t="shared" si="185"/>
        <v>95</v>
      </c>
      <c r="IB64" s="18">
        <v>4</v>
      </c>
      <c r="IC64" s="303" t="str">
        <f t="shared" si="1805"/>
        <v/>
      </c>
      <c r="ID64" s="304"/>
      <c r="IE64" s="302" t="str">
        <f t="shared" si="1621"/>
        <v/>
      </c>
      <c r="IF64" s="349"/>
      <c r="IG64" s="40"/>
      <c r="IH64" s="62">
        <v>8</v>
      </c>
      <c r="II64" s="19" t="str">
        <f t="shared" si="1806"/>
        <v>Outcome Index 8  | Odd 8</v>
      </c>
      <c r="IJ64" s="18">
        <f t="shared" si="1324"/>
        <v>92</v>
      </c>
      <c r="IK64" s="18">
        <f t="shared" si="189"/>
        <v>95</v>
      </c>
      <c r="IL64" s="18">
        <v>4</v>
      </c>
      <c r="IM64" s="303" t="str">
        <f t="shared" si="1807"/>
        <v/>
      </c>
      <c r="IN64" s="304"/>
      <c r="IO64" s="302" t="str">
        <f t="shared" si="1623"/>
        <v/>
      </c>
      <c r="IP64" s="349"/>
      <c r="IQ64" s="40"/>
      <c r="IR64" s="62">
        <v>8</v>
      </c>
      <c r="IS64" s="19" t="str">
        <f t="shared" si="1808"/>
        <v>Outcome Index 8  | Odd 8</v>
      </c>
      <c r="IT64" s="18">
        <f t="shared" si="1325"/>
        <v>92</v>
      </c>
      <c r="IU64" s="18">
        <f t="shared" si="193"/>
        <v>95</v>
      </c>
      <c r="IV64" s="18">
        <v>4</v>
      </c>
      <c r="IW64" s="303" t="str">
        <f t="shared" si="1809"/>
        <v/>
      </c>
      <c r="IX64" s="304"/>
      <c r="IY64" s="302" t="str">
        <f t="shared" si="1625"/>
        <v/>
      </c>
      <c r="IZ64" s="349"/>
      <c r="JA64" s="40"/>
      <c r="JB64" s="62">
        <v>8</v>
      </c>
      <c r="JC64" s="19" t="str">
        <f t="shared" si="1810"/>
        <v>Outcome Index 8  | Odd 8</v>
      </c>
      <c r="JD64" s="18">
        <f t="shared" si="1326"/>
        <v>92</v>
      </c>
      <c r="JE64" s="18">
        <f t="shared" si="197"/>
        <v>95</v>
      </c>
      <c r="JF64" s="18">
        <v>4</v>
      </c>
      <c r="JG64" s="303" t="str">
        <f t="shared" si="1811"/>
        <v/>
      </c>
      <c r="JH64" s="304"/>
      <c r="JI64" s="302" t="str">
        <f t="shared" si="1627"/>
        <v/>
      </c>
      <c r="JJ64" s="349"/>
      <c r="JK64" s="40"/>
      <c r="JL64" s="62">
        <v>8</v>
      </c>
      <c r="JM64" s="19" t="str">
        <f t="shared" si="1812"/>
        <v>Outcome Index 8  | Odd 8</v>
      </c>
      <c r="JN64" s="18">
        <f t="shared" si="1327"/>
        <v>92</v>
      </c>
      <c r="JO64" s="18">
        <f t="shared" si="201"/>
        <v>95</v>
      </c>
      <c r="JP64" s="18">
        <v>4</v>
      </c>
      <c r="JQ64" s="303" t="str">
        <f t="shared" si="1813"/>
        <v/>
      </c>
      <c r="JR64" s="304"/>
      <c r="JS64" s="302" t="str">
        <f t="shared" si="1629"/>
        <v/>
      </c>
      <c r="JT64" s="349"/>
      <c r="JU64" s="40"/>
      <c r="JV64" s="62">
        <v>8</v>
      </c>
      <c r="JW64" s="19" t="str">
        <f t="shared" si="1814"/>
        <v>Outcome Index 8  | Odd 8</v>
      </c>
      <c r="JX64" s="18">
        <f t="shared" si="1328"/>
        <v>92</v>
      </c>
      <c r="JY64" s="18">
        <f t="shared" si="205"/>
        <v>95</v>
      </c>
      <c r="JZ64" s="18">
        <v>4</v>
      </c>
      <c r="KA64" s="303" t="str">
        <f t="shared" si="1815"/>
        <v/>
      </c>
      <c r="KB64" s="304"/>
      <c r="KC64" s="302" t="str">
        <f t="shared" si="1631"/>
        <v/>
      </c>
      <c r="KD64" s="349"/>
      <c r="KE64" s="40"/>
      <c r="KF64" s="62">
        <v>8</v>
      </c>
      <c r="KG64" s="19" t="str">
        <f t="shared" si="1816"/>
        <v>Outcome Index 8  | Odd 8</v>
      </c>
      <c r="KH64" s="18">
        <f t="shared" si="1329"/>
        <v>92</v>
      </c>
      <c r="KI64" s="18">
        <f t="shared" si="209"/>
        <v>95</v>
      </c>
      <c r="KJ64" s="18">
        <v>4</v>
      </c>
      <c r="KK64" s="303" t="str">
        <f t="shared" si="1817"/>
        <v/>
      </c>
      <c r="KL64" s="304"/>
      <c r="KM64" s="302" t="str">
        <f t="shared" si="1633"/>
        <v/>
      </c>
      <c r="KN64" s="349"/>
      <c r="KO64" s="40"/>
      <c r="KP64" s="62">
        <v>8</v>
      </c>
      <c r="KQ64" s="19" t="str">
        <f t="shared" si="1818"/>
        <v>Outcome Index 8  | Odd 8</v>
      </c>
      <c r="KR64" s="18">
        <f t="shared" si="1330"/>
        <v>92</v>
      </c>
      <c r="KS64" s="18">
        <f t="shared" si="213"/>
        <v>95</v>
      </c>
      <c r="KT64" s="18">
        <v>4</v>
      </c>
      <c r="KU64" s="303" t="str">
        <f t="shared" si="1819"/>
        <v/>
      </c>
      <c r="KV64" s="304"/>
      <c r="KW64" s="302" t="str">
        <f t="shared" si="1635"/>
        <v/>
      </c>
      <c r="KX64" s="349"/>
      <c r="KY64" s="40"/>
      <c r="KZ64" s="62">
        <v>8</v>
      </c>
      <c r="LA64" s="19" t="str">
        <f t="shared" si="1820"/>
        <v>Outcome Index 8  | Odd 8</v>
      </c>
      <c r="LB64" s="18">
        <f t="shared" si="1331"/>
        <v>92</v>
      </c>
      <c r="LC64" s="18">
        <f t="shared" si="217"/>
        <v>95</v>
      </c>
      <c r="LD64" s="18">
        <v>4</v>
      </c>
      <c r="LE64" s="303" t="str">
        <f t="shared" si="1821"/>
        <v/>
      </c>
      <c r="LF64" s="304"/>
      <c r="LG64" s="302" t="str">
        <f t="shared" si="1637"/>
        <v/>
      </c>
      <c r="LH64" s="349"/>
      <c r="LI64" s="40"/>
      <c r="LJ64" s="62">
        <v>8</v>
      </c>
      <c r="LK64" s="19" t="str">
        <f t="shared" si="1822"/>
        <v>Outcome Index 8  | Odd 8</v>
      </c>
      <c r="LL64" s="18">
        <f t="shared" si="1332"/>
        <v>92</v>
      </c>
      <c r="LM64" s="18">
        <f t="shared" si="221"/>
        <v>95</v>
      </c>
      <c r="LN64" s="18">
        <v>4</v>
      </c>
      <c r="LO64" s="303" t="str">
        <f t="shared" si="1823"/>
        <v/>
      </c>
      <c r="LP64" s="304"/>
      <c r="LQ64" s="302" t="str">
        <f t="shared" si="1639"/>
        <v/>
      </c>
      <c r="LR64" s="349"/>
      <c r="LS64" s="40"/>
      <c r="LT64" s="62">
        <v>8</v>
      </c>
      <c r="LU64" s="19" t="str">
        <f t="shared" si="1824"/>
        <v>Outcome Index 8  | Odd 8</v>
      </c>
      <c r="LV64" s="18">
        <f t="shared" si="1333"/>
        <v>92</v>
      </c>
      <c r="LW64" s="18">
        <f t="shared" si="225"/>
        <v>95</v>
      </c>
      <c r="LX64" s="18">
        <v>4</v>
      </c>
      <c r="LY64" s="303" t="str">
        <f t="shared" si="1825"/>
        <v/>
      </c>
      <c r="LZ64" s="304"/>
      <c r="MA64" s="302" t="str">
        <f t="shared" si="1641"/>
        <v/>
      </c>
      <c r="MB64" s="349"/>
      <c r="MC64" s="40"/>
      <c r="MD64" s="62">
        <v>8</v>
      </c>
      <c r="ME64" s="19" t="str">
        <f t="shared" si="1826"/>
        <v>Outcome Index 8  | Odd 8</v>
      </c>
      <c r="MF64" s="18">
        <f t="shared" si="1334"/>
        <v>92</v>
      </c>
      <c r="MG64" s="18">
        <f t="shared" si="229"/>
        <v>95</v>
      </c>
      <c r="MH64" s="18">
        <v>4</v>
      </c>
      <c r="MI64" s="303" t="str">
        <f t="shared" si="1827"/>
        <v/>
      </c>
      <c r="MJ64" s="304"/>
      <c r="MK64" s="302" t="str">
        <f t="shared" si="1643"/>
        <v/>
      </c>
      <c r="ML64" s="349"/>
      <c r="MM64" s="40"/>
      <c r="MN64" s="62">
        <v>8</v>
      </c>
      <c r="MO64" s="19" t="str">
        <f t="shared" si="1828"/>
        <v>Outcome Index 8  | Odd 8</v>
      </c>
      <c r="MP64" s="18">
        <f t="shared" si="1335"/>
        <v>92</v>
      </c>
      <c r="MQ64" s="18">
        <f t="shared" si="233"/>
        <v>95</v>
      </c>
      <c r="MR64" s="18">
        <v>4</v>
      </c>
      <c r="MS64" s="303" t="str">
        <f t="shared" si="1829"/>
        <v/>
      </c>
      <c r="MT64" s="304"/>
      <c r="MU64" s="302" t="str">
        <f t="shared" si="1645"/>
        <v/>
      </c>
      <c r="MV64" s="349"/>
      <c r="MW64" s="40"/>
      <c r="MX64" s="62">
        <v>8</v>
      </c>
      <c r="MY64" s="19" t="str">
        <f t="shared" si="1830"/>
        <v>Outcome Index 8  | Odd 8</v>
      </c>
      <c r="MZ64" s="18">
        <f t="shared" si="1336"/>
        <v>92</v>
      </c>
      <c r="NA64" s="18">
        <f t="shared" si="237"/>
        <v>95</v>
      </c>
      <c r="NB64" s="18">
        <v>4</v>
      </c>
      <c r="NC64" s="303" t="str">
        <f t="shared" si="1831"/>
        <v/>
      </c>
      <c r="ND64" s="304"/>
      <c r="NE64" s="302" t="str">
        <f t="shared" si="1647"/>
        <v/>
      </c>
      <c r="NF64" s="349"/>
      <c r="NG64" s="40"/>
      <c r="NH64" s="62">
        <v>8</v>
      </c>
      <c r="NI64" s="19" t="str">
        <f t="shared" si="1832"/>
        <v>Outcome Index 8  | Odd 8</v>
      </c>
      <c r="NJ64" s="18">
        <f t="shared" si="1337"/>
        <v>92</v>
      </c>
      <c r="NK64" s="18">
        <f t="shared" si="241"/>
        <v>95</v>
      </c>
      <c r="NL64" s="18">
        <v>4</v>
      </c>
      <c r="NM64" s="303" t="str">
        <f t="shared" si="1833"/>
        <v/>
      </c>
      <c r="NN64" s="304"/>
      <c r="NO64" s="302" t="str">
        <f t="shared" si="1649"/>
        <v/>
      </c>
      <c r="NP64" s="349"/>
      <c r="NQ64" s="40"/>
      <c r="NR64" s="62">
        <v>8</v>
      </c>
      <c r="NS64" s="19" t="str">
        <f t="shared" si="1834"/>
        <v>Outcome Index 8  | Odd 8</v>
      </c>
      <c r="NT64" s="18">
        <f t="shared" si="1338"/>
        <v>92</v>
      </c>
      <c r="NU64" s="18">
        <f t="shared" si="245"/>
        <v>95</v>
      </c>
      <c r="NV64" s="18">
        <v>4</v>
      </c>
      <c r="NW64" s="303" t="str">
        <f t="shared" si="1835"/>
        <v/>
      </c>
      <c r="NX64" s="304"/>
      <c r="NY64" s="302" t="str">
        <f t="shared" si="1651"/>
        <v/>
      </c>
      <c r="NZ64" s="349"/>
      <c r="OA64" s="40"/>
      <c r="OB64" s="62">
        <v>8</v>
      </c>
      <c r="OC64" s="19" t="str">
        <f t="shared" si="1836"/>
        <v>Outcome Index 8  | Odd 8</v>
      </c>
      <c r="OD64" s="18">
        <f t="shared" si="1339"/>
        <v>92</v>
      </c>
      <c r="OE64" s="18">
        <f t="shared" si="249"/>
        <v>95</v>
      </c>
      <c r="OF64" s="18">
        <v>4</v>
      </c>
      <c r="OG64" s="303" t="str">
        <f t="shared" si="1837"/>
        <v/>
      </c>
      <c r="OH64" s="304"/>
      <c r="OI64" s="302" t="str">
        <f t="shared" si="1653"/>
        <v/>
      </c>
      <c r="OJ64" s="349"/>
      <c r="OK64" s="40"/>
      <c r="OL64" s="62">
        <v>8</v>
      </c>
      <c r="OM64" s="19" t="str">
        <f t="shared" si="1838"/>
        <v>Outcome Index 8  | Odd 8</v>
      </c>
      <c r="ON64" s="18">
        <f t="shared" si="1340"/>
        <v>92</v>
      </c>
      <c r="OO64" s="18">
        <f t="shared" si="253"/>
        <v>95</v>
      </c>
      <c r="OP64" s="18">
        <v>4</v>
      </c>
      <c r="OQ64" s="303" t="str">
        <f t="shared" si="1839"/>
        <v/>
      </c>
      <c r="OR64" s="304"/>
      <c r="OS64" s="302" t="str">
        <f t="shared" si="1655"/>
        <v/>
      </c>
      <c r="OT64" s="349"/>
      <c r="OU64" s="40"/>
      <c r="OV64" s="62">
        <v>8</v>
      </c>
      <c r="OW64" s="19" t="str">
        <f t="shared" si="1840"/>
        <v>Outcome Index 8  | Odd 8</v>
      </c>
      <c r="OX64" s="18">
        <f t="shared" si="1341"/>
        <v>92</v>
      </c>
      <c r="OY64" s="18">
        <f t="shared" si="257"/>
        <v>95</v>
      </c>
      <c r="OZ64" s="18">
        <v>4</v>
      </c>
      <c r="PA64" s="303" t="str">
        <f t="shared" si="1841"/>
        <v/>
      </c>
      <c r="PB64" s="304"/>
      <c r="PC64" s="302" t="str">
        <f t="shared" si="1657"/>
        <v/>
      </c>
      <c r="PD64" s="349"/>
      <c r="PE64" s="40"/>
      <c r="PF64" s="62">
        <v>8</v>
      </c>
      <c r="PG64" s="19" t="str">
        <f t="shared" si="1842"/>
        <v>Outcome Index 8  | Odd 8</v>
      </c>
      <c r="PH64" s="18">
        <f t="shared" si="1342"/>
        <v>92</v>
      </c>
      <c r="PI64" s="18">
        <f t="shared" si="261"/>
        <v>95</v>
      </c>
      <c r="PJ64" s="18">
        <v>4</v>
      </c>
      <c r="PK64" s="303" t="str">
        <f t="shared" si="1843"/>
        <v/>
      </c>
      <c r="PL64" s="304"/>
      <c r="PM64" s="302" t="str">
        <f t="shared" si="1659"/>
        <v/>
      </c>
      <c r="PN64" s="349"/>
      <c r="PO64" s="40"/>
      <c r="PP64" s="62">
        <v>8</v>
      </c>
      <c r="PQ64" s="19" t="str">
        <f t="shared" si="1844"/>
        <v>Outcome Index 8  | Odd 8</v>
      </c>
      <c r="PR64" s="18">
        <f t="shared" si="1343"/>
        <v>92</v>
      </c>
      <c r="PS64" s="18">
        <f t="shared" si="265"/>
        <v>95</v>
      </c>
      <c r="PT64" s="18">
        <v>4</v>
      </c>
      <c r="PU64" s="303" t="str">
        <f t="shared" si="1845"/>
        <v/>
      </c>
      <c r="PV64" s="304"/>
      <c r="PW64" s="302" t="str">
        <f t="shared" si="1661"/>
        <v/>
      </c>
      <c r="PX64" s="349"/>
      <c r="PY64" s="40"/>
      <c r="PZ64" s="62">
        <v>8</v>
      </c>
      <c r="QA64" s="19" t="str">
        <f t="shared" si="1846"/>
        <v>Outcome Index 8  | Odd 8</v>
      </c>
      <c r="QB64" s="18">
        <f t="shared" si="1344"/>
        <v>92</v>
      </c>
      <c r="QC64" s="18">
        <f t="shared" si="269"/>
        <v>95</v>
      </c>
      <c r="QD64" s="18">
        <v>4</v>
      </c>
      <c r="QE64" s="303" t="str">
        <f t="shared" si="1847"/>
        <v/>
      </c>
      <c r="QF64" s="304"/>
      <c r="QG64" s="302" t="str">
        <f t="shared" si="1663"/>
        <v/>
      </c>
      <c r="QH64" s="349"/>
      <c r="QI64" s="40"/>
      <c r="QJ64" s="62">
        <v>8</v>
      </c>
      <c r="QK64" s="19" t="str">
        <f t="shared" si="1848"/>
        <v>Outcome Index 8  | Odd 8</v>
      </c>
      <c r="QL64" s="18">
        <f t="shared" si="1345"/>
        <v>92</v>
      </c>
      <c r="QM64" s="18">
        <f t="shared" si="273"/>
        <v>95</v>
      </c>
      <c r="QN64" s="18">
        <v>4</v>
      </c>
      <c r="QO64" s="303" t="str">
        <f t="shared" si="1849"/>
        <v/>
      </c>
      <c r="QP64" s="304"/>
      <c r="QQ64" s="302" t="str">
        <f t="shared" si="1665"/>
        <v/>
      </c>
      <c r="QR64" s="349"/>
      <c r="QS64" s="40"/>
      <c r="QT64" s="62">
        <v>8</v>
      </c>
      <c r="QU64" s="19" t="str">
        <f t="shared" si="1850"/>
        <v>Outcome Index 8  | Odd 8</v>
      </c>
      <c r="QV64" s="18">
        <f t="shared" si="1346"/>
        <v>92</v>
      </c>
      <c r="QW64" s="18">
        <f t="shared" si="277"/>
        <v>95</v>
      </c>
      <c r="QX64" s="18">
        <v>4</v>
      </c>
      <c r="QY64" s="303" t="str">
        <f t="shared" si="1851"/>
        <v/>
      </c>
      <c r="QZ64" s="304"/>
      <c r="RA64" s="302" t="str">
        <f t="shared" si="1667"/>
        <v/>
      </c>
      <c r="RB64" s="349"/>
      <c r="RC64" s="40"/>
      <c r="RD64" s="62">
        <v>8</v>
      </c>
      <c r="RE64" s="19" t="str">
        <f t="shared" si="1852"/>
        <v>Outcome Index 8  | Odd 8</v>
      </c>
      <c r="RF64" s="18">
        <f t="shared" si="1347"/>
        <v>92</v>
      </c>
      <c r="RG64" s="18">
        <f t="shared" si="281"/>
        <v>95</v>
      </c>
      <c r="RH64" s="18">
        <v>4</v>
      </c>
      <c r="RI64" s="303" t="str">
        <f t="shared" si="1853"/>
        <v/>
      </c>
      <c r="RJ64" s="304"/>
      <c r="RK64" s="302" t="str">
        <f t="shared" si="1669"/>
        <v/>
      </c>
      <c r="RL64" s="349"/>
      <c r="RM64" s="40"/>
      <c r="RN64" s="62">
        <v>8</v>
      </c>
      <c r="RO64" s="19" t="str">
        <f t="shared" si="1854"/>
        <v>Outcome Index 8  | Odd 8</v>
      </c>
      <c r="RP64" s="18">
        <f t="shared" si="1348"/>
        <v>92</v>
      </c>
      <c r="RQ64" s="18">
        <f t="shared" si="285"/>
        <v>95</v>
      </c>
      <c r="RR64" s="18">
        <v>4</v>
      </c>
      <c r="RS64" s="303" t="str">
        <f t="shared" si="1855"/>
        <v/>
      </c>
      <c r="RT64" s="304"/>
      <c r="RU64" s="302" t="str">
        <f t="shared" si="1671"/>
        <v/>
      </c>
      <c r="RV64" s="349"/>
      <c r="RW64" s="40"/>
      <c r="RX64" s="62">
        <v>8</v>
      </c>
      <c r="RY64" s="19" t="str">
        <f t="shared" si="1856"/>
        <v>Outcome Index 8  | Odd 8</v>
      </c>
      <c r="RZ64" s="18">
        <f t="shared" si="1349"/>
        <v>92</v>
      </c>
      <c r="SA64" s="18">
        <f t="shared" si="289"/>
        <v>95</v>
      </c>
      <c r="SB64" s="18">
        <v>4</v>
      </c>
      <c r="SC64" s="303" t="str">
        <f t="shared" si="1857"/>
        <v/>
      </c>
      <c r="SD64" s="304"/>
      <c r="SE64" s="302" t="str">
        <f t="shared" si="1673"/>
        <v/>
      </c>
      <c r="SF64" s="349"/>
      <c r="SG64" s="40"/>
      <c r="SH64" s="62">
        <v>8</v>
      </c>
      <c r="SI64" s="19" t="str">
        <f t="shared" si="1858"/>
        <v>Outcome Index 8  | Odd 8</v>
      </c>
      <c r="SJ64" s="18">
        <f t="shared" si="1350"/>
        <v>92</v>
      </c>
      <c r="SK64" s="18">
        <f t="shared" si="293"/>
        <v>95</v>
      </c>
      <c r="SL64" s="18">
        <v>4</v>
      </c>
      <c r="SM64" s="303" t="str">
        <f t="shared" si="1859"/>
        <v/>
      </c>
      <c r="SN64" s="304"/>
      <c r="SO64" s="302" t="str">
        <f t="shared" si="1675"/>
        <v/>
      </c>
      <c r="SP64" s="349"/>
      <c r="SQ64" s="40"/>
      <c r="SR64" s="62">
        <v>8</v>
      </c>
      <c r="SS64" s="19" t="str">
        <f t="shared" si="1860"/>
        <v>Outcome Index 8  | Odd 8</v>
      </c>
      <c r="ST64" s="18">
        <f t="shared" si="1351"/>
        <v>92</v>
      </c>
      <c r="SU64" s="18">
        <f t="shared" si="297"/>
        <v>95</v>
      </c>
      <c r="SV64" s="18">
        <v>4</v>
      </c>
      <c r="SW64" s="303" t="str">
        <f t="shared" si="1861"/>
        <v/>
      </c>
      <c r="SX64" s="304"/>
      <c r="SY64" s="302" t="str">
        <f t="shared" si="1677"/>
        <v/>
      </c>
      <c r="SZ64" s="349"/>
      <c r="TA64" s="40"/>
      <c r="TB64" s="62">
        <v>8</v>
      </c>
      <c r="TC64" s="19" t="str">
        <f t="shared" si="1862"/>
        <v>Outcome Index 8  | Odd 8</v>
      </c>
      <c r="TD64" s="18">
        <f t="shared" si="1352"/>
        <v>92</v>
      </c>
      <c r="TE64" s="18">
        <f t="shared" si="301"/>
        <v>95</v>
      </c>
      <c r="TF64" s="18">
        <v>4</v>
      </c>
      <c r="TG64" s="303" t="str">
        <f t="shared" si="1863"/>
        <v/>
      </c>
      <c r="TH64" s="304"/>
      <c r="TI64" s="302" t="str">
        <f t="shared" si="1679"/>
        <v/>
      </c>
      <c r="TJ64" s="349"/>
      <c r="TK64" s="40"/>
      <c r="TL64" s="62">
        <v>8</v>
      </c>
      <c r="TM64" s="19" t="str">
        <f t="shared" si="1864"/>
        <v>Outcome Index 8  | Odd 8</v>
      </c>
      <c r="TN64" s="18">
        <f t="shared" si="1353"/>
        <v>92</v>
      </c>
      <c r="TO64" s="18">
        <f t="shared" si="305"/>
        <v>95</v>
      </c>
      <c r="TP64" s="18">
        <v>4</v>
      </c>
      <c r="TQ64" s="303" t="str">
        <f t="shared" si="1865"/>
        <v/>
      </c>
      <c r="TR64" s="304"/>
      <c r="TS64" s="302" t="str">
        <f t="shared" si="1681"/>
        <v/>
      </c>
      <c r="TT64" s="349"/>
      <c r="TU64" s="40"/>
      <c r="TV64" s="62">
        <v>8</v>
      </c>
      <c r="TW64" s="19" t="str">
        <f t="shared" si="1866"/>
        <v>Outcome Index 8  | Odd 8</v>
      </c>
      <c r="TX64" s="18">
        <f t="shared" si="1354"/>
        <v>92</v>
      </c>
      <c r="TY64" s="18">
        <f t="shared" si="309"/>
        <v>95</v>
      </c>
      <c r="TZ64" s="18">
        <v>4</v>
      </c>
      <c r="UA64" s="303" t="str">
        <f t="shared" si="1867"/>
        <v/>
      </c>
      <c r="UB64" s="304"/>
      <c r="UC64" s="302" t="str">
        <f t="shared" si="1683"/>
        <v/>
      </c>
      <c r="UD64" s="349"/>
      <c r="UE64" s="40"/>
      <c r="UF64" s="62">
        <v>8</v>
      </c>
      <c r="UG64" s="19" t="str">
        <f t="shared" si="1868"/>
        <v>Outcome Index 8  | Odd 8</v>
      </c>
      <c r="UH64" s="18">
        <f t="shared" si="1355"/>
        <v>92</v>
      </c>
      <c r="UI64" s="18">
        <f t="shared" si="313"/>
        <v>95</v>
      </c>
      <c r="UJ64" s="18">
        <v>4</v>
      </c>
      <c r="UK64" s="303" t="str">
        <f t="shared" si="1869"/>
        <v/>
      </c>
      <c r="UL64" s="304"/>
      <c r="UM64" s="302" t="str">
        <f t="shared" si="1685"/>
        <v/>
      </c>
      <c r="UN64" s="349"/>
      <c r="UO64" s="40"/>
      <c r="UP64" s="62">
        <v>8</v>
      </c>
      <c r="UQ64" s="19" t="str">
        <f t="shared" si="1870"/>
        <v>Outcome Index 8  | Odd 8</v>
      </c>
      <c r="UR64" s="18">
        <f t="shared" si="1356"/>
        <v>92</v>
      </c>
      <c r="US64" s="18">
        <f t="shared" si="317"/>
        <v>95</v>
      </c>
      <c r="UT64" s="18">
        <v>4</v>
      </c>
      <c r="UU64" s="303" t="str">
        <f t="shared" si="1871"/>
        <v/>
      </c>
      <c r="UV64" s="304"/>
      <c r="UW64" s="302" t="str">
        <f t="shared" si="1687"/>
        <v/>
      </c>
      <c r="UX64" s="349"/>
      <c r="UY64" s="40"/>
      <c r="UZ64" s="62">
        <v>8</v>
      </c>
      <c r="VA64" s="19" t="str">
        <f t="shared" si="1872"/>
        <v>Outcome Index 8  | Odd 8</v>
      </c>
      <c r="VB64" s="18">
        <f t="shared" si="1357"/>
        <v>92</v>
      </c>
      <c r="VC64" s="18">
        <f t="shared" si="321"/>
        <v>95</v>
      </c>
      <c r="VD64" s="18">
        <v>4</v>
      </c>
      <c r="VE64" s="303" t="str">
        <f t="shared" si="1873"/>
        <v/>
      </c>
      <c r="VF64" s="304"/>
      <c r="VG64" s="302" t="str">
        <f t="shared" si="1689"/>
        <v/>
      </c>
      <c r="VH64" s="349"/>
      <c r="VI64" s="40"/>
      <c r="VJ64" s="62">
        <v>8</v>
      </c>
      <c r="VK64" s="19" t="str">
        <f t="shared" si="1874"/>
        <v>Outcome Index 8  | Odd 8</v>
      </c>
      <c r="VL64" s="18">
        <f t="shared" si="1358"/>
        <v>92</v>
      </c>
      <c r="VM64" s="18">
        <f t="shared" si="325"/>
        <v>95</v>
      </c>
      <c r="VN64" s="18">
        <v>4</v>
      </c>
      <c r="VO64" s="303" t="str">
        <f t="shared" si="1875"/>
        <v/>
      </c>
      <c r="VP64" s="304"/>
      <c r="VQ64" s="302" t="str">
        <f t="shared" si="1691"/>
        <v/>
      </c>
      <c r="VR64" s="349"/>
      <c r="VS64" s="40"/>
      <c r="VT64" s="62">
        <v>8</v>
      </c>
      <c r="VU64" s="19" t="str">
        <f t="shared" si="1876"/>
        <v>Outcome Index 8  | Odd 8</v>
      </c>
      <c r="VV64" s="18">
        <f t="shared" si="1359"/>
        <v>92</v>
      </c>
      <c r="VW64" s="18">
        <f t="shared" si="329"/>
        <v>95</v>
      </c>
      <c r="VX64" s="18">
        <v>4</v>
      </c>
      <c r="VY64" s="303" t="str">
        <f t="shared" si="1877"/>
        <v/>
      </c>
      <c r="VZ64" s="304"/>
      <c r="WA64" s="302" t="str">
        <f t="shared" si="1693"/>
        <v/>
      </c>
      <c r="WB64" s="349"/>
      <c r="WC64" s="40"/>
      <c r="WD64" s="62">
        <v>8</v>
      </c>
      <c r="WE64" s="19" t="str">
        <f t="shared" si="1878"/>
        <v>Outcome Index 8  | Odd 8</v>
      </c>
      <c r="WF64" s="18">
        <f t="shared" si="1360"/>
        <v>92</v>
      </c>
      <c r="WG64" s="18">
        <f t="shared" si="333"/>
        <v>95</v>
      </c>
      <c r="WH64" s="18">
        <v>4</v>
      </c>
      <c r="WI64" s="303" t="str">
        <f t="shared" si="1879"/>
        <v/>
      </c>
      <c r="WJ64" s="304"/>
      <c r="WK64" s="302" t="str">
        <f t="shared" si="1695"/>
        <v/>
      </c>
      <c r="WL64" s="349"/>
      <c r="WM64" s="40"/>
      <c r="WN64" s="62">
        <v>8</v>
      </c>
      <c r="WO64" s="19" t="str">
        <f t="shared" si="1880"/>
        <v>Outcome Index 8  | Odd 8</v>
      </c>
      <c r="WP64" s="18">
        <f t="shared" si="1361"/>
        <v>92</v>
      </c>
      <c r="WQ64" s="18">
        <f t="shared" si="337"/>
        <v>95</v>
      </c>
      <c r="WR64" s="18">
        <v>4</v>
      </c>
      <c r="WS64" s="303" t="str">
        <f t="shared" si="1881"/>
        <v/>
      </c>
      <c r="WT64" s="304"/>
      <c r="WU64" s="302" t="str">
        <f t="shared" si="1697"/>
        <v/>
      </c>
      <c r="WV64" s="349"/>
      <c r="WW64" s="40"/>
      <c r="WX64" s="62">
        <v>8</v>
      </c>
      <c r="WY64" s="19" t="str">
        <f t="shared" si="1882"/>
        <v>Outcome Index 8  | Odd 8</v>
      </c>
      <c r="WZ64" s="18">
        <f t="shared" si="1362"/>
        <v>92</v>
      </c>
      <c r="XA64" s="18">
        <f t="shared" si="341"/>
        <v>95</v>
      </c>
      <c r="XB64" s="18">
        <v>4</v>
      </c>
      <c r="XC64" s="303" t="str">
        <f t="shared" si="1883"/>
        <v/>
      </c>
      <c r="XD64" s="304"/>
      <c r="XE64" s="302" t="str">
        <f t="shared" si="1699"/>
        <v/>
      </c>
      <c r="XF64" s="349"/>
      <c r="XG64" s="40"/>
      <c r="XH64" s="62">
        <v>8</v>
      </c>
      <c r="XI64" s="19" t="str">
        <f t="shared" si="1884"/>
        <v>Outcome Index 8  | Odd 8</v>
      </c>
      <c r="XJ64" s="18">
        <f t="shared" si="1363"/>
        <v>92</v>
      </c>
      <c r="XK64" s="18">
        <f t="shared" si="345"/>
        <v>95</v>
      </c>
      <c r="XL64" s="18">
        <v>4</v>
      </c>
      <c r="XM64" s="303" t="str">
        <f t="shared" si="1885"/>
        <v/>
      </c>
      <c r="XN64" s="304"/>
      <c r="XO64" s="302" t="str">
        <f t="shared" si="1701"/>
        <v/>
      </c>
      <c r="XP64" s="349"/>
      <c r="XQ64" s="40"/>
      <c r="XR64" s="62">
        <v>8</v>
      </c>
      <c r="XS64" s="19" t="str">
        <f t="shared" si="1886"/>
        <v>Outcome Index 8  | Odd 8</v>
      </c>
      <c r="XT64" s="18">
        <f t="shared" si="1364"/>
        <v>92</v>
      </c>
      <c r="XU64" s="18">
        <f t="shared" si="349"/>
        <v>95</v>
      </c>
      <c r="XV64" s="18">
        <v>4</v>
      </c>
      <c r="XW64" s="303" t="str">
        <f t="shared" si="1887"/>
        <v/>
      </c>
      <c r="XX64" s="304"/>
      <c r="XY64" s="302" t="str">
        <f t="shared" si="1703"/>
        <v/>
      </c>
      <c r="XZ64" s="349"/>
      <c r="YA64" s="40"/>
      <c r="YB64" s="62">
        <v>8</v>
      </c>
      <c r="YC64" s="19" t="str">
        <f t="shared" si="1888"/>
        <v>Outcome Index 8  | Odd 8</v>
      </c>
      <c r="YD64" s="18">
        <f t="shared" si="1365"/>
        <v>92</v>
      </c>
      <c r="YE64" s="18">
        <f t="shared" si="353"/>
        <v>95</v>
      </c>
      <c r="YF64" s="18">
        <v>4</v>
      </c>
      <c r="YG64" s="303" t="str">
        <f t="shared" si="1889"/>
        <v/>
      </c>
      <c r="YH64" s="304"/>
      <c r="YI64" s="302" t="str">
        <f t="shared" si="1705"/>
        <v/>
      </c>
      <c r="YJ64" s="349"/>
      <c r="YK64" s="40"/>
      <c r="YL64" s="62">
        <v>8</v>
      </c>
      <c r="YM64" s="19" t="str">
        <f t="shared" si="1890"/>
        <v>Outcome Index 8  | Odd 8</v>
      </c>
      <c r="YN64" s="18">
        <f t="shared" si="1366"/>
        <v>92</v>
      </c>
      <c r="YO64" s="18">
        <f t="shared" si="357"/>
        <v>95</v>
      </c>
      <c r="YP64" s="18">
        <v>4</v>
      </c>
      <c r="YQ64" s="303" t="str">
        <f t="shared" si="1891"/>
        <v/>
      </c>
      <c r="YR64" s="304"/>
      <c r="YS64" s="302" t="str">
        <f t="shared" si="1707"/>
        <v/>
      </c>
      <c r="YT64" s="349"/>
      <c r="YU64" s="40"/>
      <c r="YV64" s="62">
        <v>8</v>
      </c>
      <c r="YW64" s="19" t="str">
        <f t="shared" si="1892"/>
        <v>Outcome Index 8  | Odd 8</v>
      </c>
      <c r="YX64" s="18">
        <f t="shared" si="1367"/>
        <v>92</v>
      </c>
      <c r="YY64" s="18">
        <f t="shared" si="361"/>
        <v>95</v>
      </c>
      <c r="YZ64" s="18">
        <v>4</v>
      </c>
      <c r="ZA64" s="303" t="str">
        <f t="shared" si="1893"/>
        <v/>
      </c>
      <c r="ZB64" s="304"/>
      <c r="ZC64" s="302" t="str">
        <f t="shared" si="1709"/>
        <v/>
      </c>
      <c r="ZD64" s="349"/>
      <c r="ZE64" s="40"/>
      <c r="ZF64" s="62">
        <v>8</v>
      </c>
      <c r="ZG64" s="19" t="str">
        <f t="shared" si="1894"/>
        <v>Outcome Index 8  | Odd 8</v>
      </c>
      <c r="ZH64" s="18">
        <f t="shared" si="1368"/>
        <v>92</v>
      </c>
      <c r="ZI64" s="18">
        <f t="shared" si="365"/>
        <v>95</v>
      </c>
      <c r="ZJ64" s="18">
        <v>4</v>
      </c>
      <c r="ZK64" s="303" t="str">
        <f t="shared" si="1895"/>
        <v/>
      </c>
      <c r="ZL64" s="304"/>
      <c r="ZM64" s="302" t="str">
        <f t="shared" si="1711"/>
        <v/>
      </c>
      <c r="ZN64" s="349"/>
      <c r="ZO64" s="40"/>
      <c r="ZP64" s="62">
        <v>8</v>
      </c>
      <c r="ZQ64" s="19" t="str">
        <f t="shared" si="1896"/>
        <v>Outcome Index 8  | Odd 8</v>
      </c>
      <c r="ZR64" s="18">
        <f t="shared" si="1369"/>
        <v>92</v>
      </c>
      <c r="ZS64" s="18">
        <f t="shared" si="369"/>
        <v>95</v>
      </c>
      <c r="ZT64" s="18">
        <v>4</v>
      </c>
      <c r="ZU64" s="303" t="str">
        <f t="shared" si="1897"/>
        <v/>
      </c>
      <c r="ZV64" s="304"/>
      <c r="ZW64" s="302" t="str">
        <f t="shared" si="1713"/>
        <v/>
      </c>
      <c r="ZX64" s="349"/>
      <c r="ZY64" s="40"/>
      <c r="ZZ64" s="62">
        <v>8</v>
      </c>
      <c r="AAA64" s="19" t="str">
        <f t="shared" si="1898"/>
        <v>Outcome Index 8  | Odd 8</v>
      </c>
      <c r="AAB64" s="18">
        <f t="shared" si="1370"/>
        <v>92</v>
      </c>
      <c r="AAC64" s="18">
        <f t="shared" si="373"/>
        <v>95</v>
      </c>
      <c r="AAD64" s="18">
        <v>4</v>
      </c>
      <c r="AAE64" s="303" t="str">
        <f t="shared" si="1899"/>
        <v/>
      </c>
      <c r="AAF64" s="304"/>
      <c r="AAG64" s="302" t="str">
        <f t="shared" si="1715"/>
        <v/>
      </c>
      <c r="AAH64" s="349"/>
      <c r="AAI64" s="40"/>
      <c r="AAJ64" s="62">
        <v>8</v>
      </c>
      <c r="AAK64" s="19" t="str">
        <f t="shared" si="1900"/>
        <v>Outcome Index 8  | Odd 8</v>
      </c>
      <c r="AAL64" s="18">
        <f t="shared" si="1371"/>
        <v>92</v>
      </c>
      <c r="AAM64" s="18">
        <f t="shared" si="377"/>
        <v>95</v>
      </c>
      <c r="AAN64" s="18">
        <v>4</v>
      </c>
      <c r="AAO64" s="303" t="str">
        <f t="shared" si="1901"/>
        <v/>
      </c>
      <c r="AAP64" s="304"/>
      <c r="AAQ64" s="302" t="str">
        <f t="shared" si="1717"/>
        <v/>
      </c>
      <c r="AAR64" s="349"/>
      <c r="AAS64" s="40"/>
      <c r="AAT64" s="62">
        <v>8</v>
      </c>
      <c r="AAU64" s="19" t="str">
        <f t="shared" si="1902"/>
        <v>Outcome Index 8  | Odd 8</v>
      </c>
      <c r="AAV64" s="18">
        <f t="shared" si="1372"/>
        <v>92</v>
      </c>
      <c r="AAW64" s="18">
        <f t="shared" si="381"/>
        <v>95</v>
      </c>
      <c r="AAX64" s="18">
        <v>4</v>
      </c>
      <c r="AAY64" s="303" t="str">
        <f t="shared" si="1903"/>
        <v/>
      </c>
      <c r="AAZ64" s="304"/>
      <c r="ABA64" s="302" t="str">
        <f t="shared" si="1719"/>
        <v/>
      </c>
      <c r="ABB64" s="349"/>
      <c r="ABC64" s="40"/>
      <c r="ABD64" s="62">
        <v>8</v>
      </c>
      <c r="ABE64" s="19" t="str">
        <f t="shared" si="1904"/>
        <v>Outcome Index 8  | Odd 8</v>
      </c>
      <c r="ABF64" s="18">
        <f t="shared" si="1373"/>
        <v>92</v>
      </c>
      <c r="ABG64" s="18">
        <f t="shared" si="385"/>
        <v>95</v>
      </c>
      <c r="ABH64" s="18">
        <v>4</v>
      </c>
      <c r="ABI64" s="303" t="str">
        <f t="shared" si="1905"/>
        <v/>
      </c>
      <c r="ABJ64" s="304"/>
      <c r="ABK64" s="302" t="str">
        <f t="shared" si="1721"/>
        <v/>
      </c>
      <c r="ABL64" s="349"/>
      <c r="ABM64" s="40"/>
      <c r="ABN64" s="62">
        <v>8</v>
      </c>
      <c r="ABO64" s="19" t="str">
        <f t="shared" si="1906"/>
        <v>Outcome Index 8  | Odd 8</v>
      </c>
      <c r="ABP64" s="18">
        <f t="shared" si="1374"/>
        <v>92</v>
      </c>
      <c r="ABQ64" s="18">
        <f t="shared" si="389"/>
        <v>95</v>
      </c>
      <c r="ABR64" s="18">
        <v>4</v>
      </c>
      <c r="ABS64" s="303" t="str">
        <f t="shared" si="1907"/>
        <v/>
      </c>
      <c r="ABT64" s="304"/>
      <c r="ABU64" s="302" t="str">
        <f t="shared" si="1723"/>
        <v/>
      </c>
      <c r="ABV64" s="349"/>
      <c r="ABW64" s="40"/>
      <c r="ABX64" s="62">
        <v>8</v>
      </c>
      <c r="ABY64" s="19" t="str">
        <f t="shared" si="1908"/>
        <v>Outcome Index 8  | Odd 8</v>
      </c>
      <c r="ABZ64" s="18">
        <f t="shared" si="1375"/>
        <v>92</v>
      </c>
      <c r="ACA64" s="18">
        <f t="shared" si="393"/>
        <v>95</v>
      </c>
      <c r="ACB64" s="18">
        <v>4</v>
      </c>
      <c r="ACC64" s="303" t="str">
        <f t="shared" si="1909"/>
        <v/>
      </c>
      <c r="ACD64" s="304"/>
      <c r="ACE64" s="302" t="str">
        <f t="shared" si="1725"/>
        <v/>
      </c>
      <c r="ACF64" s="349"/>
      <c r="ACG64" s="40"/>
      <c r="ACH64" s="62">
        <v>8</v>
      </c>
      <c r="ACI64" s="19" t="str">
        <f t="shared" si="1910"/>
        <v>Outcome Index 8  | Odd 8</v>
      </c>
      <c r="ACJ64" s="18">
        <f t="shared" si="1376"/>
        <v>92</v>
      </c>
      <c r="ACK64" s="18">
        <f t="shared" si="397"/>
        <v>95</v>
      </c>
      <c r="ACL64" s="18">
        <v>4</v>
      </c>
      <c r="ACM64" s="303" t="str">
        <f t="shared" si="1911"/>
        <v/>
      </c>
      <c r="ACN64" s="304"/>
      <c r="ACO64" s="302" t="str">
        <f t="shared" si="1727"/>
        <v/>
      </c>
      <c r="ACP64" s="349"/>
      <c r="ACQ64" s="40"/>
      <c r="ACR64" s="62">
        <v>8</v>
      </c>
      <c r="ACS64" s="19" t="str">
        <f t="shared" si="1912"/>
        <v>Outcome Index 8  | Odd 8</v>
      </c>
      <c r="ACT64" s="18">
        <f t="shared" si="1377"/>
        <v>92</v>
      </c>
      <c r="ACU64" s="18">
        <f t="shared" si="401"/>
        <v>95</v>
      </c>
      <c r="ACV64" s="18">
        <v>4</v>
      </c>
      <c r="ACW64" s="303" t="str">
        <f t="shared" si="1913"/>
        <v/>
      </c>
      <c r="ACX64" s="304"/>
      <c r="ACY64" s="302" t="str">
        <f t="shared" si="1729"/>
        <v/>
      </c>
      <c r="ACZ64" s="349"/>
      <c r="ADA64" s="40"/>
      <c r="ADB64" s="62">
        <v>8</v>
      </c>
      <c r="ADC64" s="19" t="str">
        <f t="shared" si="1914"/>
        <v>Outcome Index 8  | Odd 8</v>
      </c>
      <c r="ADD64" s="18">
        <f t="shared" si="1378"/>
        <v>92</v>
      </c>
      <c r="ADE64" s="18">
        <f t="shared" si="405"/>
        <v>95</v>
      </c>
      <c r="ADF64" s="18">
        <v>4</v>
      </c>
      <c r="ADG64" s="303" t="str">
        <f t="shared" si="1915"/>
        <v/>
      </c>
      <c r="ADH64" s="304"/>
      <c r="ADI64" s="302" t="str">
        <f t="shared" si="1731"/>
        <v/>
      </c>
      <c r="ADJ64" s="349"/>
      <c r="ADK64" s="40"/>
      <c r="ADL64" s="62">
        <v>8</v>
      </c>
      <c r="ADM64" s="19" t="str">
        <f t="shared" si="1916"/>
        <v>Outcome Index 8  | Odd 8</v>
      </c>
      <c r="ADN64" s="18">
        <f t="shared" si="1379"/>
        <v>92</v>
      </c>
      <c r="ADO64" s="18">
        <f t="shared" si="409"/>
        <v>95</v>
      </c>
      <c r="ADP64" s="18">
        <v>4</v>
      </c>
      <c r="ADQ64" s="303" t="str">
        <f t="shared" si="1917"/>
        <v/>
      </c>
      <c r="ADR64" s="304"/>
      <c r="ADS64" s="302" t="str">
        <f t="shared" si="1733"/>
        <v/>
      </c>
      <c r="ADT64" s="349"/>
      <c r="ADU64" s="40"/>
      <c r="ADV64" s="62">
        <v>8</v>
      </c>
      <c r="ADW64" s="19" t="str">
        <f t="shared" si="1918"/>
        <v>Outcome Index 8  | Odd 8</v>
      </c>
      <c r="ADX64" s="18">
        <f t="shared" si="1380"/>
        <v>92</v>
      </c>
      <c r="ADY64" s="18">
        <f t="shared" si="413"/>
        <v>95</v>
      </c>
      <c r="ADZ64" s="18">
        <v>4</v>
      </c>
      <c r="AEA64" s="303" t="str">
        <f t="shared" si="1919"/>
        <v/>
      </c>
      <c r="AEB64" s="304"/>
      <c r="AEC64" s="302" t="str">
        <f t="shared" si="1735"/>
        <v/>
      </c>
      <c r="AED64" s="349"/>
      <c r="AEE64" s="40"/>
      <c r="AEF64" s="62">
        <v>8</v>
      </c>
      <c r="AEG64" s="19" t="str">
        <f t="shared" si="1920"/>
        <v>Outcome Index 8  | Odd 8</v>
      </c>
      <c r="AEH64" s="18">
        <f t="shared" si="1381"/>
        <v>92</v>
      </c>
      <c r="AEI64" s="18">
        <f t="shared" si="417"/>
        <v>95</v>
      </c>
      <c r="AEJ64" s="18">
        <v>4</v>
      </c>
      <c r="AEK64" s="303" t="str">
        <f t="shared" si="1921"/>
        <v/>
      </c>
      <c r="AEL64" s="304"/>
      <c r="AEM64" s="302" t="str">
        <f t="shared" si="1737"/>
        <v/>
      </c>
      <c r="AEN64" s="349"/>
      <c r="AEO64" s="40"/>
      <c r="AEP64" s="62">
        <v>8</v>
      </c>
      <c r="AEQ64" s="19" t="str">
        <f t="shared" si="1922"/>
        <v>Outcome Index 8  | Odd 8</v>
      </c>
      <c r="AER64" s="18">
        <f t="shared" si="1382"/>
        <v>92</v>
      </c>
      <c r="AES64" s="18">
        <f t="shared" si="421"/>
        <v>95</v>
      </c>
      <c r="AET64" s="18">
        <v>4</v>
      </c>
      <c r="AEU64" s="303" t="str">
        <f t="shared" si="1923"/>
        <v/>
      </c>
      <c r="AEV64" s="304"/>
      <c r="AEW64" s="302" t="str">
        <f t="shared" si="1739"/>
        <v/>
      </c>
      <c r="AEX64" s="349"/>
      <c r="AEY64" s="40"/>
      <c r="AEZ64" s="62">
        <v>8</v>
      </c>
      <c r="AFA64" s="19" t="str">
        <f t="shared" si="1924"/>
        <v>Outcome Index 8  | Odd 8</v>
      </c>
      <c r="AFB64" s="18">
        <f t="shared" si="1383"/>
        <v>92</v>
      </c>
      <c r="AFC64" s="18">
        <f t="shared" si="425"/>
        <v>95</v>
      </c>
      <c r="AFD64" s="18">
        <v>4</v>
      </c>
      <c r="AFE64" s="303" t="str">
        <f t="shared" si="1925"/>
        <v/>
      </c>
      <c r="AFF64" s="304"/>
      <c r="AFG64" s="302" t="str">
        <f t="shared" si="1741"/>
        <v/>
      </c>
      <c r="AFH64" s="349"/>
      <c r="AFI64" s="40"/>
      <c r="AFJ64" s="62">
        <v>8</v>
      </c>
      <c r="AFK64" s="19" t="str">
        <f t="shared" si="1926"/>
        <v>Outcome Index 8  | Odd 8</v>
      </c>
      <c r="AFL64" s="18">
        <f t="shared" si="1384"/>
        <v>92</v>
      </c>
      <c r="AFM64" s="18">
        <f t="shared" si="429"/>
        <v>95</v>
      </c>
      <c r="AFN64" s="18">
        <v>4</v>
      </c>
      <c r="AFO64" s="303" t="str">
        <f t="shared" si="1927"/>
        <v/>
      </c>
      <c r="AFP64" s="304"/>
      <c r="AFQ64" s="302" t="str">
        <f t="shared" si="1743"/>
        <v/>
      </c>
      <c r="AFR64" s="349"/>
      <c r="AFS64" s="40"/>
      <c r="AFT64" s="62">
        <v>8</v>
      </c>
      <c r="AFU64" s="19" t="str">
        <f t="shared" si="1928"/>
        <v>Outcome Index 8  | Odd 8</v>
      </c>
      <c r="AFV64" s="18">
        <f t="shared" si="1385"/>
        <v>92</v>
      </c>
      <c r="AFW64" s="18">
        <f t="shared" si="433"/>
        <v>95</v>
      </c>
      <c r="AFX64" s="18">
        <v>4</v>
      </c>
      <c r="AFY64" s="303" t="str">
        <f t="shared" si="1929"/>
        <v/>
      </c>
      <c r="AFZ64" s="304"/>
      <c r="AGA64" s="302" t="str">
        <f t="shared" si="1745"/>
        <v/>
      </c>
      <c r="AGB64" s="349"/>
      <c r="AGC64" s="40"/>
      <c r="AGD64" s="62">
        <v>8</v>
      </c>
      <c r="AGE64" s="19" t="str">
        <f t="shared" si="1930"/>
        <v>Outcome Index 8  | Odd 8</v>
      </c>
      <c r="AGF64" s="18">
        <f t="shared" si="1386"/>
        <v>92</v>
      </c>
      <c r="AGG64" s="18">
        <f t="shared" si="437"/>
        <v>95</v>
      </c>
      <c r="AGH64" s="18">
        <v>4</v>
      </c>
      <c r="AGI64" s="303" t="str">
        <f t="shared" si="1931"/>
        <v/>
      </c>
      <c r="AGJ64" s="304"/>
      <c r="AGK64" s="302" t="str">
        <f t="shared" si="1747"/>
        <v/>
      </c>
      <c r="AGL64" s="349"/>
      <c r="AGM64" s="40"/>
      <c r="AGN64" s="62">
        <v>8</v>
      </c>
      <c r="AGO64" s="19" t="str">
        <f t="shared" si="1932"/>
        <v>Outcome Index 8  | Odd 8</v>
      </c>
      <c r="AGP64" s="18">
        <f t="shared" si="1387"/>
        <v>92</v>
      </c>
      <c r="AGQ64" s="18">
        <f t="shared" si="441"/>
        <v>95</v>
      </c>
      <c r="AGR64" s="18">
        <v>4</v>
      </c>
      <c r="AGS64" s="303" t="str">
        <f t="shared" si="1933"/>
        <v/>
      </c>
      <c r="AGT64" s="304"/>
      <c r="AGU64" s="302" t="str">
        <f t="shared" si="1749"/>
        <v/>
      </c>
      <c r="AGV64" s="349"/>
      <c r="AGW64" s="40"/>
      <c r="AGX64" s="62">
        <v>8</v>
      </c>
      <c r="AGY64" s="19" t="str">
        <f t="shared" si="1934"/>
        <v>Outcome Index 8  | Odd 8</v>
      </c>
      <c r="AGZ64" s="18">
        <f t="shared" si="1388"/>
        <v>92</v>
      </c>
      <c r="AHA64" s="18">
        <f t="shared" si="445"/>
        <v>95</v>
      </c>
      <c r="AHB64" s="18">
        <v>4</v>
      </c>
      <c r="AHC64" s="303" t="str">
        <f t="shared" si="1935"/>
        <v/>
      </c>
      <c r="AHD64" s="304"/>
      <c r="AHE64" s="302" t="str">
        <f t="shared" si="1751"/>
        <v/>
      </c>
      <c r="AHF64" s="349"/>
      <c r="AHG64" s="40"/>
      <c r="AHH64" s="62">
        <v>8</v>
      </c>
      <c r="AHI64" s="19" t="str">
        <f t="shared" si="1936"/>
        <v>Outcome Index 8  | Odd 8</v>
      </c>
      <c r="AHJ64" s="18">
        <f t="shared" si="1389"/>
        <v>92</v>
      </c>
      <c r="AHK64" s="18">
        <f t="shared" si="449"/>
        <v>95</v>
      </c>
      <c r="AHL64" s="18">
        <v>4</v>
      </c>
      <c r="AHM64" s="303" t="str">
        <f t="shared" si="1937"/>
        <v/>
      </c>
      <c r="AHN64" s="304"/>
      <c r="AHO64" s="302" t="str">
        <f t="shared" si="1753"/>
        <v/>
      </c>
      <c r="AHP64" s="349"/>
      <c r="AHQ64" s="40"/>
      <c r="AHR64" s="62">
        <v>8</v>
      </c>
      <c r="AHS64" s="19" t="str">
        <f t="shared" si="1938"/>
        <v>Outcome Index 8  | Odd 8</v>
      </c>
      <c r="AHT64" s="18">
        <f t="shared" si="1390"/>
        <v>92</v>
      </c>
      <c r="AHU64" s="18">
        <f t="shared" si="453"/>
        <v>95</v>
      </c>
      <c r="AHV64" s="18">
        <v>4</v>
      </c>
      <c r="AHW64" s="303" t="str">
        <f t="shared" si="1939"/>
        <v/>
      </c>
      <c r="AHX64" s="304"/>
      <c r="AHY64" s="302" t="str">
        <f t="shared" si="1755"/>
        <v/>
      </c>
      <c r="AHZ64" s="349"/>
      <c r="AIA64" s="40"/>
      <c r="AIB64" s="62">
        <v>8</v>
      </c>
      <c r="AIC64" s="19" t="str">
        <f t="shared" si="1940"/>
        <v>Outcome Index 8  | Odd 8</v>
      </c>
      <c r="AID64" s="18">
        <f t="shared" si="1391"/>
        <v>92</v>
      </c>
      <c r="AIE64" s="18">
        <f t="shared" si="457"/>
        <v>95</v>
      </c>
      <c r="AIF64" s="18">
        <v>4</v>
      </c>
      <c r="AIG64" s="303" t="str">
        <f t="shared" si="1941"/>
        <v/>
      </c>
      <c r="AIH64" s="304"/>
      <c r="AII64" s="302" t="str">
        <f t="shared" si="1757"/>
        <v/>
      </c>
      <c r="AIJ64" s="349"/>
      <c r="AIK64" s="40"/>
      <c r="AIL64" s="62">
        <v>8</v>
      </c>
      <c r="AIM64" s="19" t="str">
        <f t="shared" si="1942"/>
        <v>Outcome Index 8  | Odd 8</v>
      </c>
      <c r="AIN64" s="18">
        <f t="shared" si="1392"/>
        <v>92</v>
      </c>
      <c r="AIO64" s="18">
        <f t="shared" si="461"/>
        <v>95</v>
      </c>
      <c r="AIP64" s="18">
        <v>4</v>
      </c>
      <c r="AIQ64" s="303" t="str">
        <f t="shared" si="1943"/>
        <v/>
      </c>
      <c r="AIR64" s="304"/>
      <c r="AIS64" s="302" t="str">
        <f t="shared" si="1759"/>
        <v/>
      </c>
      <c r="AIT64" s="349"/>
      <c r="AIU64" s="40"/>
      <c r="AIV64" s="62">
        <v>8</v>
      </c>
      <c r="AIW64" s="19" t="str">
        <f t="shared" si="1944"/>
        <v>Outcome Index 8  | Odd 8</v>
      </c>
      <c r="AIX64" s="18">
        <f t="shared" si="1393"/>
        <v>92</v>
      </c>
      <c r="AIY64" s="18">
        <f t="shared" si="465"/>
        <v>95</v>
      </c>
      <c r="AIZ64" s="18">
        <v>4</v>
      </c>
      <c r="AJA64" s="303" t="str">
        <f t="shared" si="1945"/>
        <v/>
      </c>
      <c r="AJB64" s="304"/>
      <c r="AJC64" s="302" t="str">
        <f t="shared" si="1761"/>
        <v/>
      </c>
      <c r="AJD64" s="349"/>
    </row>
    <row r="65" spans="2:940">
      <c r="B65" s="42">
        <v>9</v>
      </c>
      <c r="C65" s="3" t="str">
        <f t="shared" si="1946"/>
        <v>Outcome Index 9  | Odd 9</v>
      </c>
      <c r="D65" s="2">
        <f t="shared" si="561"/>
        <v>96</v>
      </c>
      <c r="E65" s="2">
        <f t="shared" si="1947"/>
        <v>99</v>
      </c>
      <c r="F65" s="2">
        <v>4</v>
      </c>
      <c r="G65" s="255" t="str">
        <f t="shared" si="1948"/>
        <v/>
      </c>
      <c r="H65" s="255"/>
      <c r="I65" s="231" t="str">
        <f t="shared" si="1949"/>
        <v/>
      </c>
      <c r="J65" s="205"/>
      <c r="K65" s="40"/>
      <c r="L65" s="62">
        <v>9</v>
      </c>
      <c r="M65" s="3" t="str">
        <f t="shared" si="1950"/>
        <v>Outcome Index 9  | Odd 9</v>
      </c>
      <c r="N65" s="2">
        <f t="shared" si="562"/>
        <v>96</v>
      </c>
      <c r="O65" s="2">
        <f t="shared" si="97"/>
        <v>99</v>
      </c>
      <c r="P65" s="2">
        <v>4</v>
      </c>
      <c r="Q65" s="207" t="str">
        <f t="shared" si="1951"/>
        <v/>
      </c>
      <c r="R65" s="208"/>
      <c r="S65" s="231" t="str">
        <f t="shared" si="1952"/>
        <v/>
      </c>
      <c r="T65" s="344"/>
      <c r="U65" s="40"/>
      <c r="V65" s="62">
        <v>9</v>
      </c>
      <c r="W65" s="3" t="str">
        <f t="shared" si="1762"/>
        <v>Outcome Index 9  | Odd 9</v>
      </c>
      <c r="X65" s="2">
        <f t="shared" si="1302"/>
        <v>96</v>
      </c>
      <c r="Y65" s="2">
        <f t="shared" si="101"/>
        <v>99</v>
      </c>
      <c r="Z65" s="2">
        <v>4</v>
      </c>
      <c r="AA65" s="207" t="str">
        <f t="shared" si="1763"/>
        <v/>
      </c>
      <c r="AB65" s="208"/>
      <c r="AC65" s="231" t="str">
        <f t="shared" si="1579"/>
        <v/>
      </c>
      <c r="AD65" s="344"/>
      <c r="AE65" s="40"/>
      <c r="AF65" s="62">
        <v>9</v>
      </c>
      <c r="AG65" s="3" t="str">
        <f t="shared" si="1764"/>
        <v>Outcome Index 9  | Odd 9</v>
      </c>
      <c r="AH65" s="2">
        <f t="shared" si="1303"/>
        <v>96</v>
      </c>
      <c r="AI65" s="2">
        <f t="shared" si="105"/>
        <v>99</v>
      </c>
      <c r="AJ65" s="2">
        <v>4</v>
      </c>
      <c r="AK65" s="207" t="str">
        <f t="shared" si="1765"/>
        <v/>
      </c>
      <c r="AL65" s="208"/>
      <c r="AM65" s="231" t="str">
        <f t="shared" si="1581"/>
        <v/>
      </c>
      <c r="AN65" s="344"/>
      <c r="AO65" s="40"/>
      <c r="AP65" s="62">
        <v>9</v>
      </c>
      <c r="AQ65" s="3" t="str">
        <f t="shared" si="1766"/>
        <v>Outcome Index 9  | Odd 9</v>
      </c>
      <c r="AR65" s="2">
        <f t="shared" si="1304"/>
        <v>96</v>
      </c>
      <c r="AS65" s="2">
        <f t="shared" si="109"/>
        <v>99</v>
      </c>
      <c r="AT65" s="2">
        <v>4</v>
      </c>
      <c r="AU65" s="207" t="str">
        <f t="shared" si="1767"/>
        <v/>
      </c>
      <c r="AV65" s="208"/>
      <c r="AW65" s="231" t="str">
        <f t="shared" si="1583"/>
        <v/>
      </c>
      <c r="AX65" s="344"/>
      <c r="AY65" s="40"/>
      <c r="AZ65" s="62">
        <v>9</v>
      </c>
      <c r="BA65" s="3" t="str">
        <f t="shared" si="1768"/>
        <v>Outcome Index 9  | Odd 9</v>
      </c>
      <c r="BB65" s="2">
        <f t="shared" si="1305"/>
        <v>96</v>
      </c>
      <c r="BC65" s="2">
        <f t="shared" si="113"/>
        <v>99</v>
      </c>
      <c r="BD65" s="2">
        <v>4</v>
      </c>
      <c r="BE65" s="207" t="str">
        <f t="shared" si="1769"/>
        <v/>
      </c>
      <c r="BF65" s="208"/>
      <c r="BG65" s="231" t="str">
        <f t="shared" si="1585"/>
        <v/>
      </c>
      <c r="BH65" s="344"/>
      <c r="BI65" s="40"/>
      <c r="BJ65" s="62">
        <v>9</v>
      </c>
      <c r="BK65" s="3" t="str">
        <f t="shared" si="1770"/>
        <v>Outcome Index 9  | Odd 9</v>
      </c>
      <c r="BL65" s="2">
        <f t="shared" si="1306"/>
        <v>96</v>
      </c>
      <c r="BM65" s="2">
        <f t="shared" si="117"/>
        <v>99</v>
      </c>
      <c r="BN65" s="2">
        <v>4</v>
      </c>
      <c r="BO65" s="207" t="str">
        <f t="shared" si="1771"/>
        <v/>
      </c>
      <c r="BP65" s="208"/>
      <c r="BQ65" s="231" t="str">
        <f t="shared" si="1587"/>
        <v/>
      </c>
      <c r="BR65" s="344"/>
      <c r="BS65" s="40"/>
      <c r="BT65" s="62">
        <v>9</v>
      </c>
      <c r="BU65" s="3" t="str">
        <f t="shared" si="1772"/>
        <v>Outcome Index 9  | Odd 9</v>
      </c>
      <c r="BV65" s="2">
        <f t="shared" si="1307"/>
        <v>96</v>
      </c>
      <c r="BW65" s="2">
        <f t="shared" si="121"/>
        <v>99</v>
      </c>
      <c r="BX65" s="2">
        <v>4</v>
      </c>
      <c r="BY65" s="207" t="str">
        <f t="shared" si="1773"/>
        <v/>
      </c>
      <c r="BZ65" s="208"/>
      <c r="CA65" s="231" t="str">
        <f t="shared" si="1589"/>
        <v/>
      </c>
      <c r="CB65" s="344"/>
      <c r="CC65" s="40"/>
      <c r="CD65" s="62">
        <v>9</v>
      </c>
      <c r="CE65" s="3" t="str">
        <f t="shared" si="1774"/>
        <v>Outcome Index 9  | Odd 9</v>
      </c>
      <c r="CF65" s="2">
        <f t="shared" si="1308"/>
        <v>96</v>
      </c>
      <c r="CG65" s="2">
        <f t="shared" si="125"/>
        <v>99</v>
      </c>
      <c r="CH65" s="2">
        <v>4</v>
      </c>
      <c r="CI65" s="207" t="str">
        <f t="shared" si="1775"/>
        <v/>
      </c>
      <c r="CJ65" s="208"/>
      <c r="CK65" s="231" t="str">
        <f t="shared" si="1591"/>
        <v/>
      </c>
      <c r="CL65" s="344"/>
      <c r="CM65" s="40"/>
      <c r="CN65" s="62">
        <v>9</v>
      </c>
      <c r="CO65" s="3" t="str">
        <f t="shared" si="1776"/>
        <v>Outcome Index 9  | Odd 9</v>
      </c>
      <c r="CP65" s="2">
        <f t="shared" si="1309"/>
        <v>96</v>
      </c>
      <c r="CQ65" s="2">
        <f t="shared" si="129"/>
        <v>99</v>
      </c>
      <c r="CR65" s="2">
        <v>4</v>
      </c>
      <c r="CS65" s="207" t="str">
        <f t="shared" si="1777"/>
        <v/>
      </c>
      <c r="CT65" s="208"/>
      <c r="CU65" s="231" t="str">
        <f t="shared" si="1593"/>
        <v/>
      </c>
      <c r="CV65" s="344"/>
      <c r="CW65" s="40"/>
      <c r="CX65" s="62">
        <v>9</v>
      </c>
      <c r="CY65" s="3" t="str">
        <f t="shared" si="1778"/>
        <v>Outcome Index 9  | Odd 9</v>
      </c>
      <c r="CZ65" s="2">
        <f t="shared" si="1310"/>
        <v>96</v>
      </c>
      <c r="DA65" s="2">
        <f t="shared" si="133"/>
        <v>99</v>
      </c>
      <c r="DB65" s="2">
        <v>4</v>
      </c>
      <c r="DC65" s="207" t="str">
        <f t="shared" si="1779"/>
        <v/>
      </c>
      <c r="DD65" s="208"/>
      <c r="DE65" s="231" t="str">
        <f t="shared" si="1595"/>
        <v/>
      </c>
      <c r="DF65" s="344"/>
      <c r="DG65" s="40"/>
      <c r="DH65" s="62">
        <v>9</v>
      </c>
      <c r="DI65" s="3" t="str">
        <f t="shared" si="1780"/>
        <v>Outcome Index 9  | Odd 9</v>
      </c>
      <c r="DJ65" s="2">
        <f t="shared" si="1311"/>
        <v>96</v>
      </c>
      <c r="DK65" s="2">
        <f t="shared" si="137"/>
        <v>99</v>
      </c>
      <c r="DL65" s="2">
        <v>4</v>
      </c>
      <c r="DM65" s="207" t="str">
        <f t="shared" si="1781"/>
        <v/>
      </c>
      <c r="DN65" s="208"/>
      <c r="DO65" s="231" t="str">
        <f t="shared" si="1597"/>
        <v/>
      </c>
      <c r="DP65" s="344"/>
      <c r="DQ65" s="40"/>
      <c r="DR65" s="62">
        <v>9</v>
      </c>
      <c r="DS65" s="3" t="str">
        <f t="shared" si="1782"/>
        <v>Outcome Index 9  | Odd 9</v>
      </c>
      <c r="DT65" s="2">
        <f t="shared" si="1312"/>
        <v>96</v>
      </c>
      <c r="DU65" s="2">
        <f t="shared" si="141"/>
        <v>99</v>
      </c>
      <c r="DV65" s="2">
        <v>4</v>
      </c>
      <c r="DW65" s="207" t="str">
        <f t="shared" si="1783"/>
        <v/>
      </c>
      <c r="DX65" s="208"/>
      <c r="DY65" s="231" t="str">
        <f t="shared" si="1599"/>
        <v/>
      </c>
      <c r="DZ65" s="344"/>
      <c r="EA65" s="40"/>
      <c r="EB65" s="62">
        <v>9</v>
      </c>
      <c r="EC65" s="3" t="str">
        <f t="shared" si="1784"/>
        <v>Outcome Index 9  | Odd 9</v>
      </c>
      <c r="ED65" s="2">
        <f t="shared" si="1313"/>
        <v>96</v>
      </c>
      <c r="EE65" s="2">
        <f t="shared" si="145"/>
        <v>99</v>
      </c>
      <c r="EF65" s="2">
        <v>4</v>
      </c>
      <c r="EG65" s="207" t="str">
        <f t="shared" si="1785"/>
        <v/>
      </c>
      <c r="EH65" s="208"/>
      <c r="EI65" s="231" t="str">
        <f t="shared" si="1601"/>
        <v/>
      </c>
      <c r="EJ65" s="344"/>
      <c r="EK65" s="40"/>
      <c r="EL65" s="62">
        <v>9</v>
      </c>
      <c r="EM65" s="3" t="str">
        <f t="shared" si="1786"/>
        <v>Outcome Index 9  | Odd 9</v>
      </c>
      <c r="EN65" s="2">
        <f t="shared" si="1314"/>
        <v>96</v>
      </c>
      <c r="EO65" s="2">
        <f t="shared" si="149"/>
        <v>99</v>
      </c>
      <c r="EP65" s="2">
        <v>4</v>
      </c>
      <c r="EQ65" s="207" t="str">
        <f t="shared" si="1787"/>
        <v/>
      </c>
      <c r="ER65" s="208"/>
      <c r="ES65" s="231" t="str">
        <f t="shared" si="1603"/>
        <v/>
      </c>
      <c r="ET65" s="344"/>
      <c r="EU65" s="40"/>
      <c r="EV65" s="62">
        <v>9</v>
      </c>
      <c r="EW65" s="3" t="str">
        <f t="shared" si="1788"/>
        <v>Outcome Index 9  | Odd 9</v>
      </c>
      <c r="EX65" s="2">
        <f t="shared" si="1315"/>
        <v>96</v>
      </c>
      <c r="EY65" s="2">
        <f t="shared" si="153"/>
        <v>99</v>
      </c>
      <c r="EZ65" s="2">
        <v>4</v>
      </c>
      <c r="FA65" s="207" t="str">
        <f t="shared" si="1789"/>
        <v/>
      </c>
      <c r="FB65" s="208"/>
      <c r="FC65" s="231" t="str">
        <f t="shared" si="1605"/>
        <v/>
      </c>
      <c r="FD65" s="344"/>
      <c r="FE65" s="40"/>
      <c r="FF65" s="62">
        <v>9</v>
      </c>
      <c r="FG65" s="3" t="str">
        <f t="shared" si="1790"/>
        <v>Outcome Index 9  | Odd 9</v>
      </c>
      <c r="FH65" s="2">
        <f t="shared" si="1316"/>
        <v>96</v>
      </c>
      <c r="FI65" s="2">
        <f t="shared" si="157"/>
        <v>99</v>
      </c>
      <c r="FJ65" s="2">
        <v>4</v>
      </c>
      <c r="FK65" s="207" t="str">
        <f t="shared" si="1791"/>
        <v/>
      </c>
      <c r="FL65" s="208"/>
      <c r="FM65" s="231" t="str">
        <f t="shared" si="1607"/>
        <v/>
      </c>
      <c r="FN65" s="344"/>
      <c r="FO65" s="40"/>
      <c r="FP65" s="62">
        <v>9</v>
      </c>
      <c r="FQ65" s="3" t="str">
        <f t="shared" si="1792"/>
        <v>Outcome Index 9  | Odd 9</v>
      </c>
      <c r="FR65" s="2">
        <f t="shared" si="1317"/>
        <v>96</v>
      </c>
      <c r="FS65" s="2">
        <f t="shared" si="161"/>
        <v>99</v>
      </c>
      <c r="FT65" s="2">
        <v>4</v>
      </c>
      <c r="FU65" s="207" t="str">
        <f t="shared" si="1793"/>
        <v/>
      </c>
      <c r="FV65" s="208"/>
      <c r="FW65" s="231" t="str">
        <f t="shared" si="1609"/>
        <v/>
      </c>
      <c r="FX65" s="344"/>
      <c r="FY65" s="40"/>
      <c r="FZ65" s="62">
        <v>9</v>
      </c>
      <c r="GA65" s="3" t="str">
        <f t="shared" si="1794"/>
        <v>Outcome Index 9  | Odd 9</v>
      </c>
      <c r="GB65" s="2">
        <f t="shared" si="1318"/>
        <v>96</v>
      </c>
      <c r="GC65" s="2">
        <f t="shared" si="165"/>
        <v>99</v>
      </c>
      <c r="GD65" s="2">
        <v>4</v>
      </c>
      <c r="GE65" s="207" t="str">
        <f t="shared" si="1795"/>
        <v/>
      </c>
      <c r="GF65" s="208"/>
      <c r="GG65" s="231" t="str">
        <f t="shared" si="1611"/>
        <v/>
      </c>
      <c r="GH65" s="344"/>
      <c r="GI65" s="40"/>
      <c r="GJ65" s="62">
        <v>9</v>
      </c>
      <c r="GK65" s="3" t="str">
        <f t="shared" si="1796"/>
        <v>Outcome Index 9  | Odd 9</v>
      </c>
      <c r="GL65" s="2">
        <f t="shared" si="1319"/>
        <v>96</v>
      </c>
      <c r="GM65" s="2">
        <f t="shared" si="169"/>
        <v>99</v>
      </c>
      <c r="GN65" s="2">
        <v>4</v>
      </c>
      <c r="GO65" s="207" t="str">
        <f t="shared" si="1797"/>
        <v/>
      </c>
      <c r="GP65" s="208"/>
      <c r="GQ65" s="231" t="str">
        <f t="shared" si="1613"/>
        <v/>
      </c>
      <c r="GR65" s="344"/>
      <c r="GS65" s="40"/>
      <c r="GT65" s="62">
        <v>9</v>
      </c>
      <c r="GU65" s="3" t="str">
        <f t="shared" si="1798"/>
        <v>Outcome Index 9  | Odd 9</v>
      </c>
      <c r="GV65" s="2">
        <f t="shared" si="1320"/>
        <v>96</v>
      </c>
      <c r="GW65" s="2">
        <f t="shared" si="173"/>
        <v>99</v>
      </c>
      <c r="GX65" s="2">
        <v>4</v>
      </c>
      <c r="GY65" s="207" t="str">
        <f t="shared" si="1799"/>
        <v/>
      </c>
      <c r="GZ65" s="208"/>
      <c r="HA65" s="231" t="str">
        <f t="shared" si="1615"/>
        <v/>
      </c>
      <c r="HB65" s="344"/>
      <c r="HC65" s="40"/>
      <c r="HD65" s="62">
        <v>9</v>
      </c>
      <c r="HE65" s="3" t="str">
        <f t="shared" si="1800"/>
        <v>Outcome Index 9  | Odd 9</v>
      </c>
      <c r="HF65" s="2">
        <f t="shared" si="1321"/>
        <v>96</v>
      </c>
      <c r="HG65" s="2">
        <f t="shared" si="177"/>
        <v>99</v>
      </c>
      <c r="HH65" s="2">
        <v>4</v>
      </c>
      <c r="HI65" s="207" t="str">
        <f t="shared" si="1801"/>
        <v/>
      </c>
      <c r="HJ65" s="208"/>
      <c r="HK65" s="231" t="str">
        <f t="shared" si="1617"/>
        <v/>
      </c>
      <c r="HL65" s="344"/>
      <c r="HM65" s="40"/>
      <c r="HN65" s="62">
        <v>9</v>
      </c>
      <c r="HO65" s="3" t="str">
        <f t="shared" si="1802"/>
        <v>Outcome Index 9  | Odd 9</v>
      </c>
      <c r="HP65" s="2">
        <f t="shared" si="1322"/>
        <v>96</v>
      </c>
      <c r="HQ65" s="2">
        <f t="shared" si="181"/>
        <v>99</v>
      </c>
      <c r="HR65" s="2">
        <v>4</v>
      </c>
      <c r="HS65" s="207" t="str">
        <f t="shared" si="1803"/>
        <v/>
      </c>
      <c r="HT65" s="208"/>
      <c r="HU65" s="231" t="str">
        <f t="shared" si="1619"/>
        <v/>
      </c>
      <c r="HV65" s="344"/>
      <c r="HW65" s="40"/>
      <c r="HX65" s="62">
        <v>9</v>
      </c>
      <c r="HY65" s="3" t="str">
        <f t="shared" si="1804"/>
        <v>Outcome Index 9  | Odd 9</v>
      </c>
      <c r="HZ65" s="2">
        <f t="shared" si="1323"/>
        <v>96</v>
      </c>
      <c r="IA65" s="2">
        <f t="shared" si="185"/>
        <v>99</v>
      </c>
      <c r="IB65" s="2">
        <v>4</v>
      </c>
      <c r="IC65" s="207" t="str">
        <f t="shared" si="1805"/>
        <v/>
      </c>
      <c r="ID65" s="208"/>
      <c r="IE65" s="231" t="str">
        <f t="shared" si="1621"/>
        <v/>
      </c>
      <c r="IF65" s="344"/>
      <c r="IG65" s="40"/>
      <c r="IH65" s="62">
        <v>9</v>
      </c>
      <c r="II65" s="3" t="str">
        <f t="shared" si="1806"/>
        <v>Outcome Index 9  | Odd 9</v>
      </c>
      <c r="IJ65" s="2">
        <f t="shared" si="1324"/>
        <v>96</v>
      </c>
      <c r="IK65" s="2">
        <f t="shared" si="189"/>
        <v>99</v>
      </c>
      <c r="IL65" s="2">
        <v>4</v>
      </c>
      <c r="IM65" s="207" t="str">
        <f t="shared" si="1807"/>
        <v/>
      </c>
      <c r="IN65" s="208"/>
      <c r="IO65" s="231" t="str">
        <f t="shared" si="1623"/>
        <v/>
      </c>
      <c r="IP65" s="344"/>
      <c r="IQ65" s="40"/>
      <c r="IR65" s="62">
        <v>9</v>
      </c>
      <c r="IS65" s="3" t="str">
        <f t="shared" si="1808"/>
        <v>Outcome Index 9  | Odd 9</v>
      </c>
      <c r="IT65" s="2">
        <f t="shared" si="1325"/>
        <v>96</v>
      </c>
      <c r="IU65" s="2">
        <f t="shared" si="193"/>
        <v>99</v>
      </c>
      <c r="IV65" s="2">
        <v>4</v>
      </c>
      <c r="IW65" s="207" t="str">
        <f t="shared" si="1809"/>
        <v/>
      </c>
      <c r="IX65" s="208"/>
      <c r="IY65" s="231" t="str">
        <f t="shared" si="1625"/>
        <v/>
      </c>
      <c r="IZ65" s="344"/>
      <c r="JA65" s="40"/>
      <c r="JB65" s="62">
        <v>9</v>
      </c>
      <c r="JC65" s="3" t="str">
        <f t="shared" si="1810"/>
        <v>Outcome Index 9  | Odd 9</v>
      </c>
      <c r="JD65" s="2">
        <f t="shared" si="1326"/>
        <v>96</v>
      </c>
      <c r="JE65" s="2">
        <f t="shared" si="197"/>
        <v>99</v>
      </c>
      <c r="JF65" s="2">
        <v>4</v>
      </c>
      <c r="JG65" s="207" t="str">
        <f t="shared" si="1811"/>
        <v/>
      </c>
      <c r="JH65" s="208"/>
      <c r="JI65" s="231" t="str">
        <f t="shared" si="1627"/>
        <v/>
      </c>
      <c r="JJ65" s="344"/>
      <c r="JK65" s="40"/>
      <c r="JL65" s="62">
        <v>9</v>
      </c>
      <c r="JM65" s="3" t="str">
        <f t="shared" si="1812"/>
        <v>Outcome Index 9  | Odd 9</v>
      </c>
      <c r="JN65" s="2">
        <f t="shared" si="1327"/>
        <v>96</v>
      </c>
      <c r="JO65" s="2">
        <f t="shared" si="201"/>
        <v>99</v>
      </c>
      <c r="JP65" s="2">
        <v>4</v>
      </c>
      <c r="JQ65" s="207" t="str">
        <f t="shared" si="1813"/>
        <v/>
      </c>
      <c r="JR65" s="208"/>
      <c r="JS65" s="231" t="str">
        <f t="shared" si="1629"/>
        <v/>
      </c>
      <c r="JT65" s="344"/>
      <c r="JU65" s="40"/>
      <c r="JV65" s="62">
        <v>9</v>
      </c>
      <c r="JW65" s="3" t="str">
        <f t="shared" si="1814"/>
        <v>Outcome Index 9  | Odd 9</v>
      </c>
      <c r="JX65" s="2">
        <f t="shared" si="1328"/>
        <v>96</v>
      </c>
      <c r="JY65" s="2">
        <f t="shared" si="205"/>
        <v>99</v>
      </c>
      <c r="JZ65" s="2">
        <v>4</v>
      </c>
      <c r="KA65" s="207" t="str">
        <f t="shared" si="1815"/>
        <v/>
      </c>
      <c r="KB65" s="208"/>
      <c r="KC65" s="231" t="str">
        <f t="shared" si="1631"/>
        <v/>
      </c>
      <c r="KD65" s="344"/>
      <c r="KE65" s="40"/>
      <c r="KF65" s="62">
        <v>9</v>
      </c>
      <c r="KG65" s="3" t="str">
        <f t="shared" si="1816"/>
        <v>Outcome Index 9  | Odd 9</v>
      </c>
      <c r="KH65" s="2">
        <f t="shared" si="1329"/>
        <v>96</v>
      </c>
      <c r="KI65" s="2">
        <f t="shared" si="209"/>
        <v>99</v>
      </c>
      <c r="KJ65" s="2">
        <v>4</v>
      </c>
      <c r="KK65" s="207" t="str">
        <f t="shared" si="1817"/>
        <v/>
      </c>
      <c r="KL65" s="208"/>
      <c r="KM65" s="231" t="str">
        <f t="shared" si="1633"/>
        <v/>
      </c>
      <c r="KN65" s="344"/>
      <c r="KO65" s="40"/>
      <c r="KP65" s="62">
        <v>9</v>
      </c>
      <c r="KQ65" s="3" t="str">
        <f t="shared" si="1818"/>
        <v>Outcome Index 9  | Odd 9</v>
      </c>
      <c r="KR65" s="2">
        <f t="shared" si="1330"/>
        <v>96</v>
      </c>
      <c r="KS65" s="2">
        <f t="shared" si="213"/>
        <v>99</v>
      </c>
      <c r="KT65" s="2">
        <v>4</v>
      </c>
      <c r="KU65" s="207" t="str">
        <f t="shared" si="1819"/>
        <v/>
      </c>
      <c r="KV65" s="208"/>
      <c r="KW65" s="231" t="str">
        <f t="shared" si="1635"/>
        <v/>
      </c>
      <c r="KX65" s="344"/>
      <c r="KY65" s="40"/>
      <c r="KZ65" s="62">
        <v>9</v>
      </c>
      <c r="LA65" s="3" t="str">
        <f t="shared" si="1820"/>
        <v>Outcome Index 9  | Odd 9</v>
      </c>
      <c r="LB65" s="2">
        <f t="shared" si="1331"/>
        <v>96</v>
      </c>
      <c r="LC65" s="2">
        <f t="shared" si="217"/>
        <v>99</v>
      </c>
      <c r="LD65" s="2">
        <v>4</v>
      </c>
      <c r="LE65" s="207" t="str">
        <f t="shared" si="1821"/>
        <v/>
      </c>
      <c r="LF65" s="208"/>
      <c r="LG65" s="231" t="str">
        <f t="shared" si="1637"/>
        <v/>
      </c>
      <c r="LH65" s="344"/>
      <c r="LI65" s="40"/>
      <c r="LJ65" s="62">
        <v>9</v>
      </c>
      <c r="LK65" s="3" t="str">
        <f t="shared" si="1822"/>
        <v>Outcome Index 9  | Odd 9</v>
      </c>
      <c r="LL65" s="2">
        <f t="shared" si="1332"/>
        <v>96</v>
      </c>
      <c r="LM65" s="2">
        <f t="shared" si="221"/>
        <v>99</v>
      </c>
      <c r="LN65" s="2">
        <v>4</v>
      </c>
      <c r="LO65" s="207" t="str">
        <f t="shared" si="1823"/>
        <v/>
      </c>
      <c r="LP65" s="208"/>
      <c r="LQ65" s="231" t="str">
        <f t="shared" si="1639"/>
        <v/>
      </c>
      <c r="LR65" s="344"/>
      <c r="LS65" s="40"/>
      <c r="LT65" s="62">
        <v>9</v>
      </c>
      <c r="LU65" s="3" t="str">
        <f t="shared" si="1824"/>
        <v>Outcome Index 9  | Odd 9</v>
      </c>
      <c r="LV65" s="2">
        <f t="shared" si="1333"/>
        <v>96</v>
      </c>
      <c r="LW65" s="2">
        <f t="shared" si="225"/>
        <v>99</v>
      </c>
      <c r="LX65" s="2">
        <v>4</v>
      </c>
      <c r="LY65" s="207" t="str">
        <f t="shared" si="1825"/>
        <v/>
      </c>
      <c r="LZ65" s="208"/>
      <c r="MA65" s="231" t="str">
        <f t="shared" si="1641"/>
        <v/>
      </c>
      <c r="MB65" s="344"/>
      <c r="MC65" s="40"/>
      <c r="MD65" s="62">
        <v>9</v>
      </c>
      <c r="ME65" s="3" t="str">
        <f t="shared" si="1826"/>
        <v>Outcome Index 9  | Odd 9</v>
      </c>
      <c r="MF65" s="2">
        <f t="shared" si="1334"/>
        <v>96</v>
      </c>
      <c r="MG65" s="2">
        <f t="shared" si="229"/>
        <v>99</v>
      </c>
      <c r="MH65" s="2">
        <v>4</v>
      </c>
      <c r="MI65" s="207" t="str">
        <f t="shared" si="1827"/>
        <v/>
      </c>
      <c r="MJ65" s="208"/>
      <c r="MK65" s="231" t="str">
        <f t="shared" si="1643"/>
        <v/>
      </c>
      <c r="ML65" s="344"/>
      <c r="MM65" s="40"/>
      <c r="MN65" s="62">
        <v>9</v>
      </c>
      <c r="MO65" s="3" t="str">
        <f t="shared" si="1828"/>
        <v>Outcome Index 9  | Odd 9</v>
      </c>
      <c r="MP65" s="2">
        <f t="shared" si="1335"/>
        <v>96</v>
      </c>
      <c r="MQ65" s="2">
        <f t="shared" si="233"/>
        <v>99</v>
      </c>
      <c r="MR65" s="2">
        <v>4</v>
      </c>
      <c r="MS65" s="207" t="str">
        <f t="shared" si="1829"/>
        <v/>
      </c>
      <c r="MT65" s="208"/>
      <c r="MU65" s="231" t="str">
        <f t="shared" si="1645"/>
        <v/>
      </c>
      <c r="MV65" s="344"/>
      <c r="MW65" s="40"/>
      <c r="MX65" s="62">
        <v>9</v>
      </c>
      <c r="MY65" s="3" t="str">
        <f t="shared" si="1830"/>
        <v>Outcome Index 9  | Odd 9</v>
      </c>
      <c r="MZ65" s="2">
        <f t="shared" si="1336"/>
        <v>96</v>
      </c>
      <c r="NA65" s="2">
        <f t="shared" si="237"/>
        <v>99</v>
      </c>
      <c r="NB65" s="2">
        <v>4</v>
      </c>
      <c r="NC65" s="207" t="str">
        <f t="shared" si="1831"/>
        <v/>
      </c>
      <c r="ND65" s="208"/>
      <c r="NE65" s="231" t="str">
        <f t="shared" si="1647"/>
        <v/>
      </c>
      <c r="NF65" s="344"/>
      <c r="NG65" s="40"/>
      <c r="NH65" s="62">
        <v>9</v>
      </c>
      <c r="NI65" s="3" t="str">
        <f t="shared" si="1832"/>
        <v>Outcome Index 9  | Odd 9</v>
      </c>
      <c r="NJ65" s="2">
        <f t="shared" si="1337"/>
        <v>96</v>
      </c>
      <c r="NK65" s="2">
        <f t="shared" si="241"/>
        <v>99</v>
      </c>
      <c r="NL65" s="2">
        <v>4</v>
      </c>
      <c r="NM65" s="207" t="str">
        <f t="shared" si="1833"/>
        <v/>
      </c>
      <c r="NN65" s="208"/>
      <c r="NO65" s="231" t="str">
        <f t="shared" si="1649"/>
        <v/>
      </c>
      <c r="NP65" s="344"/>
      <c r="NQ65" s="40"/>
      <c r="NR65" s="62">
        <v>9</v>
      </c>
      <c r="NS65" s="3" t="str">
        <f t="shared" si="1834"/>
        <v>Outcome Index 9  | Odd 9</v>
      </c>
      <c r="NT65" s="2">
        <f t="shared" si="1338"/>
        <v>96</v>
      </c>
      <c r="NU65" s="2">
        <f t="shared" si="245"/>
        <v>99</v>
      </c>
      <c r="NV65" s="2">
        <v>4</v>
      </c>
      <c r="NW65" s="207" t="str">
        <f t="shared" si="1835"/>
        <v/>
      </c>
      <c r="NX65" s="208"/>
      <c r="NY65" s="231" t="str">
        <f t="shared" si="1651"/>
        <v/>
      </c>
      <c r="NZ65" s="344"/>
      <c r="OA65" s="40"/>
      <c r="OB65" s="62">
        <v>9</v>
      </c>
      <c r="OC65" s="3" t="str">
        <f t="shared" si="1836"/>
        <v>Outcome Index 9  | Odd 9</v>
      </c>
      <c r="OD65" s="2">
        <f t="shared" si="1339"/>
        <v>96</v>
      </c>
      <c r="OE65" s="2">
        <f t="shared" si="249"/>
        <v>99</v>
      </c>
      <c r="OF65" s="2">
        <v>4</v>
      </c>
      <c r="OG65" s="207" t="str">
        <f t="shared" si="1837"/>
        <v/>
      </c>
      <c r="OH65" s="208"/>
      <c r="OI65" s="231" t="str">
        <f t="shared" si="1653"/>
        <v/>
      </c>
      <c r="OJ65" s="344"/>
      <c r="OK65" s="40"/>
      <c r="OL65" s="62">
        <v>9</v>
      </c>
      <c r="OM65" s="3" t="str">
        <f t="shared" si="1838"/>
        <v>Outcome Index 9  | Odd 9</v>
      </c>
      <c r="ON65" s="2">
        <f t="shared" si="1340"/>
        <v>96</v>
      </c>
      <c r="OO65" s="2">
        <f t="shared" si="253"/>
        <v>99</v>
      </c>
      <c r="OP65" s="2">
        <v>4</v>
      </c>
      <c r="OQ65" s="207" t="str">
        <f t="shared" si="1839"/>
        <v/>
      </c>
      <c r="OR65" s="208"/>
      <c r="OS65" s="231" t="str">
        <f t="shared" si="1655"/>
        <v/>
      </c>
      <c r="OT65" s="344"/>
      <c r="OU65" s="40"/>
      <c r="OV65" s="62">
        <v>9</v>
      </c>
      <c r="OW65" s="3" t="str">
        <f t="shared" si="1840"/>
        <v>Outcome Index 9  | Odd 9</v>
      </c>
      <c r="OX65" s="2">
        <f t="shared" si="1341"/>
        <v>96</v>
      </c>
      <c r="OY65" s="2">
        <f t="shared" si="257"/>
        <v>99</v>
      </c>
      <c r="OZ65" s="2">
        <v>4</v>
      </c>
      <c r="PA65" s="207" t="str">
        <f t="shared" si="1841"/>
        <v/>
      </c>
      <c r="PB65" s="208"/>
      <c r="PC65" s="231" t="str">
        <f t="shared" si="1657"/>
        <v/>
      </c>
      <c r="PD65" s="344"/>
      <c r="PE65" s="40"/>
      <c r="PF65" s="62">
        <v>9</v>
      </c>
      <c r="PG65" s="3" t="str">
        <f t="shared" si="1842"/>
        <v>Outcome Index 9  | Odd 9</v>
      </c>
      <c r="PH65" s="2">
        <f t="shared" si="1342"/>
        <v>96</v>
      </c>
      <c r="PI65" s="2">
        <f t="shared" si="261"/>
        <v>99</v>
      </c>
      <c r="PJ65" s="2">
        <v>4</v>
      </c>
      <c r="PK65" s="207" t="str">
        <f t="shared" si="1843"/>
        <v/>
      </c>
      <c r="PL65" s="208"/>
      <c r="PM65" s="231" t="str">
        <f t="shared" si="1659"/>
        <v/>
      </c>
      <c r="PN65" s="344"/>
      <c r="PO65" s="40"/>
      <c r="PP65" s="62">
        <v>9</v>
      </c>
      <c r="PQ65" s="3" t="str">
        <f t="shared" si="1844"/>
        <v>Outcome Index 9  | Odd 9</v>
      </c>
      <c r="PR65" s="2">
        <f t="shared" si="1343"/>
        <v>96</v>
      </c>
      <c r="PS65" s="2">
        <f t="shared" si="265"/>
        <v>99</v>
      </c>
      <c r="PT65" s="2">
        <v>4</v>
      </c>
      <c r="PU65" s="207" t="str">
        <f t="shared" si="1845"/>
        <v/>
      </c>
      <c r="PV65" s="208"/>
      <c r="PW65" s="231" t="str">
        <f t="shared" si="1661"/>
        <v/>
      </c>
      <c r="PX65" s="344"/>
      <c r="PY65" s="40"/>
      <c r="PZ65" s="62">
        <v>9</v>
      </c>
      <c r="QA65" s="3" t="str">
        <f t="shared" si="1846"/>
        <v>Outcome Index 9  | Odd 9</v>
      </c>
      <c r="QB65" s="2">
        <f t="shared" si="1344"/>
        <v>96</v>
      </c>
      <c r="QC65" s="2">
        <f t="shared" si="269"/>
        <v>99</v>
      </c>
      <c r="QD65" s="2">
        <v>4</v>
      </c>
      <c r="QE65" s="207" t="str">
        <f t="shared" si="1847"/>
        <v/>
      </c>
      <c r="QF65" s="208"/>
      <c r="QG65" s="231" t="str">
        <f t="shared" si="1663"/>
        <v/>
      </c>
      <c r="QH65" s="344"/>
      <c r="QI65" s="40"/>
      <c r="QJ65" s="62">
        <v>9</v>
      </c>
      <c r="QK65" s="3" t="str">
        <f t="shared" si="1848"/>
        <v>Outcome Index 9  | Odd 9</v>
      </c>
      <c r="QL65" s="2">
        <f t="shared" si="1345"/>
        <v>96</v>
      </c>
      <c r="QM65" s="2">
        <f t="shared" si="273"/>
        <v>99</v>
      </c>
      <c r="QN65" s="2">
        <v>4</v>
      </c>
      <c r="QO65" s="207" t="str">
        <f t="shared" si="1849"/>
        <v/>
      </c>
      <c r="QP65" s="208"/>
      <c r="QQ65" s="231" t="str">
        <f t="shared" si="1665"/>
        <v/>
      </c>
      <c r="QR65" s="344"/>
      <c r="QS65" s="40"/>
      <c r="QT65" s="62">
        <v>9</v>
      </c>
      <c r="QU65" s="3" t="str">
        <f t="shared" si="1850"/>
        <v>Outcome Index 9  | Odd 9</v>
      </c>
      <c r="QV65" s="2">
        <f t="shared" si="1346"/>
        <v>96</v>
      </c>
      <c r="QW65" s="2">
        <f t="shared" si="277"/>
        <v>99</v>
      </c>
      <c r="QX65" s="2">
        <v>4</v>
      </c>
      <c r="QY65" s="207" t="str">
        <f t="shared" si="1851"/>
        <v/>
      </c>
      <c r="QZ65" s="208"/>
      <c r="RA65" s="231" t="str">
        <f t="shared" si="1667"/>
        <v/>
      </c>
      <c r="RB65" s="344"/>
      <c r="RC65" s="40"/>
      <c r="RD65" s="62">
        <v>9</v>
      </c>
      <c r="RE65" s="3" t="str">
        <f t="shared" si="1852"/>
        <v>Outcome Index 9  | Odd 9</v>
      </c>
      <c r="RF65" s="2">
        <f t="shared" si="1347"/>
        <v>96</v>
      </c>
      <c r="RG65" s="2">
        <f t="shared" si="281"/>
        <v>99</v>
      </c>
      <c r="RH65" s="2">
        <v>4</v>
      </c>
      <c r="RI65" s="207" t="str">
        <f t="shared" si="1853"/>
        <v/>
      </c>
      <c r="RJ65" s="208"/>
      <c r="RK65" s="231" t="str">
        <f t="shared" si="1669"/>
        <v/>
      </c>
      <c r="RL65" s="344"/>
      <c r="RM65" s="40"/>
      <c r="RN65" s="62">
        <v>9</v>
      </c>
      <c r="RO65" s="3" t="str">
        <f t="shared" si="1854"/>
        <v>Outcome Index 9  | Odd 9</v>
      </c>
      <c r="RP65" s="2">
        <f t="shared" si="1348"/>
        <v>96</v>
      </c>
      <c r="RQ65" s="2">
        <f t="shared" si="285"/>
        <v>99</v>
      </c>
      <c r="RR65" s="2">
        <v>4</v>
      </c>
      <c r="RS65" s="207" t="str">
        <f t="shared" si="1855"/>
        <v/>
      </c>
      <c r="RT65" s="208"/>
      <c r="RU65" s="231" t="str">
        <f t="shared" si="1671"/>
        <v/>
      </c>
      <c r="RV65" s="344"/>
      <c r="RW65" s="40"/>
      <c r="RX65" s="62">
        <v>9</v>
      </c>
      <c r="RY65" s="3" t="str">
        <f t="shared" si="1856"/>
        <v>Outcome Index 9  | Odd 9</v>
      </c>
      <c r="RZ65" s="2">
        <f t="shared" si="1349"/>
        <v>96</v>
      </c>
      <c r="SA65" s="2">
        <f t="shared" si="289"/>
        <v>99</v>
      </c>
      <c r="SB65" s="2">
        <v>4</v>
      </c>
      <c r="SC65" s="207" t="str">
        <f t="shared" si="1857"/>
        <v/>
      </c>
      <c r="SD65" s="208"/>
      <c r="SE65" s="231" t="str">
        <f t="shared" si="1673"/>
        <v/>
      </c>
      <c r="SF65" s="344"/>
      <c r="SG65" s="40"/>
      <c r="SH65" s="62">
        <v>9</v>
      </c>
      <c r="SI65" s="3" t="str">
        <f t="shared" si="1858"/>
        <v>Outcome Index 9  | Odd 9</v>
      </c>
      <c r="SJ65" s="2">
        <f t="shared" si="1350"/>
        <v>96</v>
      </c>
      <c r="SK65" s="2">
        <f t="shared" si="293"/>
        <v>99</v>
      </c>
      <c r="SL65" s="2">
        <v>4</v>
      </c>
      <c r="SM65" s="207" t="str">
        <f t="shared" si="1859"/>
        <v/>
      </c>
      <c r="SN65" s="208"/>
      <c r="SO65" s="231" t="str">
        <f t="shared" si="1675"/>
        <v/>
      </c>
      <c r="SP65" s="344"/>
      <c r="SQ65" s="40"/>
      <c r="SR65" s="62">
        <v>9</v>
      </c>
      <c r="SS65" s="3" t="str">
        <f t="shared" si="1860"/>
        <v>Outcome Index 9  | Odd 9</v>
      </c>
      <c r="ST65" s="2">
        <f t="shared" si="1351"/>
        <v>96</v>
      </c>
      <c r="SU65" s="2">
        <f t="shared" si="297"/>
        <v>99</v>
      </c>
      <c r="SV65" s="2">
        <v>4</v>
      </c>
      <c r="SW65" s="207" t="str">
        <f t="shared" si="1861"/>
        <v/>
      </c>
      <c r="SX65" s="208"/>
      <c r="SY65" s="231" t="str">
        <f t="shared" si="1677"/>
        <v/>
      </c>
      <c r="SZ65" s="344"/>
      <c r="TA65" s="40"/>
      <c r="TB65" s="62">
        <v>9</v>
      </c>
      <c r="TC65" s="3" t="str">
        <f t="shared" si="1862"/>
        <v>Outcome Index 9  | Odd 9</v>
      </c>
      <c r="TD65" s="2">
        <f t="shared" si="1352"/>
        <v>96</v>
      </c>
      <c r="TE65" s="2">
        <f t="shared" si="301"/>
        <v>99</v>
      </c>
      <c r="TF65" s="2">
        <v>4</v>
      </c>
      <c r="TG65" s="207" t="str">
        <f t="shared" si="1863"/>
        <v/>
      </c>
      <c r="TH65" s="208"/>
      <c r="TI65" s="231" t="str">
        <f t="shared" si="1679"/>
        <v/>
      </c>
      <c r="TJ65" s="344"/>
      <c r="TK65" s="40"/>
      <c r="TL65" s="62">
        <v>9</v>
      </c>
      <c r="TM65" s="3" t="str">
        <f t="shared" si="1864"/>
        <v>Outcome Index 9  | Odd 9</v>
      </c>
      <c r="TN65" s="2">
        <f t="shared" si="1353"/>
        <v>96</v>
      </c>
      <c r="TO65" s="2">
        <f t="shared" si="305"/>
        <v>99</v>
      </c>
      <c r="TP65" s="2">
        <v>4</v>
      </c>
      <c r="TQ65" s="207" t="str">
        <f t="shared" si="1865"/>
        <v/>
      </c>
      <c r="TR65" s="208"/>
      <c r="TS65" s="231" t="str">
        <f t="shared" si="1681"/>
        <v/>
      </c>
      <c r="TT65" s="344"/>
      <c r="TU65" s="40"/>
      <c r="TV65" s="62">
        <v>9</v>
      </c>
      <c r="TW65" s="3" t="str">
        <f t="shared" si="1866"/>
        <v>Outcome Index 9  | Odd 9</v>
      </c>
      <c r="TX65" s="2">
        <f t="shared" si="1354"/>
        <v>96</v>
      </c>
      <c r="TY65" s="2">
        <f t="shared" si="309"/>
        <v>99</v>
      </c>
      <c r="TZ65" s="2">
        <v>4</v>
      </c>
      <c r="UA65" s="207" t="str">
        <f t="shared" si="1867"/>
        <v/>
      </c>
      <c r="UB65" s="208"/>
      <c r="UC65" s="231" t="str">
        <f t="shared" si="1683"/>
        <v/>
      </c>
      <c r="UD65" s="344"/>
      <c r="UE65" s="40"/>
      <c r="UF65" s="62">
        <v>9</v>
      </c>
      <c r="UG65" s="3" t="str">
        <f t="shared" si="1868"/>
        <v>Outcome Index 9  | Odd 9</v>
      </c>
      <c r="UH65" s="2">
        <f t="shared" si="1355"/>
        <v>96</v>
      </c>
      <c r="UI65" s="2">
        <f t="shared" si="313"/>
        <v>99</v>
      </c>
      <c r="UJ65" s="2">
        <v>4</v>
      </c>
      <c r="UK65" s="207" t="str">
        <f t="shared" si="1869"/>
        <v/>
      </c>
      <c r="UL65" s="208"/>
      <c r="UM65" s="231" t="str">
        <f t="shared" si="1685"/>
        <v/>
      </c>
      <c r="UN65" s="344"/>
      <c r="UO65" s="40"/>
      <c r="UP65" s="62">
        <v>9</v>
      </c>
      <c r="UQ65" s="3" t="str">
        <f t="shared" si="1870"/>
        <v>Outcome Index 9  | Odd 9</v>
      </c>
      <c r="UR65" s="2">
        <f t="shared" si="1356"/>
        <v>96</v>
      </c>
      <c r="US65" s="2">
        <f t="shared" si="317"/>
        <v>99</v>
      </c>
      <c r="UT65" s="2">
        <v>4</v>
      </c>
      <c r="UU65" s="207" t="str">
        <f t="shared" si="1871"/>
        <v/>
      </c>
      <c r="UV65" s="208"/>
      <c r="UW65" s="231" t="str">
        <f t="shared" si="1687"/>
        <v/>
      </c>
      <c r="UX65" s="344"/>
      <c r="UY65" s="40"/>
      <c r="UZ65" s="62">
        <v>9</v>
      </c>
      <c r="VA65" s="3" t="str">
        <f t="shared" si="1872"/>
        <v>Outcome Index 9  | Odd 9</v>
      </c>
      <c r="VB65" s="2">
        <f t="shared" si="1357"/>
        <v>96</v>
      </c>
      <c r="VC65" s="2">
        <f t="shared" si="321"/>
        <v>99</v>
      </c>
      <c r="VD65" s="2">
        <v>4</v>
      </c>
      <c r="VE65" s="207" t="str">
        <f t="shared" si="1873"/>
        <v/>
      </c>
      <c r="VF65" s="208"/>
      <c r="VG65" s="231" t="str">
        <f t="shared" si="1689"/>
        <v/>
      </c>
      <c r="VH65" s="344"/>
      <c r="VI65" s="40"/>
      <c r="VJ65" s="62">
        <v>9</v>
      </c>
      <c r="VK65" s="3" t="str">
        <f t="shared" si="1874"/>
        <v>Outcome Index 9  | Odd 9</v>
      </c>
      <c r="VL65" s="2">
        <f t="shared" si="1358"/>
        <v>96</v>
      </c>
      <c r="VM65" s="2">
        <f t="shared" si="325"/>
        <v>99</v>
      </c>
      <c r="VN65" s="2">
        <v>4</v>
      </c>
      <c r="VO65" s="207" t="str">
        <f t="shared" si="1875"/>
        <v/>
      </c>
      <c r="VP65" s="208"/>
      <c r="VQ65" s="231" t="str">
        <f t="shared" si="1691"/>
        <v/>
      </c>
      <c r="VR65" s="344"/>
      <c r="VS65" s="40"/>
      <c r="VT65" s="62">
        <v>9</v>
      </c>
      <c r="VU65" s="3" t="str">
        <f t="shared" si="1876"/>
        <v>Outcome Index 9  | Odd 9</v>
      </c>
      <c r="VV65" s="2">
        <f t="shared" si="1359"/>
        <v>96</v>
      </c>
      <c r="VW65" s="2">
        <f t="shared" si="329"/>
        <v>99</v>
      </c>
      <c r="VX65" s="2">
        <v>4</v>
      </c>
      <c r="VY65" s="207" t="str">
        <f t="shared" si="1877"/>
        <v/>
      </c>
      <c r="VZ65" s="208"/>
      <c r="WA65" s="231" t="str">
        <f t="shared" si="1693"/>
        <v/>
      </c>
      <c r="WB65" s="344"/>
      <c r="WC65" s="40"/>
      <c r="WD65" s="62">
        <v>9</v>
      </c>
      <c r="WE65" s="3" t="str">
        <f t="shared" si="1878"/>
        <v>Outcome Index 9  | Odd 9</v>
      </c>
      <c r="WF65" s="2">
        <f t="shared" si="1360"/>
        <v>96</v>
      </c>
      <c r="WG65" s="2">
        <f t="shared" si="333"/>
        <v>99</v>
      </c>
      <c r="WH65" s="2">
        <v>4</v>
      </c>
      <c r="WI65" s="207" t="str">
        <f t="shared" si="1879"/>
        <v/>
      </c>
      <c r="WJ65" s="208"/>
      <c r="WK65" s="231" t="str">
        <f t="shared" si="1695"/>
        <v/>
      </c>
      <c r="WL65" s="344"/>
      <c r="WM65" s="40"/>
      <c r="WN65" s="62">
        <v>9</v>
      </c>
      <c r="WO65" s="3" t="str">
        <f t="shared" si="1880"/>
        <v>Outcome Index 9  | Odd 9</v>
      </c>
      <c r="WP65" s="2">
        <f t="shared" si="1361"/>
        <v>96</v>
      </c>
      <c r="WQ65" s="2">
        <f t="shared" si="337"/>
        <v>99</v>
      </c>
      <c r="WR65" s="2">
        <v>4</v>
      </c>
      <c r="WS65" s="207" t="str">
        <f t="shared" si="1881"/>
        <v/>
      </c>
      <c r="WT65" s="208"/>
      <c r="WU65" s="231" t="str">
        <f t="shared" si="1697"/>
        <v/>
      </c>
      <c r="WV65" s="344"/>
      <c r="WW65" s="40"/>
      <c r="WX65" s="62">
        <v>9</v>
      </c>
      <c r="WY65" s="3" t="str">
        <f t="shared" si="1882"/>
        <v>Outcome Index 9  | Odd 9</v>
      </c>
      <c r="WZ65" s="2">
        <f t="shared" si="1362"/>
        <v>96</v>
      </c>
      <c r="XA65" s="2">
        <f t="shared" si="341"/>
        <v>99</v>
      </c>
      <c r="XB65" s="2">
        <v>4</v>
      </c>
      <c r="XC65" s="207" t="str">
        <f t="shared" si="1883"/>
        <v/>
      </c>
      <c r="XD65" s="208"/>
      <c r="XE65" s="231" t="str">
        <f t="shared" si="1699"/>
        <v/>
      </c>
      <c r="XF65" s="344"/>
      <c r="XG65" s="40"/>
      <c r="XH65" s="62">
        <v>9</v>
      </c>
      <c r="XI65" s="3" t="str">
        <f t="shared" si="1884"/>
        <v>Outcome Index 9  | Odd 9</v>
      </c>
      <c r="XJ65" s="2">
        <f t="shared" si="1363"/>
        <v>96</v>
      </c>
      <c r="XK65" s="2">
        <f t="shared" si="345"/>
        <v>99</v>
      </c>
      <c r="XL65" s="2">
        <v>4</v>
      </c>
      <c r="XM65" s="207" t="str">
        <f t="shared" si="1885"/>
        <v/>
      </c>
      <c r="XN65" s="208"/>
      <c r="XO65" s="231" t="str">
        <f t="shared" si="1701"/>
        <v/>
      </c>
      <c r="XP65" s="344"/>
      <c r="XQ65" s="40"/>
      <c r="XR65" s="62">
        <v>9</v>
      </c>
      <c r="XS65" s="3" t="str">
        <f t="shared" si="1886"/>
        <v>Outcome Index 9  | Odd 9</v>
      </c>
      <c r="XT65" s="2">
        <f t="shared" si="1364"/>
        <v>96</v>
      </c>
      <c r="XU65" s="2">
        <f t="shared" si="349"/>
        <v>99</v>
      </c>
      <c r="XV65" s="2">
        <v>4</v>
      </c>
      <c r="XW65" s="207" t="str">
        <f t="shared" si="1887"/>
        <v/>
      </c>
      <c r="XX65" s="208"/>
      <c r="XY65" s="231" t="str">
        <f t="shared" si="1703"/>
        <v/>
      </c>
      <c r="XZ65" s="344"/>
      <c r="YA65" s="40"/>
      <c r="YB65" s="62">
        <v>9</v>
      </c>
      <c r="YC65" s="3" t="str">
        <f t="shared" si="1888"/>
        <v>Outcome Index 9  | Odd 9</v>
      </c>
      <c r="YD65" s="2">
        <f t="shared" si="1365"/>
        <v>96</v>
      </c>
      <c r="YE65" s="2">
        <f t="shared" si="353"/>
        <v>99</v>
      </c>
      <c r="YF65" s="2">
        <v>4</v>
      </c>
      <c r="YG65" s="207" t="str">
        <f t="shared" si="1889"/>
        <v/>
      </c>
      <c r="YH65" s="208"/>
      <c r="YI65" s="231" t="str">
        <f t="shared" si="1705"/>
        <v/>
      </c>
      <c r="YJ65" s="344"/>
      <c r="YK65" s="40"/>
      <c r="YL65" s="62">
        <v>9</v>
      </c>
      <c r="YM65" s="3" t="str">
        <f t="shared" si="1890"/>
        <v>Outcome Index 9  | Odd 9</v>
      </c>
      <c r="YN65" s="2">
        <f t="shared" si="1366"/>
        <v>96</v>
      </c>
      <c r="YO65" s="2">
        <f t="shared" si="357"/>
        <v>99</v>
      </c>
      <c r="YP65" s="2">
        <v>4</v>
      </c>
      <c r="YQ65" s="207" t="str">
        <f t="shared" si="1891"/>
        <v/>
      </c>
      <c r="YR65" s="208"/>
      <c r="YS65" s="231" t="str">
        <f t="shared" si="1707"/>
        <v/>
      </c>
      <c r="YT65" s="344"/>
      <c r="YU65" s="40"/>
      <c r="YV65" s="62">
        <v>9</v>
      </c>
      <c r="YW65" s="3" t="str">
        <f t="shared" si="1892"/>
        <v>Outcome Index 9  | Odd 9</v>
      </c>
      <c r="YX65" s="2">
        <f t="shared" si="1367"/>
        <v>96</v>
      </c>
      <c r="YY65" s="2">
        <f t="shared" si="361"/>
        <v>99</v>
      </c>
      <c r="YZ65" s="2">
        <v>4</v>
      </c>
      <c r="ZA65" s="207" t="str">
        <f t="shared" si="1893"/>
        <v/>
      </c>
      <c r="ZB65" s="208"/>
      <c r="ZC65" s="231" t="str">
        <f t="shared" si="1709"/>
        <v/>
      </c>
      <c r="ZD65" s="344"/>
      <c r="ZE65" s="40"/>
      <c r="ZF65" s="62">
        <v>9</v>
      </c>
      <c r="ZG65" s="3" t="str">
        <f t="shared" si="1894"/>
        <v>Outcome Index 9  | Odd 9</v>
      </c>
      <c r="ZH65" s="2">
        <f t="shared" si="1368"/>
        <v>96</v>
      </c>
      <c r="ZI65" s="2">
        <f t="shared" si="365"/>
        <v>99</v>
      </c>
      <c r="ZJ65" s="2">
        <v>4</v>
      </c>
      <c r="ZK65" s="207" t="str">
        <f t="shared" si="1895"/>
        <v/>
      </c>
      <c r="ZL65" s="208"/>
      <c r="ZM65" s="231" t="str">
        <f t="shared" si="1711"/>
        <v/>
      </c>
      <c r="ZN65" s="344"/>
      <c r="ZO65" s="40"/>
      <c r="ZP65" s="62">
        <v>9</v>
      </c>
      <c r="ZQ65" s="3" t="str">
        <f t="shared" si="1896"/>
        <v>Outcome Index 9  | Odd 9</v>
      </c>
      <c r="ZR65" s="2">
        <f t="shared" si="1369"/>
        <v>96</v>
      </c>
      <c r="ZS65" s="2">
        <f t="shared" si="369"/>
        <v>99</v>
      </c>
      <c r="ZT65" s="2">
        <v>4</v>
      </c>
      <c r="ZU65" s="207" t="str">
        <f t="shared" si="1897"/>
        <v/>
      </c>
      <c r="ZV65" s="208"/>
      <c r="ZW65" s="231" t="str">
        <f t="shared" si="1713"/>
        <v/>
      </c>
      <c r="ZX65" s="344"/>
      <c r="ZY65" s="40"/>
      <c r="ZZ65" s="62">
        <v>9</v>
      </c>
      <c r="AAA65" s="3" t="str">
        <f t="shared" si="1898"/>
        <v>Outcome Index 9  | Odd 9</v>
      </c>
      <c r="AAB65" s="2">
        <f t="shared" si="1370"/>
        <v>96</v>
      </c>
      <c r="AAC65" s="2">
        <f t="shared" si="373"/>
        <v>99</v>
      </c>
      <c r="AAD65" s="2">
        <v>4</v>
      </c>
      <c r="AAE65" s="207" t="str">
        <f t="shared" si="1899"/>
        <v/>
      </c>
      <c r="AAF65" s="208"/>
      <c r="AAG65" s="231" t="str">
        <f t="shared" si="1715"/>
        <v/>
      </c>
      <c r="AAH65" s="344"/>
      <c r="AAI65" s="40"/>
      <c r="AAJ65" s="62">
        <v>9</v>
      </c>
      <c r="AAK65" s="3" t="str">
        <f t="shared" si="1900"/>
        <v>Outcome Index 9  | Odd 9</v>
      </c>
      <c r="AAL65" s="2">
        <f t="shared" si="1371"/>
        <v>96</v>
      </c>
      <c r="AAM65" s="2">
        <f t="shared" si="377"/>
        <v>99</v>
      </c>
      <c r="AAN65" s="2">
        <v>4</v>
      </c>
      <c r="AAO65" s="207" t="str">
        <f t="shared" si="1901"/>
        <v/>
      </c>
      <c r="AAP65" s="208"/>
      <c r="AAQ65" s="231" t="str">
        <f t="shared" si="1717"/>
        <v/>
      </c>
      <c r="AAR65" s="344"/>
      <c r="AAS65" s="40"/>
      <c r="AAT65" s="62">
        <v>9</v>
      </c>
      <c r="AAU65" s="3" t="str">
        <f t="shared" si="1902"/>
        <v>Outcome Index 9  | Odd 9</v>
      </c>
      <c r="AAV65" s="2">
        <f t="shared" si="1372"/>
        <v>96</v>
      </c>
      <c r="AAW65" s="2">
        <f t="shared" si="381"/>
        <v>99</v>
      </c>
      <c r="AAX65" s="2">
        <v>4</v>
      </c>
      <c r="AAY65" s="207" t="str">
        <f t="shared" si="1903"/>
        <v/>
      </c>
      <c r="AAZ65" s="208"/>
      <c r="ABA65" s="231" t="str">
        <f t="shared" si="1719"/>
        <v/>
      </c>
      <c r="ABB65" s="344"/>
      <c r="ABC65" s="40"/>
      <c r="ABD65" s="62">
        <v>9</v>
      </c>
      <c r="ABE65" s="3" t="str">
        <f t="shared" si="1904"/>
        <v>Outcome Index 9  | Odd 9</v>
      </c>
      <c r="ABF65" s="2">
        <f t="shared" si="1373"/>
        <v>96</v>
      </c>
      <c r="ABG65" s="2">
        <f t="shared" si="385"/>
        <v>99</v>
      </c>
      <c r="ABH65" s="2">
        <v>4</v>
      </c>
      <c r="ABI65" s="207" t="str">
        <f t="shared" si="1905"/>
        <v/>
      </c>
      <c r="ABJ65" s="208"/>
      <c r="ABK65" s="231" t="str">
        <f t="shared" si="1721"/>
        <v/>
      </c>
      <c r="ABL65" s="344"/>
      <c r="ABM65" s="40"/>
      <c r="ABN65" s="62">
        <v>9</v>
      </c>
      <c r="ABO65" s="3" t="str">
        <f t="shared" si="1906"/>
        <v>Outcome Index 9  | Odd 9</v>
      </c>
      <c r="ABP65" s="2">
        <f t="shared" si="1374"/>
        <v>96</v>
      </c>
      <c r="ABQ65" s="2">
        <f t="shared" si="389"/>
        <v>99</v>
      </c>
      <c r="ABR65" s="2">
        <v>4</v>
      </c>
      <c r="ABS65" s="207" t="str">
        <f t="shared" si="1907"/>
        <v/>
      </c>
      <c r="ABT65" s="208"/>
      <c r="ABU65" s="231" t="str">
        <f t="shared" si="1723"/>
        <v/>
      </c>
      <c r="ABV65" s="344"/>
      <c r="ABW65" s="40"/>
      <c r="ABX65" s="62">
        <v>9</v>
      </c>
      <c r="ABY65" s="3" t="str">
        <f t="shared" si="1908"/>
        <v>Outcome Index 9  | Odd 9</v>
      </c>
      <c r="ABZ65" s="2">
        <f t="shared" si="1375"/>
        <v>96</v>
      </c>
      <c r="ACA65" s="2">
        <f t="shared" si="393"/>
        <v>99</v>
      </c>
      <c r="ACB65" s="2">
        <v>4</v>
      </c>
      <c r="ACC65" s="207" t="str">
        <f t="shared" si="1909"/>
        <v/>
      </c>
      <c r="ACD65" s="208"/>
      <c r="ACE65" s="231" t="str">
        <f t="shared" si="1725"/>
        <v/>
      </c>
      <c r="ACF65" s="344"/>
      <c r="ACG65" s="40"/>
      <c r="ACH65" s="62">
        <v>9</v>
      </c>
      <c r="ACI65" s="3" t="str">
        <f t="shared" si="1910"/>
        <v>Outcome Index 9  | Odd 9</v>
      </c>
      <c r="ACJ65" s="2">
        <f t="shared" si="1376"/>
        <v>96</v>
      </c>
      <c r="ACK65" s="2">
        <f t="shared" si="397"/>
        <v>99</v>
      </c>
      <c r="ACL65" s="2">
        <v>4</v>
      </c>
      <c r="ACM65" s="207" t="str">
        <f t="shared" si="1911"/>
        <v/>
      </c>
      <c r="ACN65" s="208"/>
      <c r="ACO65" s="231" t="str">
        <f t="shared" si="1727"/>
        <v/>
      </c>
      <c r="ACP65" s="344"/>
      <c r="ACQ65" s="40"/>
      <c r="ACR65" s="62">
        <v>9</v>
      </c>
      <c r="ACS65" s="3" t="str">
        <f t="shared" si="1912"/>
        <v>Outcome Index 9  | Odd 9</v>
      </c>
      <c r="ACT65" s="2">
        <f t="shared" si="1377"/>
        <v>96</v>
      </c>
      <c r="ACU65" s="2">
        <f t="shared" si="401"/>
        <v>99</v>
      </c>
      <c r="ACV65" s="2">
        <v>4</v>
      </c>
      <c r="ACW65" s="207" t="str">
        <f t="shared" si="1913"/>
        <v/>
      </c>
      <c r="ACX65" s="208"/>
      <c r="ACY65" s="231" t="str">
        <f t="shared" si="1729"/>
        <v/>
      </c>
      <c r="ACZ65" s="344"/>
      <c r="ADA65" s="40"/>
      <c r="ADB65" s="62">
        <v>9</v>
      </c>
      <c r="ADC65" s="3" t="str">
        <f t="shared" si="1914"/>
        <v>Outcome Index 9  | Odd 9</v>
      </c>
      <c r="ADD65" s="2">
        <f t="shared" si="1378"/>
        <v>96</v>
      </c>
      <c r="ADE65" s="2">
        <f t="shared" si="405"/>
        <v>99</v>
      </c>
      <c r="ADF65" s="2">
        <v>4</v>
      </c>
      <c r="ADG65" s="207" t="str">
        <f t="shared" si="1915"/>
        <v/>
      </c>
      <c r="ADH65" s="208"/>
      <c r="ADI65" s="231" t="str">
        <f t="shared" si="1731"/>
        <v/>
      </c>
      <c r="ADJ65" s="344"/>
      <c r="ADK65" s="40"/>
      <c r="ADL65" s="62">
        <v>9</v>
      </c>
      <c r="ADM65" s="3" t="str">
        <f t="shared" si="1916"/>
        <v>Outcome Index 9  | Odd 9</v>
      </c>
      <c r="ADN65" s="2">
        <f t="shared" si="1379"/>
        <v>96</v>
      </c>
      <c r="ADO65" s="2">
        <f t="shared" si="409"/>
        <v>99</v>
      </c>
      <c r="ADP65" s="2">
        <v>4</v>
      </c>
      <c r="ADQ65" s="207" t="str">
        <f t="shared" si="1917"/>
        <v/>
      </c>
      <c r="ADR65" s="208"/>
      <c r="ADS65" s="231" t="str">
        <f t="shared" si="1733"/>
        <v/>
      </c>
      <c r="ADT65" s="344"/>
      <c r="ADU65" s="40"/>
      <c r="ADV65" s="62">
        <v>9</v>
      </c>
      <c r="ADW65" s="3" t="str">
        <f t="shared" si="1918"/>
        <v>Outcome Index 9  | Odd 9</v>
      </c>
      <c r="ADX65" s="2">
        <f t="shared" si="1380"/>
        <v>96</v>
      </c>
      <c r="ADY65" s="2">
        <f t="shared" si="413"/>
        <v>99</v>
      </c>
      <c r="ADZ65" s="2">
        <v>4</v>
      </c>
      <c r="AEA65" s="207" t="str">
        <f t="shared" si="1919"/>
        <v/>
      </c>
      <c r="AEB65" s="208"/>
      <c r="AEC65" s="231" t="str">
        <f t="shared" si="1735"/>
        <v/>
      </c>
      <c r="AED65" s="344"/>
      <c r="AEE65" s="40"/>
      <c r="AEF65" s="62">
        <v>9</v>
      </c>
      <c r="AEG65" s="3" t="str">
        <f t="shared" si="1920"/>
        <v>Outcome Index 9  | Odd 9</v>
      </c>
      <c r="AEH65" s="2">
        <f t="shared" si="1381"/>
        <v>96</v>
      </c>
      <c r="AEI65" s="2">
        <f t="shared" si="417"/>
        <v>99</v>
      </c>
      <c r="AEJ65" s="2">
        <v>4</v>
      </c>
      <c r="AEK65" s="207" t="str">
        <f t="shared" si="1921"/>
        <v/>
      </c>
      <c r="AEL65" s="208"/>
      <c r="AEM65" s="231" t="str">
        <f t="shared" si="1737"/>
        <v/>
      </c>
      <c r="AEN65" s="344"/>
      <c r="AEO65" s="40"/>
      <c r="AEP65" s="62">
        <v>9</v>
      </c>
      <c r="AEQ65" s="3" t="str">
        <f t="shared" si="1922"/>
        <v>Outcome Index 9  | Odd 9</v>
      </c>
      <c r="AER65" s="2">
        <f t="shared" si="1382"/>
        <v>96</v>
      </c>
      <c r="AES65" s="2">
        <f t="shared" si="421"/>
        <v>99</v>
      </c>
      <c r="AET65" s="2">
        <v>4</v>
      </c>
      <c r="AEU65" s="207" t="str">
        <f t="shared" si="1923"/>
        <v/>
      </c>
      <c r="AEV65" s="208"/>
      <c r="AEW65" s="231" t="str">
        <f t="shared" si="1739"/>
        <v/>
      </c>
      <c r="AEX65" s="344"/>
      <c r="AEY65" s="40"/>
      <c r="AEZ65" s="62">
        <v>9</v>
      </c>
      <c r="AFA65" s="3" t="str">
        <f t="shared" si="1924"/>
        <v>Outcome Index 9  | Odd 9</v>
      </c>
      <c r="AFB65" s="2">
        <f t="shared" si="1383"/>
        <v>96</v>
      </c>
      <c r="AFC65" s="2">
        <f t="shared" si="425"/>
        <v>99</v>
      </c>
      <c r="AFD65" s="2">
        <v>4</v>
      </c>
      <c r="AFE65" s="207" t="str">
        <f t="shared" si="1925"/>
        <v/>
      </c>
      <c r="AFF65" s="208"/>
      <c r="AFG65" s="231" t="str">
        <f t="shared" si="1741"/>
        <v/>
      </c>
      <c r="AFH65" s="344"/>
      <c r="AFI65" s="40"/>
      <c r="AFJ65" s="62">
        <v>9</v>
      </c>
      <c r="AFK65" s="3" t="str">
        <f t="shared" si="1926"/>
        <v>Outcome Index 9  | Odd 9</v>
      </c>
      <c r="AFL65" s="2">
        <f t="shared" si="1384"/>
        <v>96</v>
      </c>
      <c r="AFM65" s="2">
        <f t="shared" si="429"/>
        <v>99</v>
      </c>
      <c r="AFN65" s="2">
        <v>4</v>
      </c>
      <c r="AFO65" s="207" t="str">
        <f t="shared" si="1927"/>
        <v/>
      </c>
      <c r="AFP65" s="208"/>
      <c r="AFQ65" s="231" t="str">
        <f t="shared" si="1743"/>
        <v/>
      </c>
      <c r="AFR65" s="344"/>
      <c r="AFS65" s="40"/>
      <c r="AFT65" s="62">
        <v>9</v>
      </c>
      <c r="AFU65" s="3" t="str">
        <f t="shared" si="1928"/>
        <v>Outcome Index 9  | Odd 9</v>
      </c>
      <c r="AFV65" s="2">
        <f t="shared" si="1385"/>
        <v>96</v>
      </c>
      <c r="AFW65" s="2">
        <f t="shared" si="433"/>
        <v>99</v>
      </c>
      <c r="AFX65" s="2">
        <v>4</v>
      </c>
      <c r="AFY65" s="207" t="str">
        <f t="shared" si="1929"/>
        <v/>
      </c>
      <c r="AFZ65" s="208"/>
      <c r="AGA65" s="231" t="str">
        <f t="shared" si="1745"/>
        <v/>
      </c>
      <c r="AGB65" s="344"/>
      <c r="AGC65" s="40"/>
      <c r="AGD65" s="62">
        <v>9</v>
      </c>
      <c r="AGE65" s="3" t="str">
        <f t="shared" si="1930"/>
        <v>Outcome Index 9  | Odd 9</v>
      </c>
      <c r="AGF65" s="2">
        <f t="shared" si="1386"/>
        <v>96</v>
      </c>
      <c r="AGG65" s="2">
        <f t="shared" si="437"/>
        <v>99</v>
      </c>
      <c r="AGH65" s="2">
        <v>4</v>
      </c>
      <c r="AGI65" s="207" t="str">
        <f t="shared" si="1931"/>
        <v/>
      </c>
      <c r="AGJ65" s="208"/>
      <c r="AGK65" s="231" t="str">
        <f t="shared" si="1747"/>
        <v/>
      </c>
      <c r="AGL65" s="344"/>
      <c r="AGM65" s="40"/>
      <c r="AGN65" s="62">
        <v>9</v>
      </c>
      <c r="AGO65" s="3" t="str">
        <f t="shared" si="1932"/>
        <v>Outcome Index 9  | Odd 9</v>
      </c>
      <c r="AGP65" s="2">
        <f t="shared" si="1387"/>
        <v>96</v>
      </c>
      <c r="AGQ65" s="2">
        <f t="shared" si="441"/>
        <v>99</v>
      </c>
      <c r="AGR65" s="2">
        <v>4</v>
      </c>
      <c r="AGS65" s="207" t="str">
        <f t="shared" si="1933"/>
        <v/>
      </c>
      <c r="AGT65" s="208"/>
      <c r="AGU65" s="231" t="str">
        <f t="shared" si="1749"/>
        <v/>
      </c>
      <c r="AGV65" s="344"/>
      <c r="AGW65" s="40"/>
      <c r="AGX65" s="62">
        <v>9</v>
      </c>
      <c r="AGY65" s="3" t="str">
        <f t="shared" si="1934"/>
        <v>Outcome Index 9  | Odd 9</v>
      </c>
      <c r="AGZ65" s="2">
        <f t="shared" si="1388"/>
        <v>96</v>
      </c>
      <c r="AHA65" s="2">
        <f t="shared" si="445"/>
        <v>99</v>
      </c>
      <c r="AHB65" s="2">
        <v>4</v>
      </c>
      <c r="AHC65" s="207" t="str">
        <f t="shared" si="1935"/>
        <v/>
      </c>
      <c r="AHD65" s="208"/>
      <c r="AHE65" s="231" t="str">
        <f t="shared" si="1751"/>
        <v/>
      </c>
      <c r="AHF65" s="344"/>
      <c r="AHG65" s="40"/>
      <c r="AHH65" s="62">
        <v>9</v>
      </c>
      <c r="AHI65" s="3" t="str">
        <f t="shared" si="1936"/>
        <v>Outcome Index 9  | Odd 9</v>
      </c>
      <c r="AHJ65" s="2">
        <f t="shared" si="1389"/>
        <v>96</v>
      </c>
      <c r="AHK65" s="2">
        <f t="shared" si="449"/>
        <v>99</v>
      </c>
      <c r="AHL65" s="2">
        <v>4</v>
      </c>
      <c r="AHM65" s="207" t="str">
        <f t="shared" si="1937"/>
        <v/>
      </c>
      <c r="AHN65" s="208"/>
      <c r="AHO65" s="231" t="str">
        <f t="shared" si="1753"/>
        <v/>
      </c>
      <c r="AHP65" s="344"/>
      <c r="AHQ65" s="40"/>
      <c r="AHR65" s="62">
        <v>9</v>
      </c>
      <c r="AHS65" s="3" t="str">
        <f t="shared" si="1938"/>
        <v>Outcome Index 9  | Odd 9</v>
      </c>
      <c r="AHT65" s="2">
        <f t="shared" si="1390"/>
        <v>96</v>
      </c>
      <c r="AHU65" s="2">
        <f t="shared" si="453"/>
        <v>99</v>
      </c>
      <c r="AHV65" s="2">
        <v>4</v>
      </c>
      <c r="AHW65" s="207" t="str">
        <f t="shared" si="1939"/>
        <v/>
      </c>
      <c r="AHX65" s="208"/>
      <c r="AHY65" s="231" t="str">
        <f t="shared" si="1755"/>
        <v/>
      </c>
      <c r="AHZ65" s="344"/>
      <c r="AIA65" s="40"/>
      <c r="AIB65" s="62">
        <v>9</v>
      </c>
      <c r="AIC65" s="3" t="str">
        <f t="shared" si="1940"/>
        <v>Outcome Index 9  | Odd 9</v>
      </c>
      <c r="AID65" s="2">
        <f t="shared" si="1391"/>
        <v>96</v>
      </c>
      <c r="AIE65" s="2">
        <f t="shared" si="457"/>
        <v>99</v>
      </c>
      <c r="AIF65" s="2">
        <v>4</v>
      </c>
      <c r="AIG65" s="207" t="str">
        <f t="shared" si="1941"/>
        <v/>
      </c>
      <c r="AIH65" s="208"/>
      <c r="AII65" s="231" t="str">
        <f t="shared" si="1757"/>
        <v/>
      </c>
      <c r="AIJ65" s="344"/>
      <c r="AIK65" s="40"/>
      <c r="AIL65" s="62">
        <v>9</v>
      </c>
      <c r="AIM65" s="3" t="str">
        <f t="shared" si="1942"/>
        <v>Outcome Index 9  | Odd 9</v>
      </c>
      <c r="AIN65" s="2">
        <f t="shared" si="1392"/>
        <v>96</v>
      </c>
      <c r="AIO65" s="2">
        <f t="shared" si="461"/>
        <v>99</v>
      </c>
      <c r="AIP65" s="2">
        <v>4</v>
      </c>
      <c r="AIQ65" s="207" t="str">
        <f t="shared" si="1943"/>
        <v/>
      </c>
      <c r="AIR65" s="208"/>
      <c r="AIS65" s="231" t="str">
        <f t="shared" si="1759"/>
        <v/>
      </c>
      <c r="AIT65" s="344"/>
      <c r="AIU65" s="40"/>
      <c r="AIV65" s="62">
        <v>9</v>
      </c>
      <c r="AIW65" s="3" t="str">
        <f t="shared" si="1944"/>
        <v>Outcome Index 9  | Odd 9</v>
      </c>
      <c r="AIX65" s="2">
        <f t="shared" si="1393"/>
        <v>96</v>
      </c>
      <c r="AIY65" s="2">
        <f t="shared" si="465"/>
        <v>99</v>
      </c>
      <c r="AIZ65" s="2">
        <v>4</v>
      </c>
      <c r="AJA65" s="207" t="str">
        <f t="shared" si="1945"/>
        <v/>
      </c>
      <c r="AJB65" s="208"/>
      <c r="AJC65" s="231" t="str">
        <f t="shared" si="1761"/>
        <v/>
      </c>
      <c r="AJD65" s="344"/>
    </row>
    <row r="66" spans="2:940">
      <c r="B66" s="189">
        <v>10</v>
      </c>
      <c r="C66" s="19" t="str">
        <f t="shared" si="1946"/>
        <v>Outcome Index 10  | Odd 10</v>
      </c>
      <c r="D66" s="18">
        <f t="shared" si="561"/>
        <v>100</v>
      </c>
      <c r="E66" s="18">
        <f t="shared" si="1947"/>
        <v>103</v>
      </c>
      <c r="F66" s="18">
        <v>4</v>
      </c>
      <c r="G66" s="301" t="str">
        <f t="shared" si="1948"/>
        <v/>
      </c>
      <c r="H66" s="301"/>
      <c r="I66" s="302" t="str">
        <f t="shared" si="1949"/>
        <v/>
      </c>
      <c r="J66" s="305"/>
      <c r="K66" s="41"/>
      <c r="L66" s="66">
        <v>10</v>
      </c>
      <c r="M66" s="192" t="str">
        <f t="shared" si="1950"/>
        <v>Outcome Index 10  | Odd 10</v>
      </c>
      <c r="N66" s="190">
        <f t="shared" si="562"/>
        <v>100</v>
      </c>
      <c r="O66" s="190">
        <f t="shared" si="97"/>
        <v>103</v>
      </c>
      <c r="P66" s="190">
        <v>4</v>
      </c>
      <c r="Q66" s="345" t="str">
        <f t="shared" si="1951"/>
        <v/>
      </c>
      <c r="R66" s="346"/>
      <c r="S66" s="347" t="str">
        <f t="shared" si="1952"/>
        <v/>
      </c>
      <c r="T66" s="348"/>
      <c r="U66" s="41"/>
      <c r="V66" s="66">
        <v>10</v>
      </c>
      <c r="W66" s="192" t="str">
        <f t="shared" si="1762"/>
        <v>Outcome Index 10  | Odd 10</v>
      </c>
      <c r="X66" s="190">
        <f t="shared" si="1302"/>
        <v>100</v>
      </c>
      <c r="Y66" s="190">
        <f t="shared" si="101"/>
        <v>103</v>
      </c>
      <c r="Z66" s="190">
        <v>4</v>
      </c>
      <c r="AA66" s="345" t="str">
        <f t="shared" si="1763"/>
        <v/>
      </c>
      <c r="AB66" s="346"/>
      <c r="AC66" s="347" t="str">
        <f t="shared" si="1579"/>
        <v/>
      </c>
      <c r="AD66" s="348"/>
      <c r="AE66" s="41"/>
      <c r="AF66" s="66">
        <v>10</v>
      </c>
      <c r="AG66" s="192" t="str">
        <f t="shared" si="1764"/>
        <v>Outcome Index 10  | Odd 10</v>
      </c>
      <c r="AH66" s="190">
        <f t="shared" si="1303"/>
        <v>100</v>
      </c>
      <c r="AI66" s="190">
        <f t="shared" si="105"/>
        <v>103</v>
      </c>
      <c r="AJ66" s="190">
        <v>4</v>
      </c>
      <c r="AK66" s="345" t="str">
        <f t="shared" si="1765"/>
        <v/>
      </c>
      <c r="AL66" s="346"/>
      <c r="AM66" s="347" t="str">
        <f t="shared" si="1581"/>
        <v/>
      </c>
      <c r="AN66" s="348"/>
      <c r="AO66" s="41"/>
      <c r="AP66" s="66">
        <v>10</v>
      </c>
      <c r="AQ66" s="192" t="str">
        <f t="shared" si="1766"/>
        <v>Outcome Index 10  | Odd 10</v>
      </c>
      <c r="AR66" s="190">
        <f t="shared" si="1304"/>
        <v>100</v>
      </c>
      <c r="AS66" s="190">
        <f t="shared" si="109"/>
        <v>103</v>
      </c>
      <c r="AT66" s="190">
        <v>4</v>
      </c>
      <c r="AU66" s="345" t="str">
        <f t="shared" si="1767"/>
        <v/>
      </c>
      <c r="AV66" s="346"/>
      <c r="AW66" s="347" t="str">
        <f t="shared" si="1583"/>
        <v/>
      </c>
      <c r="AX66" s="348"/>
      <c r="AY66" s="41"/>
      <c r="AZ66" s="66">
        <v>10</v>
      </c>
      <c r="BA66" s="192" t="str">
        <f t="shared" si="1768"/>
        <v>Outcome Index 10  | Odd 10</v>
      </c>
      <c r="BB66" s="190">
        <f t="shared" si="1305"/>
        <v>100</v>
      </c>
      <c r="BC66" s="190">
        <f t="shared" si="113"/>
        <v>103</v>
      </c>
      <c r="BD66" s="190">
        <v>4</v>
      </c>
      <c r="BE66" s="345" t="str">
        <f t="shared" si="1769"/>
        <v/>
      </c>
      <c r="BF66" s="346"/>
      <c r="BG66" s="347" t="str">
        <f t="shared" si="1585"/>
        <v/>
      </c>
      <c r="BH66" s="348"/>
      <c r="BI66" s="41"/>
      <c r="BJ66" s="66">
        <v>10</v>
      </c>
      <c r="BK66" s="192" t="str">
        <f t="shared" si="1770"/>
        <v>Outcome Index 10  | Odd 10</v>
      </c>
      <c r="BL66" s="190">
        <f t="shared" si="1306"/>
        <v>100</v>
      </c>
      <c r="BM66" s="190">
        <f t="shared" si="117"/>
        <v>103</v>
      </c>
      <c r="BN66" s="190">
        <v>4</v>
      </c>
      <c r="BO66" s="345" t="str">
        <f t="shared" si="1771"/>
        <v/>
      </c>
      <c r="BP66" s="346"/>
      <c r="BQ66" s="347" t="str">
        <f t="shared" si="1587"/>
        <v/>
      </c>
      <c r="BR66" s="348"/>
      <c r="BS66" s="41"/>
      <c r="BT66" s="66">
        <v>10</v>
      </c>
      <c r="BU66" s="192" t="str">
        <f t="shared" si="1772"/>
        <v>Outcome Index 10  | Odd 10</v>
      </c>
      <c r="BV66" s="190">
        <f t="shared" si="1307"/>
        <v>100</v>
      </c>
      <c r="BW66" s="190">
        <f t="shared" si="121"/>
        <v>103</v>
      </c>
      <c r="BX66" s="190">
        <v>4</v>
      </c>
      <c r="BY66" s="345" t="str">
        <f t="shared" si="1773"/>
        <v/>
      </c>
      <c r="BZ66" s="346"/>
      <c r="CA66" s="347" t="str">
        <f t="shared" si="1589"/>
        <v/>
      </c>
      <c r="CB66" s="348"/>
      <c r="CC66" s="41"/>
      <c r="CD66" s="66">
        <v>10</v>
      </c>
      <c r="CE66" s="192" t="str">
        <f t="shared" si="1774"/>
        <v>Outcome Index 10  | Odd 10</v>
      </c>
      <c r="CF66" s="190">
        <f t="shared" si="1308"/>
        <v>100</v>
      </c>
      <c r="CG66" s="190">
        <f t="shared" si="125"/>
        <v>103</v>
      </c>
      <c r="CH66" s="190">
        <v>4</v>
      </c>
      <c r="CI66" s="345" t="str">
        <f t="shared" si="1775"/>
        <v/>
      </c>
      <c r="CJ66" s="346"/>
      <c r="CK66" s="347" t="str">
        <f t="shared" si="1591"/>
        <v/>
      </c>
      <c r="CL66" s="348"/>
      <c r="CM66" s="41"/>
      <c r="CN66" s="66">
        <v>10</v>
      </c>
      <c r="CO66" s="192" t="str">
        <f t="shared" si="1776"/>
        <v>Outcome Index 10  | Odd 10</v>
      </c>
      <c r="CP66" s="190">
        <f t="shared" si="1309"/>
        <v>100</v>
      </c>
      <c r="CQ66" s="190">
        <f t="shared" si="129"/>
        <v>103</v>
      </c>
      <c r="CR66" s="190">
        <v>4</v>
      </c>
      <c r="CS66" s="345" t="str">
        <f t="shared" si="1777"/>
        <v/>
      </c>
      <c r="CT66" s="346"/>
      <c r="CU66" s="347" t="str">
        <f t="shared" si="1593"/>
        <v/>
      </c>
      <c r="CV66" s="348"/>
      <c r="CW66" s="41"/>
      <c r="CX66" s="66">
        <v>10</v>
      </c>
      <c r="CY66" s="192" t="str">
        <f t="shared" si="1778"/>
        <v>Outcome Index 10  | Odd 10</v>
      </c>
      <c r="CZ66" s="190">
        <f t="shared" si="1310"/>
        <v>100</v>
      </c>
      <c r="DA66" s="190">
        <f t="shared" si="133"/>
        <v>103</v>
      </c>
      <c r="DB66" s="190">
        <v>4</v>
      </c>
      <c r="DC66" s="345" t="str">
        <f t="shared" si="1779"/>
        <v/>
      </c>
      <c r="DD66" s="346"/>
      <c r="DE66" s="347" t="str">
        <f t="shared" si="1595"/>
        <v/>
      </c>
      <c r="DF66" s="348"/>
      <c r="DG66" s="41"/>
      <c r="DH66" s="66">
        <v>10</v>
      </c>
      <c r="DI66" s="192" t="str">
        <f t="shared" si="1780"/>
        <v>Outcome Index 10  | Odd 10</v>
      </c>
      <c r="DJ66" s="190">
        <f t="shared" si="1311"/>
        <v>100</v>
      </c>
      <c r="DK66" s="190">
        <f t="shared" si="137"/>
        <v>103</v>
      </c>
      <c r="DL66" s="190">
        <v>4</v>
      </c>
      <c r="DM66" s="345" t="str">
        <f t="shared" si="1781"/>
        <v/>
      </c>
      <c r="DN66" s="346"/>
      <c r="DO66" s="347" t="str">
        <f t="shared" si="1597"/>
        <v/>
      </c>
      <c r="DP66" s="348"/>
      <c r="DQ66" s="41"/>
      <c r="DR66" s="66">
        <v>10</v>
      </c>
      <c r="DS66" s="192" t="str">
        <f t="shared" si="1782"/>
        <v>Outcome Index 10  | Odd 10</v>
      </c>
      <c r="DT66" s="190">
        <f t="shared" si="1312"/>
        <v>100</v>
      </c>
      <c r="DU66" s="190">
        <f t="shared" si="141"/>
        <v>103</v>
      </c>
      <c r="DV66" s="190">
        <v>4</v>
      </c>
      <c r="DW66" s="345" t="str">
        <f t="shared" si="1783"/>
        <v/>
      </c>
      <c r="DX66" s="346"/>
      <c r="DY66" s="347" t="str">
        <f t="shared" si="1599"/>
        <v/>
      </c>
      <c r="DZ66" s="348"/>
      <c r="EA66" s="41"/>
      <c r="EB66" s="66">
        <v>10</v>
      </c>
      <c r="EC66" s="192" t="str">
        <f t="shared" si="1784"/>
        <v>Outcome Index 10  | Odd 10</v>
      </c>
      <c r="ED66" s="190">
        <f t="shared" si="1313"/>
        <v>100</v>
      </c>
      <c r="EE66" s="190">
        <f t="shared" si="145"/>
        <v>103</v>
      </c>
      <c r="EF66" s="190">
        <v>4</v>
      </c>
      <c r="EG66" s="345" t="str">
        <f t="shared" si="1785"/>
        <v/>
      </c>
      <c r="EH66" s="346"/>
      <c r="EI66" s="347" t="str">
        <f t="shared" si="1601"/>
        <v/>
      </c>
      <c r="EJ66" s="348"/>
      <c r="EK66" s="41"/>
      <c r="EL66" s="66">
        <v>10</v>
      </c>
      <c r="EM66" s="192" t="str">
        <f t="shared" si="1786"/>
        <v>Outcome Index 10  | Odd 10</v>
      </c>
      <c r="EN66" s="190">
        <f t="shared" si="1314"/>
        <v>100</v>
      </c>
      <c r="EO66" s="190">
        <f t="shared" si="149"/>
        <v>103</v>
      </c>
      <c r="EP66" s="190">
        <v>4</v>
      </c>
      <c r="EQ66" s="345" t="str">
        <f t="shared" si="1787"/>
        <v/>
      </c>
      <c r="ER66" s="346"/>
      <c r="ES66" s="347" t="str">
        <f t="shared" si="1603"/>
        <v/>
      </c>
      <c r="ET66" s="348"/>
      <c r="EU66" s="41"/>
      <c r="EV66" s="66">
        <v>10</v>
      </c>
      <c r="EW66" s="192" t="str">
        <f t="shared" si="1788"/>
        <v>Outcome Index 10  | Odd 10</v>
      </c>
      <c r="EX66" s="190">
        <f t="shared" si="1315"/>
        <v>100</v>
      </c>
      <c r="EY66" s="190">
        <f t="shared" si="153"/>
        <v>103</v>
      </c>
      <c r="EZ66" s="190">
        <v>4</v>
      </c>
      <c r="FA66" s="345" t="str">
        <f t="shared" si="1789"/>
        <v/>
      </c>
      <c r="FB66" s="346"/>
      <c r="FC66" s="347" t="str">
        <f t="shared" si="1605"/>
        <v/>
      </c>
      <c r="FD66" s="348"/>
      <c r="FE66" s="41"/>
      <c r="FF66" s="66">
        <v>10</v>
      </c>
      <c r="FG66" s="192" t="str">
        <f t="shared" si="1790"/>
        <v>Outcome Index 10  | Odd 10</v>
      </c>
      <c r="FH66" s="190">
        <f t="shared" si="1316"/>
        <v>100</v>
      </c>
      <c r="FI66" s="190">
        <f t="shared" si="157"/>
        <v>103</v>
      </c>
      <c r="FJ66" s="190">
        <v>4</v>
      </c>
      <c r="FK66" s="345" t="str">
        <f t="shared" si="1791"/>
        <v/>
      </c>
      <c r="FL66" s="346"/>
      <c r="FM66" s="347" t="str">
        <f t="shared" si="1607"/>
        <v/>
      </c>
      <c r="FN66" s="348"/>
      <c r="FO66" s="41"/>
      <c r="FP66" s="66">
        <v>10</v>
      </c>
      <c r="FQ66" s="192" t="str">
        <f t="shared" si="1792"/>
        <v>Outcome Index 10  | Odd 10</v>
      </c>
      <c r="FR66" s="190">
        <f t="shared" si="1317"/>
        <v>100</v>
      </c>
      <c r="FS66" s="190">
        <f t="shared" si="161"/>
        <v>103</v>
      </c>
      <c r="FT66" s="190">
        <v>4</v>
      </c>
      <c r="FU66" s="345" t="str">
        <f t="shared" si="1793"/>
        <v/>
      </c>
      <c r="FV66" s="346"/>
      <c r="FW66" s="347" t="str">
        <f t="shared" si="1609"/>
        <v/>
      </c>
      <c r="FX66" s="348"/>
      <c r="FY66" s="41"/>
      <c r="FZ66" s="66">
        <v>10</v>
      </c>
      <c r="GA66" s="192" t="str">
        <f t="shared" si="1794"/>
        <v>Outcome Index 10  | Odd 10</v>
      </c>
      <c r="GB66" s="190">
        <f t="shared" si="1318"/>
        <v>100</v>
      </c>
      <c r="GC66" s="190">
        <f t="shared" si="165"/>
        <v>103</v>
      </c>
      <c r="GD66" s="190">
        <v>4</v>
      </c>
      <c r="GE66" s="345" t="str">
        <f t="shared" si="1795"/>
        <v/>
      </c>
      <c r="GF66" s="346"/>
      <c r="GG66" s="347" t="str">
        <f t="shared" si="1611"/>
        <v/>
      </c>
      <c r="GH66" s="348"/>
      <c r="GI66" s="41"/>
      <c r="GJ66" s="66">
        <v>10</v>
      </c>
      <c r="GK66" s="192" t="str">
        <f t="shared" si="1796"/>
        <v>Outcome Index 10  | Odd 10</v>
      </c>
      <c r="GL66" s="190">
        <f t="shared" si="1319"/>
        <v>100</v>
      </c>
      <c r="GM66" s="190">
        <f t="shared" si="169"/>
        <v>103</v>
      </c>
      <c r="GN66" s="190">
        <v>4</v>
      </c>
      <c r="GO66" s="345" t="str">
        <f t="shared" si="1797"/>
        <v/>
      </c>
      <c r="GP66" s="346"/>
      <c r="GQ66" s="347" t="str">
        <f t="shared" si="1613"/>
        <v/>
      </c>
      <c r="GR66" s="348"/>
      <c r="GS66" s="41"/>
      <c r="GT66" s="66">
        <v>10</v>
      </c>
      <c r="GU66" s="192" t="str">
        <f t="shared" si="1798"/>
        <v>Outcome Index 10  | Odd 10</v>
      </c>
      <c r="GV66" s="190">
        <f t="shared" si="1320"/>
        <v>100</v>
      </c>
      <c r="GW66" s="190">
        <f t="shared" si="173"/>
        <v>103</v>
      </c>
      <c r="GX66" s="190">
        <v>4</v>
      </c>
      <c r="GY66" s="345" t="str">
        <f t="shared" si="1799"/>
        <v/>
      </c>
      <c r="GZ66" s="346"/>
      <c r="HA66" s="347" t="str">
        <f t="shared" si="1615"/>
        <v/>
      </c>
      <c r="HB66" s="348"/>
      <c r="HC66" s="41"/>
      <c r="HD66" s="66">
        <v>10</v>
      </c>
      <c r="HE66" s="192" t="str">
        <f t="shared" si="1800"/>
        <v>Outcome Index 10  | Odd 10</v>
      </c>
      <c r="HF66" s="190">
        <f t="shared" si="1321"/>
        <v>100</v>
      </c>
      <c r="HG66" s="190">
        <f t="shared" si="177"/>
        <v>103</v>
      </c>
      <c r="HH66" s="190">
        <v>4</v>
      </c>
      <c r="HI66" s="345" t="str">
        <f t="shared" si="1801"/>
        <v/>
      </c>
      <c r="HJ66" s="346"/>
      <c r="HK66" s="347" t="str">
        <f t="shared" si="1617"/>
        <v/>
      </c>
      <c r="HL66" s="348"/>
      <c r="HM66" s="41"/>
      <c r="HN66" s="66">
        <v>10</v>
      </c>
      <c r="HO66" s="192" t="str">
        <f t="shared" si="1802"/>
        <v>Outcome Index 10  | Odd 10</v>
      </c>
      <c r="HP66" s="190">
        <f t="shared" si="1322"/>
        <v>100</v>
      </c>
      <c r="HQ66" s="190">
        <f t="shared" si="181"/>
        <v>103</v>
      </c>
      <c r="HR66" s="190">
        <v>4</v>
      </c>
      <c r="HS66" s="345" t="str">
        <f t="shared" si="1803"/>
        <v/>
      </c>
      <c r="HT66" s="346"/>
      <c r="HU66" s="347" t="str">
        <f t="shared" si="1619"/>
        <v/>
      </c>
      <c r="HV66" s="348"/>
      <c r="HW66" s="41"/>
      <c r="HX66" s="66">
        <v>10</v>
      </c>
      <c r="HY66" s="192" t="str">
        <f t="shared" si="1804"/>
        <v>Outcome Index 10  | Odd 10</v>
      </c>
      <c r="HZ66" s="190">
        <f t="shared" si="1323"/>
        <v>100</v>
      </c>
      <c r="IA66" s="190">
        <f t="shared" si="185"/>
        <v>103</v>
      </c>
      <c r="IB66" s="190">
        <v>4</v>
      </c>
      <c r="IC66" s="345" t="str">
        <f t="shared" si="1805"/>
        <v/>
      </c>
      <c r="ID66" s="346"/>
      <c r="IE66" s="347" t="str">
        <f t="shared" si="1621"/>
        <v/>
      </c>
      <c r="IF66" s="348"/>
      <c r="IG66" s="41"/>
      <c r="IH66" s="66">
        <v>10</v>
      </c>
      <c r="II66" s="192" t="str">
        <f t="shared" si="1806"/>
        <v>Outcome Index 10  | Odd 10</v>
      </c>
      <c r="IJ66" s="190">
        <f t="shared" si="1324"/>
        <v>100</v>
      </c>
      <c r="IK66" s="190">
        <f t="shared" si="189"/>
        <v>103</v>
      </c>
      <c r="IL66" s="190">
        <v>4</v>
      </c>
      <c r="IM66" s="345" t="str">
        <f t="shared" si="1807"/>
        <v/>
      </c>
      <c r="IN66" s="346"/>
      <c r="IO66" s="347" t="str">
        <f t="shared" si="1623"/>
        <v/>
      </c>
      <c r="IP66" s="348"/>
      <c r="IQ66" s="41"/>
      <c r="IR66" s="66">
        <v>10</v>
      </c>
      <c r="IS66" s="192" t="str">
        <f t="shared" si="1808"/>
        <v>Outcome Index 10  | Odd 10</v>
      </c>
      <c r="IT66" s="190">
        <f t="shared" si="1325"/>
        <v>100</v>
      </c>
      <c r="IU66" s="190">
        <f t="shared" si="193"/>
        <v>103</v>
      </c>
      <c r="IV66" s="190">
        <v>4</v>
      </c>
      <c r="IW66" s="345" t="str">
        <f t="shared" si="1809"/>
        <v/>
      </c>
      <c r="IX66" s="346"/>
      <c r="IY66" s="347" t="str">
        <f t="shared" si="1625"/>
        <v/>
      </c>
      <c r="IZ66" s="348"/>
      <c r="JA66" s="41"/>
      <c r="JB66" s="66">
        <v>10</v>
      </c>
      <c r="JC66" s="192" t="str">
        <f t="shared" si="1810"/>
        <v>Outcome Index 10  | Odd 10</v>
      </c>
      <c r="JD66" s="190">
        <f t="shared" si="1326"/>
        <v>100</v>
      </c>
      <c r="JE66" s="190">
        <f t="shared" si="197"/>
        <v>103</v>
      </c>
      <c r="JF66" s="190">
        <v>4</v>
      </c>
      <c r="JG66" s="345" t="str">
        <f t="shared" si="1811"/>
        <v/>
      </c>
      <c r="JH66" s="346"/>
      <c r="JI66" s="347" t="str">
        <f t="shared" si="1627"/>
        <v/>
      </c>
      <c r="JJ66" s="348"/>
      <c r="JK66" s="41"/>
      <c r="JL66" s="66">
        <v>10</v>
      </c>
      <c r="JM66" s="192" t="str">
        <f t="shared" si="1812"/>
        <v>Outcome Index 10  | Odd 10</v>
      </c>
      <c r="JN66" s="190">
        <f t="shared" si="1327"/>
        <v>100</v>
      </c>
      <c r="JO66" s="190">
        <f t="shared" si="201"/>
        <v>103</v>
      </c>
      <c r="JP66" s="190">
        <v>4</v>
      </c>
      <c r="JQ66" s="345" t="str">
        <f t="shared" si="1813"/>
        <v/>
      </c>
      <c r="JR66" s="346"/>
      <c r="JS66" s="347" t="str">
        <f t="shared" si="1629"/>
        <v/>
      </c>
      <c r="JT66" s="348"/>
      <c r="JU66" s="41"/>
      <c r="JV66" s="66">
        <v>10</v>
      </c>
      <c r="JW66" s="192" t="str">
        <f t="shared" si="1814"/>
        <v>Outcome Index 10  | Odd 10</v>
      </c>
      <c r="JX66" s="190">
        <f t="shared" si="1328"/>
        <v>100</v>
      </c>
      <c r="JY66" s="190">
        <f t="shared" si="205"/>
        <v>103</v>
      </c>
      <c r="JZ66" s="190">
        <v>4</v>
      </c>
      <c r="KA66" s="345" t="str">
        <f t="shared" si="1815"/>
        <v/>
      </c>
      <c r="KB66" s="346"/>
      <c r="KC66" s="347" t="str">
        <f t="shared" si="1631"/>
        <v/>
      </c>
      <c r="KD66" s="348"/>
      <c r="KE66" s="41"/>
      <c r="KF66" s="66">
        <v>10</v>
      </c>
      <c r="KG66" s="192" t="str">
        <f t="shared" si="1816"/>
        <v>Outcome Index 10  | Odd 10</v>
      </c>
      <c r="KH66" s="190">
        <f t="shared" si="1329"/>
        <v>100</v>
      </c>
      <c r="KI66" s="190">
        <f t="shared" si="209"/>
        <v>103</v>
      </c>
      <c r="KJ66" s="190">
        <v>4</v>
      </c>
      <c r="KK66" s="345" t="str">
        <f t="shared" si="1817"/>
        <v/>
      </c>
      <c r="KL66" s="346"/>
      <c r="KM66" s="347" t="str">
        <f t="shared" si="1633"/>
        <v/>
      </c>
      <c r="KN66" s="348"/>
      <c r="KO66" s="41"/>
      <c r="KP66" s="66">
        <v>10</v>
      </c>
      <c r="KQ66" s="192" t="str">
        <f t="shared" si="1818"/>
        <v>Outcome Index 10  | Odd 10</v>
      </c>
      <c r="KR66" s="190">
        <f t="shared" si="1330"/>
        <v>100</v>
      </c>
      <c r="KS66" s="190">
        <f t="shared" si="213"/>
        <v>103</v>
      </c>
      <c r="KT66" s="190">
        <v>4</v>
      </c>
      <c r="KU66" s="345" t="str">
        <f t="shared" si="1819"/>
        <v/>
      </c>
      <c r="KV66" s="346"/>
      <c r="KW66" s="347" t="str">
        <f t="shared" si="1635"/>
        <v/>
      </c>
      <c r="KX66" s="348"/>
      <c r="KY66" s="41"/>
      <c r="KZ66" s="66">
        <v>10</v>
      </c>
      <c r="LA66" s="192" t="str">
        <f t="shared" si="1820"/>
        <v>Outcome Index 10  | Odd 10</v>
      </c>
      <c r="LB66" s="190">
        <f t="shared" si="1331"/>
        <v>100</v>
      </c>
      <c r="LC66" s="190">
        <f t="shared" si="217"/>
        <v>103</v>
      </c>
      <c r="LD66" s="190">
        <v>4</v>
      </c>
      <c r="LE66" s="345" t="str">
        <f t="shared" si="1821"/>
        <v/>
      </c>
      <c r="LF66" s="346"/>
      <c r="LG66" s="347" t="str">
        <f t="shared" si="1637"/>
        <v/>
      </c>
      <c r="LH66" s="348"/>
      <c r="LI66" s="41"/>
      <c r="LJ66" s="66">
        <v>10</v>
      </c>
      <c r="LK66" s="192" t="str">
        <f t="shared" si="1822"/>
        <v>Outcome Index 10  | Odd 10</v>
      </c>
      <c r="LL66" s="190">
        <f t="shared" si="1332"/>
        <v>100</v>
      </c>
      <c r="LM66" s="190">
        <f t="shared" si="221"/>
        <v>103</v>
      </c>
      <c r="LN66" s="190">
        <v>4</v>
      </c>
      <c r="LO66" s="345" t="str">
        <f t="shared" si="1823"/>
        <v/>
      </c>
      <c r="LP66" s="346"/>
      <c r="LQ66" s="347" t="str">
        <f t="shared" si="1639"/>
        <v/>
      </c>
      <c r="LR66" s="348"/>
      <c r="LS66" s="41"/>
      <c r="LT66" s="66">
        <v>10</v>
      </c>
      <c r="LU66" s="192" t="str">
        <f t="shared" si="1824"/>
        <v>Outcome Index 10  | Odd 10</v>
      </c>
      <c r="LV66" s="190">
        <f t="shared" si="1333"/>
        <v>100</v>
      </c>
      <c r="LW66" s="190">
        <f t="shared" si="225"/>
        <v>103</v>
      </c>
      <c r="LX66" s="190">
        <v>4</v>
      </c>
      <c r="LY66" s="345" t="str">
        <f t="shared" si="1825"/>
        <v/>
      </c>
      <c r="LZ66" s="346"/>
      <c r="MA66" s="347" t="str">
        <f t="shared" si="1641"/>
        <v/>
      </c>
      <c r="MB66" s="348"/>
      <c r="MC66" s="41"/>
      <c r="MD66" s="66">
        <v>10</v>
      </c>
      <c r="ME66" s="192" t="str">
        <f t="shared" si="1826"/>
        <v>Outcome Index 10  | Odd 10</v>
      </c>
      <c r="MF66" s="190">
        <f t="shared" si="1334"/>
        <v>100</v>
      </c>
      <c r="MG66" s="190">
        <f t="shared" si="229"/>
        <v>103</v>
      </c>
      <c r="MH66" s="190">
        <v>4</v>
      </c>
      <c r="MI66" s="345" t="str">
        <f t="shared" si="1827"/>
        <v/>
      </c>
      <c r="MJ66" s="346"/>
      <c r="MK66" s="347" t="str">
        <f t="shared" si="1643"/>
        <v/>
      </c>
      <c r="ML66" s="348"/>
      <c r="MM66" s="41"/>
      <c r="MN66" s="66">
        <v>10</v>
      </c>
      <c r="MO66" s="192" t="str">
        <f t="shared" si="1828"/>
        <v>Outcome Index 10  | Odd 10</v>
      </c>
      <c r="MP66" s="190">
        <f t="shared" si="1335"/>
        <v>100</v>
      </c>
      <c r="MQ66" s="190">
        <f t="shared" si="233"/>
        <v>103</v>
      </c>
      <c r="MR66" s="190">
        <v>4</v>
      </c>
      <c r="MS66" s="345" t="str">
        <f t="shared" si="1829"/>
        <v/>
      </c>
      <c r="MT66" s="346"/>
      <c r="MU66" s="347" t="str">
        <f t="shared" si="1645"/>
        <v/>
      </c>
      <c r="MV66" s="348"/>
      <c r="MW66" s="41"/>
      <c r="MX66" s="66">
        <v>10</v>
      </c>
      <c r="MY66" s="192" t="str">
        <f t="shared" si="1830"/>
        <v>Outcome Index 10  | Odd 10</v>
      </c>
      <c r="MZ66" s="190">
        <f t="shared" si="1336"/>
        <v>100</v>
      </c>
      <c r="NA66" s="190">
        <f t="shared" si="237"/>
        <v>103</v>
      </c>
      <c r="NB66" s="190">
        <v>4</v>
      </c>
      <c r="NC66" s="345" t="str">
        <f t="shared" si="1831"/>
        <v/>
      </c>
      <c r="ND66" s="346"/>
      <c r="NE66" s="347" t="str">
        <f t="shared" si="1647"/>
        <v/>
      </c>
      <c r="NF66" s="348"/>
      <c r="NG66" s="41"/>
      <c r="NH66" s="66">
        <v>10</v>
      </c>
      <c r="NI66" s="192" t="str">
        <f t="shared" si="1832"/>
        <v>Outcome Index 10  | Odd 10</v>
      </c>
      <c r="NJ66" s="190">
        <f t="shared" si="1337"/>
        <v>100</v>
      </c>
      <c r="NK66" s="190">
        <f t="shared" si="241"/>
        <v>103</v>
      </c>
      <c r="NL66" s="190">
        <v>4</v>
      </c>
      <c r="NM66" s="345" t="str">
        <f t="shared" si="1833"/>
        <v/>
      </c>
      <c r="NN66" s="346"/>
      <c r="NO66" s="347" t="str">
        <f t="shared" si="1649"/>
        <v/>
      </c>
      <c r="NP66" s="348"/>
      <c r="NQ66" s="41"/>
      <c r="NR66" s="66">
        <v>10</v>
      </c>
      <c r="NS66" s="192" t="str">
        <f t="shared" si="1834"/>
        <v>Outcome Index 10  | Odd 10</v>
      </c>
      <c r="NT66" s="190">
        <f t="shared" si="1338"/>
        <v>100</v>
      </c>
      <c r="NU66" s="190">
        <f t="shared" si="245"/>
        <v>103</v>
      </c>
      <c r="NV66" s="190">
        <v>4</v>
      </c>
      <c r="NW66" s="345" t="str">
        <f t="shared" si="1835"/>
        <v/>
      </c>
      <c r="NX66" s="346"/>
      <c r="NY66" s="347" t="str">
        <f t="shared" si="1651"/>
        <v/>
      </c>
      <c r="NZ66" s="348"/>
      <c r="OA66" s="41"/>
      <c r="OB66" s="66">
        <v>10</v>
      </c>
      <c r="OC66" s="192" t="str">
        <f t="shared" si="1836"/>
        <v>Outcome Index 10  | Odd 10</v>
      </c>
      <c r="OD66" s="190">
        <f t="shared" si="1339"/>
        <v>100</v>
      </c>
      <c r="OE66" s="190">
        <f t="shared" si="249"/>
        <v>103</v>
      </c>
      <c r="OF66" s="190">
        <v>4</v>
      </c>
      <c r="OG66" s="345" t="str">
        <f t="shared" si="1837"/>
        <v/>
      </c>
      <c r="OH66" s="346"/>
      <c r="OI66" s="347" t="str">
        <f t="shared" si="1653"/>
        <v/>
      </c>
      <c r="OJ66" s="348"/>
      <c r="OK66" s="41"/>
      <c r="OL66" s="66">
        <v>10</v>
      </c>
      <c r="OM66" s="192" t="str">
        <f t="shared" si="1838"/>
        <v>Outcome Index 10  | Odd 10</v>
      </c>
      <c r="ON66" s="190">
        <f t="shared" si="1340"/>
        <v>100</v>
      </c>
      <c r="OO66" s="190">
        <f t="shared" si="253"/>
        <v>103</v>
      </c>
      <c r="OP66" s="190">
        <v>4</v>
      </c>
      <c r="OQ66" s="345" t="str">
        <f t="shared" si="1839"/>
        <v/>
      </c>
      <c r="OR66" s="346"/>
      <c r="OS66" s="347" t="str">
        <f t="shared" si="1655"/>
        <v/>
      </c>
      <c r="OT66" s="348"/>
      <c r="OU66" s="41"/>
      <c r="OV66" s="66">
        <v>10</v>
      </c>
      <c r="OW66" s="192" t="str">
        <f t="shared" si="1840"/>
        <v>Outcome Index 10  | Odd 10</v>
      </c>
      <c r="OX66" s="190">
        <f t="shared" si="1341"/>
        <v>100</v>
      </c>
      <c r="OY66" s="190">
        <f t="shared" si="257"/>
        <v>103</v>
      </c>
      <c r="OZ66" s="190">
        <v>4</v>
      </c>
      <c r="PA66" s="345" t="str">
        <f t="shared" si="1841"/>
        <v/>
      </c>
      <c r="PB66" s="346"/>
      <c r="PC66" s="347" t="str">
        <f t="shared" si="1657"/>
        <v/>
      </c>
      <c r="PD66" s="348"/>
      <c r="PE66" s="41"/>
      <c r="PF66" s="66">
        <v>10</v>
      </c>
      <c r="PG66" s="192" t="str">
        <f t="shared" si="1842"/>
        <v>Outcome Index 10  | Odd 10</v>
      </c>
      <c r="PH66" s="190">
        <f t="shared" si="1342"/>
        <v>100</v>
      </c>
      <c r="PI66" s="190">
        <f t="shared" si="261"/>
        <v>103</v>
      </c>
      <c r="PJ66" s="190">
        <v>4</v>
      </c>
      <c r="PK66" s="345" t="str">
        <f t="shared" si="1843"/>
        <v/>
      </c>
      <c r="PL66" s="346"/>
      <c r="PM66" s="347" t="str">
        <f t="shared" si="1659"/>
        <v/>
      </c>
      <c r="PN66" s="348"/>
      <c r="PO66" s="41"/>
      <c r="PP66" s="66">
        <v>10</v>
      </c>
      <c r="PQ66" s="192" t="str">
        <f t="shared" si="1844"/>
        <v>Outcome Index 10  | Odd 10</v>
      </c>
      <c r="PR66" s="190">
        <f t="shared" si="1343"/>
        <v>100</v>
      </c>
      <c r="PS66" s="190">
        <f t="shared" si="265"/>
        <v>103</v>
      </c>
      <c r="PT66" s="190">
        <v>4</v>
      </c>
      <c r="PU66" s="345" t="str">
        <f t="shared" si="1845"/>
        <v/>
      </c>
      <c r="PV66" s="346"/>
      <c r="PW66" s="347" t="str">
        <f t="shared" si="1661"/>
        <v/>
      </c>
      <c r="PX66" s="348"/>
      <c r="PY66" s="41"/>
      <c r="PZ66" s="66">
        <v>10</v>
      </c>
      <c r="QA66" s="192" t="str">
        <f t="shared" si="1846"/>
        <v>Outcome Index 10  | Odd 10</v>
      </c>
      <c r="QB66" s="190">
        <f t="shared" si="1344"/>
        <v>100</v>
      </c>
      <c r="QC66" s="190">
        <f t="shared" si="269"/>
        <v>103</v>
      </c>
      <c r="QD66" s="190">
        <v>4</v>
      </c>
      <c r="QE66" s="345" t="str">
        <f t="shared" si="1847"/>
        <v/>
      </c>
      <c r="QF66" s="346"/>
      <c r="QG66" s="347" t="str">
        <f t="shared" si="1663"/>
        <v/>
      </c>
      <c r="QH66" s="348"/>
      <c r="QI66" s="41"/>
      <c r="QJ66" s="66">
        <v>10</v>
      </c>
      <c r="QK66" s="192" t="str">
        <f t="shared" si="1848"/>
        <v>Outcome Index 10  | Odd 10</v>
      </c>
      <c r="QL66" s="190">
        <f t="shared" si="1345"/>
        <v>100</v>
      </c>
      <c r="QM66" s="190">
        <f t="shared" si="273"/>
        <v>103</v>
      </c>
      <c r="QN66" s="190">
        <v>4</v>
      </c>
      <c r="QO66" s="345" t="str">
        <f t="shared" si="1849"/>
        <v/>
      </c>
      <c r="QP66" s="346"/>
      <c r="QQ66" s="347" t="str">
        <f t="shared" si="1665"/>
        <v/>
      </c>
      <c r="QR66" s="348"/>
      <c r="QS66" s="41"/>
      <c r="QT66" s="66">
        <v>10</v>
      </c>
      <c r="QU66" s="192" t="str">
        <f t="shared" si="1850"/>
        <v>Outcome Index 10  | Odd 10</v>
      </c>
      <c r="QV66" s="190">
        <f t="shared" si="1346"/>
        <v>100</v>
      </c>
      <c r="QW66" s="190">
        <f t="shared" si="277"/>
        <v>103</v>
      </c>
      <c r="QX66" s="190">
        <v>4</v>
      </c>
      <c r="QY66" s="345" t="str">
        <f t="shared" si="1851"/>
        <v/>
      </c>
      <c r="QZ66" s="346"/>
      <c r="RA66" s="347" t="str">
        <f t="shared" si="1667"/>
        <v/>
      </c>
      <c r="RB66" s="348"/>
      <c r="RC66" s="41"/>
      <c r="RD66" s="66">
        <v>10</v>
      </c>
      <c r="RE66" s="192" t="str">
        <f t="shared" si="1852"/>
        <v>Outcome Index 10  | Odd 10</v>
      </c>
      <c r="RF66" s="190">
        <f t="shared" si="1347"/>
        <v>100</v>
      </c>
      <c r="RG66" s="190">
        <f t="shared" si="281"/>
        <v>103</v>
      </c>
      <c r="RH66" s="190">
        <v>4</v>
      </c>
      <c r="RI66" s="345" t="str">
        <f t="shared" si="1853"/>
        <v/>
      </c>
      <c r="RJ66" s="346"/>
      <c r="RK66" s="347" t="str">
        <f t="shared" si="1669"/>
        <v/>
      </c>
      <c r="RL66" s="348"/>
      <c r="RM66" s="41"/>
      <c r="RN66" s="66">
        <v>10</v>
      </c>
      <c r="RO66" s="192" t="str">
        <f t="shared" si="1854"/>
        <v>Outcome Index 10  | Odd 10</v>
      </c>
      <c r="RP66" s="190">
        <f t="shared" si="1348"/>
        <v>100</v>
      </c>
      <c r="RQ66" s="190">
        <f t="shared" si="285"/>
        <v>103</v>
      </c>
      <c r="RR66" s="190">
        <v>4</v>
      </c>
      <c r="RS66" s="345" t="str">
        <f t="shared" si="1855"/>
        <v/>
      </c>
      <c r="RT66" s="346"/>
      <c r="RU66" s="347" t="str">
        <f t="shared" si="1671"/>
        <v/>
      </c>
      <c r="RV66" s="348"/>
      <c r="RW66" s="41"/>
      <c r="RX66" s="66">
        <v>10</v>
      </c>
      <c r="RY66" s="192" t="str">
        <f t="shared" si="1856"/>
        <v>Outcome Index 10  | Odd 10</v>
      </c>
      <c r="RZ66" s="190">
        <f t="shared" si="1349"/>
        <v>100</v>
      </c>
      <c r="SA66" s="190">
        <f t="shared" si="289"/>
        <v>103</v>
      </c>
      <c r="SB66" s="190">
        <v>4</v>
      </c>
      <c r="SC66" s="345" t="str">
        <f t="shared" si="1857"/>
        <v/>
      </c>
      <c r="SD66" s="346"/>
      <c r="SE66" s="347" t="str">
        <f t="shared" si="1673"/>
        <v/>
      </c>
      <c r="SF66" s="348"/>
      <c r="SG66" s="41"/>
      <c r="SH66" s="66">
        <v>10</v>
      </c>
      <c r="SI66" s="192" t="str">
        <f t="shared" si="1858"/>
        <v>Outcome Index 10  | Odd 10</v>
      </c>
      <c r="SJ66" s="190">
        <f t="shared" si="1350"/>
        <v>100</v>
      </c>
      <c r="SK66" s="190">
        <f t="shared" si="293"/>
        <v>103</v>
      </c>
      <c r="SL66" s="190">
        <v>4</v>
      </c>
      <c r="SM66" s="345" t="str">
        <f t="shared" si="1859"/>
        <v/>
      </c>
      <c r="SN66" s="346"/>
      <c r="SO66" s="347" t="str">
        <f t="shared" si="1675"/>
        <v/>
      </c>
      <c r="SP66" s="348"/>
      <c r="SQ66" s="41"/>
      <c r="SR66" s="66">
        <v>10</v>
      </c>
      <c r="SS66" s="192" t="str">
        <f t="shared" si="1860"/>
        <v>Outcome Index 10  | Odd 10</v>
      </c>
      <c r="ST66" s="190">
        <f t="shared" si="1351"/>
        <v>100</v>
      </c>
      <c r="SU66" s="190">
        <f t="shared" si="297"/>
        <v>103</v>
      </c>
      <c r="SV66" s="190">
        <v>4</v>
      </c>
      <c r="SW66" s="345" t="str">
        <f t="shared" si="1861"/>
        <v/>
      </c>
      <c r="SX66" s="346"/>
      <c r="SY66" s="347" t="str">
        <f t="shared" si="1677"/>
        <v/>
      </c>
      <c r="SZ66" s="348"/>
      <c r="TA66" s="41"/>
      <c r="TB66" s="66">
        <v>10</v>
      </c>
      <c r="TC66" s="192" t="str">
        <f t="shared" si="1862"/>
        <v>Outcome Index 10  | Odd 10</v>
      </c>
      <c r="TD66" s="190">
        <f t="shared" si="1352"/>
        <v>100</v>
      </c>
      <c r="TE66" s="190">
        <f t="shared" si="301"/>
        <v>103</v>
      </c>
      <c r="TF66" s="190">
        <v>4</v>
      </c>
      <c r="TG66" s="345" t="str">
        <f t="shared" si="1863"/>
        <v/>
      </c>
      <c r="TH66" s="346"/>
      <c r="TI66" s="347" t="str">
        <f t="shared" si="1679"/>
        <v/>
      </c>
      <c r="TJ66" s="348"/>
      <c r="TK66" s="41"/>
      <c r="TL66" s="66">
        <v>10</v>
      </c>
      <c r="TM66" s="192" t="str">
        <f t="shared" si="1864"/>
        <v>Outcome Index 10  | Odd 10</v>
      </c>
      <c r="TN66" s="190">
        <f t="shared" si="1353"/>
        <v>100</v>
      </c>
      <c r="TO66" s="190">
        <f t="shared" si="305"/>
        <v>103</v>
      </c>
      <c r="TP66" s="190">
        <v>4</v>
      </c>
      <c r="TQ66" s="345" t="str">
        <f t="shared" si="1865"/>
        <v/>
      </c>
      <c r="TR66" s="346"/>
      <c r="TS66" s="347" t="str">
        <f t="shared" si="1681"/>
        <v/>
      </c>
      <c r="TT66" s="348"/>
      <c r="TU66" s="41"/>
      <c r="TV66" s="66">
        <v>10</v>
      </c>
      <c r="TW66" s="192" t="str">
        <f t="shared" si="1866"/>
        <v>Outcome Index 10  | Odd 10</v>
      </c>
      <c r="TX66" s="190">
        <f t="shared" si="1354"/>
        <v>100</v>
      </c>
      <c r="TY66" s="190">
        <f t="shared" si="309"/>
        <v>103</v>
      </c>
      <c r="TZ66" s="190">
        <v>4</v>
      </c>
      <c r="UA66" s="345" t="str">
        <f t="shared" si="1867"/>
        <v/>
      </c>
      <c r="UB66" s="346"/>
      <c r="UC66" s="347" t="str">
        <f t="shared" si="1683"/>
        <v/>
      </c>
      <c r="UD66" s="348"/>
      <c r="UE66" s="41"/>
      <c r="UF66" s="66">
        <v>10</v>
      </c>
      <c r="UG66" s="192" t="str">
        <f t="shared" si="1868"/>
        <v>Outcome Index 10  | Odd 10</v>
      </c>
      <c r="UH66" s="190">
        <f t="shared" si="1355"/>
        <v>100</v>
      </c>
      <c r="UI66" s="190">
        <f t="shared" si="313"/>
        <v>103</v>
      </c>
      <c r="UJ66" s="190">
        <v>4</v>
      </c>
      <c r="UK66" s="345" t="str">
        <f t="shared" si="1869"/>
        <v/>
      </c>
      <c r="UL66" s="346"/>
      <c r="UM66" s="347" t="str">
        <f t="shared" si="1685"/>
        <v/>
      </c>
      <c r="UN66" s="348"/>
      <c r="UO66" s="41"/>
      <c r="UP66" s="66">
        <v>10</v>
      </c>
      <c r="UQ66" s="192" t="str">
        <f t="shared" si="1870"/>
        <v>Outcome Index 10  | Odd 10</v>
      </c>
      <c r="UR66" s="190">
        <f t="shared" si="1356"/>
        <v>100</v>
      </c>
      <c r="US66" s="190">
        <f t="shared" si="317"/>
        <v>103</v>
      </c>
      <c r="UT66" s="190">
        <v>4</v>
      </c>
      <c r="UU66" s="345" t="str">
        <f t="shared" si="1871"/>
        <v/>
      </c>
      <c r="UV66" s="346"/>
      <c r="UW66" s="347" t="str">
        <f t="shared" si="1687"/>
        <v/>
      </c>
      <c r="UX66" s="348"/>
      <c r="UY66" s="41"/>
      <c r="UZ66" s="66">
        <v>10</v>
      </c>
      <c r="VA66" s="192" t="str">
        <f t="shared" si="1872"/>
        <v>Outcome Index 10  | Odd 10</v>
      </c>
      <c r="VB66" s="190">
        <f t="shared" si="1357"/>
        <v>100</v>
      </c>
      <c r="VC66" s="190">
        <f t="shared" si="321"/>
        <v>103</v>
      </c>
      <c r="VD66" s="190">
        <v>4</v>
      </c>
      <c r="VE66" s="345" t="str">
        <f t="shared" si="1873"/>
        <v/>
      </c>
      <c r="VF66" s="346"/>
      <c r="VG66" s="347" t="str">
        <f t="shared" si="1689"/>
        <v/>
      </c>
      <c r="VH66" s="348"/>
      <c r="VI66" s="41"/>
      <c r="VJ66" s="66">
        <v>10</v>
      </c>
      <c r="VK66" s="192" t="str">
        <f t="shared" si="1874"/>
        <v>Outcome Index 10  | Odd 10</v>
      </c>
      <c r="VL66" s="190">
        <f t="shared" si="1358"/>
        <v>100</v>
      </c>
      <c r="VM66" s="190">
        <f t="shared" si="325"/>
        <v>103</v>
      </c>
      <c r="VN66" s="190">
        <v>4</v>
      </c>
      <c r="VO66" s="345" t="str">
        <f t="shared" si="1875"/>
        <v/>
      </c>
      <c r="VP66" s="346"/>
      <c r="VQ66" s="347" t="str">
        <f t="shared" si="1691"/>
        <v/>
      </c>
      <c r="VR66" s="348"/>
      <c r="VS66" s="41"/>
      <c r="VT66" s="66">
        <v>10</v>
      </c>
      <c r="VU66" s="192" t="str">
        <f t="shared" si="1876"/>
        <v>Outcome Index 10  | Odd 10</v>
      </c>
      <c r="VV66" s="190">
        <f t="shared" si="1359"/>
        <v>100</v>
      </c>
      <c r="VW66" s="190">
        <f t="shared" si="329"/>
        <v>103</v>
      </c>
      <c r="VX66" s="190">
        <v>4</v>
      </c>
      <c r="VY66" s="345" t="str">
        <f t="shared" si="1877"/>
        <v/>
      </c>
      <c r="VZ66" s="346"/>
      <c r="WA66" s="347" t="str">
        <f t="shared" si="1693"/>
        <v/>
      </c>
      <c r="WB66" s="348"/>
      <c r="WC66" s="41"/>
      <c r="WD66" s="66">
        <v>10</v>
      </c>
      <c r="WE66" s="192" t="str">
        <f t="shared" si="1878"/>
        <v>Outcome Index 10  | Odd 10</v>
      </c>
      <c r="WF66" s="190">
        <f t="shared" si="1360"/>
        <v>100</v>
      </c>
      <c r="WG66" s="190">
        <f t="shared" si="333"/>
        <v>103</v>
      </c>
      <c r="WH66" s="190">
        <v>4</v>
      </c>
      <c r="WI66" s="345" t="str">
        <f t="shared" si="1879"/>
        <v/>
      </c>
      <c r="WJ66" s="346"/>
      <c r="WK66" s="347" t="str">
        <f t="shared" si="1695"/>
        <v/>
      </c>
      <c r="WL66" s="348"/>
      <c r="WM66" s="41"/>
      <c r="WN66" s="66">
        <v>10</v>
      </c>
      <c r="WO66" s="192" t="str">
        <f t="shared" si="1880"/>
        <v>Outcome Index 10  | Odd 10</v>
      </c>
      <c r="WP66" s="190">
        <f t="shared" si="1361"/>
        <v>100</v>
      </c>
      <c r="WQ66" s="190">
        <f t="shared" si="337"/>
        <v>103</v>
      </c>
      <c r="WR66" s="190">
        <v>4</v>
      </c>
      <c r="WS66" s="345" t="str">
        <f t="shared" si="1881"/>
        <v/>
      </c>
      <c r="WT66" s="346"/>
      <c r="WU66" s="347" t="str">
        <f t="shared" si="1697"/>
        <v/>
      </c>
      <c r="WV66" s="348"/>
      <c r="WW66" s="41"/>
      <c r="WX66" s="66">
        <v>10</v>
      </c>
      <c r="WY66" s="192" t="str">
        <f t="shared" si="1882"/>
        <v>Outcome Index 10  | Odd 10</v>
      </c>
      <c r="WZ66" s="190">
        <f t="shared" si="1362"/>
        <v>100</v>
      </c>
      <c r="XA66" s="190">
        <f t="shared" si="341"/>
        <v>103</v>
      </c>
      <c r="XB66" s="190">
        <v>4</v>
      </c>
      <c r="XC66" s="345" t="str">
        <f t="shared" si="1883"/>
        <v/>
      </c>
      <c r="XD66" s="346"/>
      <c r="XE66" s="347" t="str">
        <f t="shared" si="1699"/>
        <v/>
      </c>
      <c r="XF66" s="348"/>
      <c r="XG66" s="41"/>
      <c r="XH66" s="66">
        <v>10</v>
      </c>
      <c r="XI66" s="192" t="str">
        <f t="shared" si="1884"/>
        <v>Outcome Index 10  | Odd 10</v>
      </c>
      <c r="XJ66" s="190">
        <f t="shared" si="1363"/>
        <v>100</v>
      </c>
      <c r="XK66" s="190">
        <f t="shared" si="345"/>
        <v>103</v>
      </c>
      <c r="XL66" s="190">
        <v>4</v>
      </c>
      <c r="XM66" s="345" t="str">
        <f t="shared" si="1885"/>
        <v/>
      </c>
      <c r="XN66" s="346"/>
      <c r="XO66" s="347" t="str">
        <f t="shared" si="1701"/>
        <v/>
      </c>
      <c r="XP66" s="348"/>
      <c r="XQ66" s="41"/>
      <c r="XR66" s="66">
        <v>10</v>
      </c>
      <c r="XS66" s="192" t="str">
        <f t="shared" si="1886"/>
        <v>Outcome Index 10  | Odd 10</v>
      </c>
      <c r="XT66" s="190">
        <f t="shared" si="1364"/>
        <v>100</v>
      </c>
      <c r="XU66" s="190">
        <f t="shared" si="349"/>
        <v>103</v>
      </c>
      <c r="XV66" s="190">
        <v>4</v>
      </c>
      <c r="XW66" s="345" t="str">
        <f t="shared" si="1887"/>
        <v/>
      </c>
      <c r="XX66" s="346"/>
      <c r="XY66" s="347" t="str">
        <f t="shared" si="1703"/>
        <v/>
      </c>
      <c r="XZ66" s="348"/>
      <c r="YA66" s="41"/>
      <c r="YB66" s="66">
        <v>10</v>
      </c>
      <c r="YC66" s="192" t="str">
        <f t="shared" si="1888"/>
        <v>Outcome Index 10  | Odd 10</v>
      </c>
      <c r="YD66" s="190">
        <f t="shared" si="1365"/>
        <v>100</v>
      </c>
      <c r="YE66" s="190">
        <f t="shared" si="353"/>
        <v>103</v>
      </c>
      <c r="YF66" s="190">
        <v>4</v>
      </c>
      <c r="YG66" s="345" t="str">
        <f t="shared" si="1889"/>
        <v/>
      </c>
      <c r="YH66" s="346"/>
      <c r="YI66" s="347" t="str">
        <f t="shared" si="1705"/>
        <v/>
      </c>
      <c r="YJ66" s="348"/>
      <c r="YK66" s="41"/>
      <c r="YL66" s="66">
        <v>10</v>
      </c>
      <c r="YM66" s="192" t="str">
        <f t="shared" si="1890"/>
        <v>Outcome Index 10  | Odd 10</v>
      </c>
      <c r="YN66" s="190">
        <f t="shared" si="1366"/>
        <v>100</v>
      </c>
      <c r="YO66" s="190">
        <f t="shared" si="357"/>
        <v>103</v>
      </c>
      <c r="YP66" s="190">
        <v>4</v>
      </c>
      <c r="YQ66" s="345" t="str">
        <f t="shared" si="1891"/>
        <v/>
      </c>
      <c r="YR66" s="346"/>
      <c r="YS66" s="347" t="str">
        <f t="shared" si="1707"/>
        <v/>
      </c>
      <c r="YT66" s="348"/>
      <c r="YU66" s="41"/>
      <c r="YV66" s="66">
        <v>10</v>
      </c>
      <c r="YW66" s="192" t="str">
        <f t="shared" si="1892"/>
        <v>Outcome Index 10  | Odd 10</v>
      </c>
      <c r="YX66" s="190">
        <f t="shared" si="1367"/>
        <v>100</v>
      </c>
      <c r="YY66" s="190">
        <f t="shared" si="361"/>
        <v>103</v>
      </c>
      <c r="YZ66" s="190">
        <v>4</v>
      </c>
      <c r="ZA66" s="345" t="str">
        <f t="shared" si="1893"/>
        <v/>
      </c>
      <c r="ZB66" s="346"/>
      <c r="ZC66" s="347" t="str">
        <f t="shared" si="1709"/>
        <v/>
      </c>
      <c r="ZD66" s="348"/>
      <c r="ZE66" s="41"/>
      <c r="ZF66" s="66">
        <v>10</v>
      </c>
      <c r="ZG66" s="192" t="str">
        <f t="shared" si="1894"/>
        <v>Outcome Index 10  | Odd 10</v>
      </c>
      <c r="ZH66" s="190">
        <f t="shared" si="1368"/>
        <v>100</v>
      </c>
      <c r="ZI66" s="190">
        <f t="shared" si="365"/>
        <v>103</v>
      </c>
      <c r="ZJ66" s="190">
        <v>4</v>
      </c>
      <c r="ZK66" s="345" t="str">
        <f t="shared" si="1895"/>
        <v/>
      </c>
      <c r="ZL66" s="346"/>
      <c r="ZM66" s="347" t="str">
        <f t="shared" si="1711"/>
        <v/>
      </c>
      <c r="ZN66" s="348"/>
      <c r="ZO66" s="41"/>
      <c r="ZP66" s="66">
        <v>10</v>
      </c>
      <c r="ZQ66" s="192" t="str">
        <f t="shared" si="1896"/>
        <v>Outcome Index 10  | Odd 10</v>
      </c>
      <c r="ZR66" s="190">
        <f t="shared" si="1369"/>
        <v>100</v>
      </c>
      <c r="ZS66" s="190">
        <f t="shared" si="369"/>
        <v>103</v>
      </c>
      <c r="ZT66" s="190">
        <v>4</v>
      </c>
      <c r="ZU66" s="345" t="str">
        <f t="shared" si="1897"/>
        <v/>
      </c>
      <c r="ZV66" s="346"/>
      <c r="ZW66" s="347" t="str">
        <f t="shared" si="1713"/>
        <v/>
      </c>
      <c r="ZX66" s="348"/>
      <c r="ZY66" s="41"/>
      <c r="ZZ66" s="66">
        <v>10</v>
      </c>
      <c r="AAA66" s="192" t="str">
        <f t="shared" si="1898"/>
        <v>Outcome Index 10  | Odd 10</v>
      </c>
      <c r="AAB66" s="190">
        <f t="shared" si="1370"/>
        <v>100</v>
      </c>
      <c r="AAC66" s="190">
        <f t="shared" si="373"/>
        <v>103</v>
      </c>
      <c r="AAD66" s="190">
        <v>4</v>
      </c>
      <c r="AAE66" s="345" t="str">
        <f t="shared" si="1899"/>
        <v/>
      </c>
      <c r="AAF66" s="346"/>
      <c r="AAG66" s="347" t="str">
        <f t="shared" si="1715"/>
        <v/>
      </c>
      <c r="AAH66" s="348"/>
      <c r="AAI66" s="41"/>
      <c r="AAJ66" s="66">
        <v>10</v>
      </c>
      <c r="AAK66" s="192" t="str">
        <f t="shared" si="1900"/>
        <v>Outcome Index 10  | Odd 10</v>
      </c>
      <c r="AAL66" s="190">
        <f t="shared" si="1371"/>
        <v>100</v>
      </c>
      <c r="AAM66" s="190">
        <f t="shared" si="377"/>
        <v>103</v>
      </c>
      <c r="AAN66" s="190">
        <v>4</v>
      </c>
      <c r="AAO66" s="345" t="str">
        <f t="shared" si="1901"/>
        <v/>
      </c>
      <c r="AAP66" s="346"/>
      <c r="AAQ66" s="347" t="str">
        <f t="shared" si="1717"/>
        <v/>
      </c>
      <c r="AAR66" s="348"/>
      <c r="AAS66" s="41"/>
      <c r="AAT66" s="66">
        <v>10</v>
      </c>
      <c r="AAU66" s="192" t="str">
        <f t="shared" si="1902"/>
        <v>Outcome Index 10  | Odd 10</v>
      </c>
      <c r="AAV66" s="190">
        <f t="shared" si="1372"/>
        <v>100</v>
      </c>
      <c r="AAW66" s="190">
        <f t="shared" si="381"/>
        <v>103</v>
      </c>
      <c r="AAX66" s="190">
        <v>4</v>
      </c>
      <c r="AAY66" s="345" t="str">
        <f t="shared" si="1903"/>
        <v/>
      </c>
      <c r="AAZ66" s="346"/>
      <c r="ABA66" s="347" t="str">
        <f t="shared" si="1719"/>
        <v/>
      </c>
      <c r="ABB66" s="348"/>
      <c r="ABC66" s="41"/>
      <c r="ABD66" s="66">
        <v>10</v>
      </c>
      <c r="ABE66" s="192" t="str">
        <f t="shared" si="1904"/>
        <v>Outcome Index 10  | Odd 10</v>
      </c>
      <c r="ABF66" s="190">
        <f t="shared" si="1373"/>
        <v>100</v>
      </c>
      <c r="ABG66" s="190">
        <f t="shared" si="385"/>
        <v>103</v>
      </c>
      <c r="ABH66" s="190">
        <v>4</v>
      </c>
      <c r="ABI66" s="345" t="str">
        <f t="shared" si="1905"/>
        <v/>
      </c>
      <c r="ABJ66" s="346"/>
      <c r="ABK66" s="347" t="str">
        <f t="shared" si="1721"/>
        <v/>
      </c>
      <c r="ABL66" s="348"/>
      <c r="ABM66" s="41"/>
      <c r="ABN66" s="66">
        <v>10</v>
      </c>
      <c r="ABO66" s="192" t="str">
        <f t="shared" si="1906"/>
        <v>Outcome Index 10  | Odd 10</v>
      </c>
      <c r="ABP66" s="190">
        <f t="shared" si="1374"/>
        <v>100</v>
      </c>
      <c r="ABQ66" s="190">
        <f t="shared" si="389"/>
        <v>103</v>
      </c>
      <c r="ABR66" s="190">
        <v>4</v>
      </c>
      <c r="ABS66" s="345" t="str">
        <f t="shared" si="1907"/>
        <v/>
      </c>
      <c r="ABT66" s="346"/>
      <c r="ABU66" s="347" t="str">
        <f t="shared" si="1723"/>
        <v/>
      </c>
      <c r="ABV66" s="348"/>
      <c r="ABW66" s="41"/>
      <c r="ABX66" s="66">
        <v>10</v>
      </c>
      <c r="ABY66" s="192" t="str">
        <f t="shared" si="1908"/>
        <v>Outcome Index 10  | Odd 10</v>
      </c>
      <c r="ABZ66" s="190">
        <f t="shared" si="1375"/>
        <v>100</v>
      </c>
      <c r="ACA66" s="190">
        <f t="shared" si="393"/>
        <v>103</v>
      </c>
      <c r="ACB66" s="190">
        <v>4</v>
      </c>
      <c r="ACC66" s="345" t="str">
        <f t="shared" si="1909"/>
        <v/>
      </c>
      <c r="ACD66" s="346"/>
      <c r="ACE66" s="347" t="str">
        <f t="shared" si="1725"/>
        <v/>
      </c>
      <c r="ACF66" s="348"/>
      <c r="ACG66" s="41"/>
      <c r="ACH66" s="66">
        <v>10</v>
      </c>
      <c r="ACI66" s="192" t="str">
        <f t="shared" si="1910"/>
        <v>Outcome Index 10  | Odd 10</v>
      </c>
      <c r="ACJ66" s="190">
        <f t="shared" si="1376"/>
        <v>100</v>
      </c>
      <c r="ACK66" s="190">
        <f t="shared" si="397"/>
        <v>103</v>
      </c>
      <c r="ACL66" s="190">
        <v>4</v>
      </c>
      <c r="ACM66" s="345" t="str">
        <f t="shared" si="1911"/>
        <v/>
      </c>
      <c r="ACN66" s="346"/>
      <c r="ACO66" s="347" t="str">
        <f t="shared" si="1727"/>
        <v/>
      </c>
      <c r="ACP66" s="348"/>
      <c r="ACQ66" s="41"/>
      <c r="ACR66" s="66">
        <v>10</v>
      </c>
      <c r="ACS66" s="192" t="str">
        <f t="shared" si="1912"/>
        <v>Outcome Index 10  | Odd 10</v>
      </c>
      <c r="ACT66" s="190">
        <f t="shared" si="1377"/>
        <v>100</v>
      </c>
      <c r="ACU66" s="190">
        <f t="shared" si="401"/>
        <v>103</v>
      </c>
      <c r="ACV66" s="190">
        <v>4</v>
      </c>
      <c r="ACW66" s="345" t="str">
        <f t="shared" si="1913"/>
        <v/>
      </c>
      <c r="ACX66" s="346"/>
      <c r="ACY66" s="347" t="str">
        <f t="shared" si="1729"/>
        <v/>
      </c>
      <c r="ACZ66" s="348"/>
      <c r="ADA66" s="41"/>
      <c r="ADB66" s="66">
        <v>10</v>
      </c>
      <c r="ADC66" s="192" t="str">
        <f t="shared" si="1914"/>
        <v>Outcome Index 10  | Odd 10</v>
      </c>
      <c r="ADD66" s="190">
        <f t="shared" si="1378"/>
        <v>100</v>
      </c>
      <c r="ADE66" s="190">
        <f t="shared" si="405"/>
        <v>103</v>
      </c>
      <c r="ADF66" s="190">
        <v>4</v>
      </c>
      <c r="ADG66" s="345" t="str">
        <f t="shared" si="1915"/>
        <v/>
      </c>
      <c r="ADH66" s="346"/>
      <c r="ADI66" s="347" t="str">
        <f t="shared" si="1731"/>
        <v/>
      </c>
      <c r="ADJ66" s="348"/>
      <c r="ADK66" s="41"/>
      <c r="ADL66" s="66">
        <v>10</v>
      </c>
      <c r="ADM66" s="192" t="str">
        <f t="shared" si="1916"/>
        <v>Outcome Index 10  | Odd 10</v>
      </c>
      <c r="ADN66" s="190">
        <f t="shared" si="1379"/>
        <v>100</v>
      </c>
      <c r="ADO66" s="190">
        <f t="shared" si="409"/>
        <v>103</v>
      </c>
      <c r="ADP66" s="190">
        <v>4</v>
      </c>
      <c r="ADQ66" s="345" t="str">
        <f t="shared" si="1917"/>
        <v/>
      </c>
      <c r="ADR66" s="346"/>
      <c r="ADS66" s="347" t="str">
        <f t="shared" si="1733"/>
        <v/>
      </c>
      <c r="ADT66" s="348"/>
      <c r="ADU66" s="41"/>
      <c r="ADV66" s="66">
        <v>10</v>
      </c>
      <c r="ADW66" s="192" t="str">
        <f t="shared" si="1918"/>
        <v>Outcome Index 10  | Odd 10</v>
      </c>
      <c r="ADX66" s="190">
        <f t="shared" si="1380"/>
        <v>100</v>
      </c>
      <c r="ADY66" s="190">
        <f t="shared" si="413"/>
        <v>103</v>
      </c>
      <c r="ADZ66" s="190">
        <v>4</v>
      </c>
      <c r="AEA66" s="345" t="str">
        <f t="shared" si="1919"/>
        <v/>
      </c>
      <c r="AEB66" s="346"/>
      <c r="AEC66" s="347" t="str">
        <f t="shared" si="1735"/>
        <v/>
      </c>
      <c r="AED66" s="348"/>
      <c r="AEE66" s="41"/>
      <c r="AEF66" s="66">
        <v>10</v>
      </c>
      <c r="AEG66" s="192" t="str">
        <f t="shared" si="1920"/>
        <v>Outcome Index 10  | Odd 10</v>
      </c>
      <c r="AEH66" s="190">
        <f t="shared" si="1381"/>
        <v>100</v>
      </c>
      <c r="AEI66" s="190">
        <f t="shared" si="417"/>
        <v>103</v>
      </c>
      <c r="AEJ66" s="190">
        <v>4</v>
      </c>
      <c r="AEK66" s="345" t="str">
        <f t="shared" si="1921"/>
        <v/>
      </c>
      <c r="AEL66" s="346"/>
      <c r="AEM66" s="347" t="str">
        <f t="shared" si="1737"/>
        <v/>
      </c>
      <c r="AEN66" s="348"/>
      <c r="AEO66" s="41"/>
      <c r="AEP66" s="66">
        <v>10</v>
      </c>
      <c r="AEQ66" s="192" t="str">
        <f t="shared" si="1922"/>
        <v>Outcome Index 10  | Odd 10</v>
      </c>
      <c r="AER66" s="190">
        <f t="shared" si="1382"/>
        <v>100</v>
      </c>
      <c r="AES66" s="190">
        <f t="shared" si="421"/>
        <v>103</v>
      </c>
      <c r="AET66" s="190">
        <v>4</v>
      </c>
      <c r="AEU66" s="345" t="str">
        <f t="shared" si="1923"/>
        <v/>
      </c>
      <c r="AEV66" s="346"/>
      <c r="AEW66" s="347" t="str">
        <f t="shared" si="1739"/>
        <v/>
      </c>
      <c r="AEX66" s="348"/>
      <c r="AEY66" s="41"/>
      <c r="AEZ66" s="66">
        <v>10</v>
      </c>
      <c r="AFA66" s="192" t="str">
        <f t="shared" si="1924"/>
        <v>Outcome Index 10  | Odd 10</v>
      </c>
      <c r="AFB66" s="190">
        <f t="shared" si="1383"/>
        <v>100</v>
      </c>
      <c r="AFC66" s="190">
        <f t="shared" si="425"/>
        <v>103</v>
      </c>
      <c r="AFD66" s="190">
        <v>4</v>
      </c>
      <c r="AFE66" s="345" t="str">
        <f t="shared" si="1925"/>
        <v/>
      </c>
      <c r="AFF66" s="346"/>
      <c r="AFG66" s="347" t="str">
        <f t="shared" si="1741"/>
        <v/>
      </c>
      <c r="AFH66" s="348"/>
      <c r="AFI66" s="41"/>
      <c r="AFJ66" s="66">
        <v>10</v>
      </c>
      <c r="AFK66" s="192" t="str">
        <f t="shared" si="1926"/>
        <v>Outcome Index 10  | Odd 10</v>
      </c>
      <c r="AFL66" s="190">
        <f t="shared" si="1384"/>
        <v>100</v>
      </c>
      <c r="AFM66" s="190">
        <f t="shared" si="429"/>
        <v>103</v>
      </c>
      <c r="AFN66" s="190">
        <v>4</v>
      </c>
      <c r="AFO66" s="345" t="str">
        <f t="shared" si="1927"/>
        <v/>
      </c>
      <c r="AFP66" s="346"/>
      <c r="AFQ66" s="347" t="str">
        <f t="shared" si="1743"/>
        <v/>
      </c>
      <c r="AFR66" s="348"/>
      <c r="AFS66" s="41"/>
      <c r="AFT66" s="66">
        <v>10</v>
      </c>
      <c r="AFU66" s="192" t="str">
        <f t="shared" si="1928"/>
        <v>Outcome Index 10  | Odd 10</v>
      </c>
      <c r="AFV66" s="190">
        <f t="shared" si="1385"/>
        <v>100</v>
      </c>
      <c r="AFW66" s="190">
        <f t="shared" si="433"/>
        <v>103</v>
      </c>
      <c r="AFX66" s="190">
        <v>4</v>
      </c>
      <c r="AFY66" s="345" t="str">
        <f t="shared" si="1929"/>
        <v/>
      </c>
      <c r="AFZ66" s="346"/>
      <c r="AGA66" s="347" t="str">
        <f t="shared" si="1745"/>
        <v/>
      </c>
      <c r="AGB66" s="348"/>
      <c r="AGC66" s="41"/>
      <c r="AGD66" s="66">
        <v>10</v>
      </c>
      <c r="AGE66" s="192" t="str">
        <f t="shared" si="1930"/>
        <v>Outcome Index 10  | Odd 10</v>
      </c>
      <c r="AGF66" s="190">
        <f t="shared" si="1386"/>
        <v>100</v>
      </c>
      <c r="AGG66" s="190">
        <f t="shared" si="437"/>
        <v>103</v>
      </c>
      <c r="AGH66" s="190">
        <v>4</v>
      </c>
      <c r="AGI66" s="345" t="str">
        <f t="shared" si="1931"/>
        <v/>
      </c>
      <c r="AGJ66" s="346"/>
      <c r="AGK66" s="347" t="str">
        <f t="shared" si="1747"/>
        <v/>
      </c>
      <c r="AGL66" s="348"/>
      <c r="AGM66" s="41"/>
      <c r="AGN66" s="66">
        <v>10</v>
      </c>
      <c r="AGO66" s="192" t="str">
        <f t="shared" si="1932"/>
        <v>Outcome Index 10  | Odd 10</v>
      </c>
      <c r="AGP66" s="190">
        <f t="shared" si="1387"/>
        <v>100</v>
      </c>
      <c r="AGQ66" s="190">
        <f t="shared" si="441"/>
        <v>103</v>
      </c>
      <c r="AGR66" s="190">
        <v>4</v>
      </c>
      <c r="AGS66" s="345" t="str">
        <f t="shared" si="1933"/>
        <v/>
      </c>
      <c r="AGT66" s="346"/>
      <c r="AGU66" s="347" t="str">
        <f t="shared" si="1749"/>
        <v/>
      </c>
      <c r="AGV66" s="348"/>
      <c r="AGW66" s="41"/>
      <c r="AGX66" s="66">
        <v>10</v>
      </c>
      <c r="AGY66" s="192" t="str">
        <f t="shared" si="1934"/>
        <v>Outcome Index 10  | Odd 10</v>
      </c>
      <c r="AGZ66" s="190">
        <f t="shared" si="1388"/>
        <v>100</v>
      </c>
      <c r="AHA66" s="190">
        <f t="shared" si="445"/>
        <v>103</v>
      </c>
      <c r="AHB66" s="190">
        <v>4</v>
      </c>
      <c r="AHC66" s="345" t="str">
        <f t="shared" si="1935"/>
        <v/>
      </c>
      <c r="AHD66" s="346"/>
      <c r="AHE66" s="347" t="str">
        <f t="shared" si="1751"/>
        <v/>
      </c>
      <c r="AHF66" s="348"/>
      <c r="AHG66" s="41"/>
      <c r="AHH66" s="66">
        <v>10</v>
      </c>
      <c r="AHI66" s="192" t="str">
        <f t="shared" si="1936"/>
        <v>Outcome Index 10  | Odd 10</v>
      </c>
      <c r="AHJ66" s="190">
        <f t="shared" si="1389"/>
        <v>100</v>
      </c>
      <c r="AHK66" s="190">
        <f t="shared" si="449"/>
        <v>103</v>
      </c>
      <c r="AHL66" s="190">
        <v>4</v>
      </c>
      <c r="AHM66" s="345" t="str">
        <f t="shared" si="1937"/>
        <v/>
      </c>
      <c r="AHN66" s="346"/>
      <c r="AHO66" s="347" t="str">
        <f t="shared" si="1753"/>
        <v/>
      </c>
      <c r="AHP66" s="348"/>
      <c r="AHQ66" s="41"/>
      <c r="AHR66" s="66">
        <v>10</v>
      </c>
      <c r="AHS66" s="192" t="str">
        <f t="shared" si="1938"/>
        <v>Outcome Index 10  | Odd 10</v>
      </c>
      <c r="AHT66" s="190">
        <f t="shared" si="1390"/>
        <v>100</v>
      </c>
      <c r="AHU66" s="190">
        <f t="shared" si="453"/>
        <v>103</v>
      </c>
      <c r="AHV66" s="190">
        <v>4</v>
      </c>
      <c r="AHW66" s="345" t="str">
        <f t="shared" si="1939"/>
        <v/>
      </c>
      <c r="AHX66" s="346"/>
      <c r="AHY66" s="347" t="str">
        <f t="shared" si="1755"/>
        <v/>
      </c>
      <c r="AHZ66" s="348"/>
      <c r="AIA66" s="41"/>
      <c r="AIB66" s="66">
        <v>10</v>
      </c>
      <c r="AIC66" s="192" t="str">
        <f t="shared" si="1940"/>
        <v>Outcome Index 10  | Odd 10</v>
      </c>
      <c r="AID66" s="190">
        <f t="shared" si="1391"/>
        <v>100</v>
      </c>
      <c r="AIE66" s="190">
        <f t="shared" si="457"/>
        <v>103</v>
      </c>
      <c r="AIF66" s="190">
        <v>4</v>
      </c>
      <c r="AIG66" s="345" t="str">
        <f t="shared" si="1941"/>
        <v/>
      </c>
      <c r="AIH66" s="346"/>
      <c r="AII66" s="347" t="str">
        <f t="shared" si="1757"/>
        <v/>
      </c>
      <c r="AIJ66" s="348"/>
      <c r="AIK66" s="41"/>
      <c r="AIL66" s="66">
        <v>10</v>
      </c>
      <c r="AIM66" s="192" t="str">
        <f t="shared" si="1942"/>
        <v>Outcome Index 10  | Odd 10</v>
      </c>
      <c r="AIN66" s="190">
        <f t="shared" si="1392"/>
        <v>100</v>
      </c>
      <c r="AIO66" s="190">
        <f t="shared" si="461"/>
        <v>103</v>
      </c>
      <c r="AIP66" s="190">
        <v>4</v>
      </c>
      <c r="AIQ66" s="345" t="str">
        <f t="shared" si="1943"/>
        <v/>
      </c>
      <c r="AIR66" s="346"/>
      <c r="AIS66" s="347" t="str">
        <f t="shared" si="1759"/>
        <v/>
      </c>
      <c r="AIT66" s="348"/>
      <c r="AIU66" s="41"/>
      <c r="AIV66" s="66">
        <v>10</v>
      </c>
      <c r="AIW66" s="192" t="str">
        <f t="shared" si="1944"/>
        <v>Outcome Index 10  | Odd 10</v>
      </c>
      <c r="AIX66" s="190">
        <f t="shared" si="1393"/>
        <v>100</v>
      </c>
      <c r="AIY66" s="190">
        <f t="shared" si="465"/>
        <v>103</v>
      </c>
      <c r="AIZ66" s="190">
        <v>4</v>
      </c>
      <c r="AJA66" s="345" t="str">
        <f t="shared" si="1945"/>
        <v/>
      </c>
      <c r="AJB66" s="346"/>
      <c r="AJC66" s="347" t="str">
        <f t="shared" si="1761"/>
        <v/>
      </c>
      <c r="AJD66" s="348"/>
    </row>
  </sheetData>
  <mergeCells count="5023">
    <mergeCell ref="AHM66:AHN66"/>
    <mergeCell ref="AHO66:AHP66"/>
    <mergeCell ref="AHW66:AHX66"/>
    <mergeCell ref="AHY66:AHZ66"/>
    <mergeCell ref="AIG66:AIH66"/>
    <mergeCell ref="AII66:AIJ66"/>
    <mergeCell ref="AIQ66:AIR66"/>
    <mergeCell ref="AIS66:AIT66"/>
    <mergeCell ref="AJA66:AJB66"/>
    <mergeCell ref="AJC66:AJD66"/>
    <mergeCell ref="ACW66:ACX66"/>
    <mergeCell ref="ACY66:ACZ66"/>
    <mergeCell ref="ADG66:ADH66"/>
    <mergeCell ref="ADI66:ADJ66"/>
    <mergeCell ref="ADQ66:ADR66"/>
    <mergeCell ref="ADS66:ADT66"/>
    <mergeCell ref="AEA66:AEB66"/>
    <mergeCell ref="AEC66:AED66"/>
    <mergeCell ref="AEK66:AEL66"/>
    <mergeCell ref="AEM66:AEN66"/>
    <mergeCell ref="AEU66:AEV66"/>
    <mergeCell ref="AEW66:AEX66"/>
    <mergeCell ref="AFE66:AFF66"/>
    <mergeCell ref="AFG66:AFH66"/>
    <mergeCell ref="AFO66:AFP66"/>
    <mergeCell ref="AFQ66:AFR66"/>
    <mergeCell ref="AFY66:AFZ66"/>
    <mergeCell ref="AGA66:AGB66"/>
    <mergeCell ref="AGI66:AGJ66"/>
    <mergeCell ref="AGK66:AGL66"/>
    <mergeCell ref="AGS66:AGT66"/>
    <mergeCell ref="AGU66:AGV66"/>
    <mergeCell ref="AHC66:AHD66"/>
    <mergeCell ref="AHE66:AHF66"/>
    <mergeCell ref="AII65:AIJ65"/>
    <mergeCell ref="AIQ65:AIR65"/>
    <mergeCell ref="AIS65:AIT65"/>
    <mergeCell ref="AJA65:AJB65"/>
    <mergeCell ref="AJC65:AJD65"/>
    <mergeCell ref="ACW65:ACX65"/>
    <mergeCell ref="ACY65:ACZ65"/>
    <mergeCell ref="ADG65:ADH65"/>
    <mergeCell ref="ADI65:ADJ65"/>
    <mergeCell ref="ADQ65:ADR65"/>
    <mergeCell ref="ADS65:ADT65"/>
    <mergeCell ref="AEA65:AEB65"/>
    <mergeCell ref="AEC65:AED65"/>
    <mergeCell ref="AEK65:AEL65"/>
    <mergeCell ref="AEM65:AEN65"/>
    <mergeCell ref="AEU65:AEV65"/>
    <mergeCell ref="AEW65:AEX65"/>
    <mergeCell ref="AFE65:AFF65"/>
    <mergeCell ref="AFG65:AFH65"/>
    <mergeCell ref="AFO65:AFP65"/>
    <mergeCell ref="AFQ65:AFR65"/>
    <mergeCell ref="AFY65:AFZ65"/>
    <mergeCell ref="AGA65:AGB65"/>
    <mergeCell ref="AGI65:AGJ65"/>
    <mergeCell ref="AGK65:AGL65"/>
    <mergeCell ref="AGS65:AGT65"/>
    <mergeCell ref="AGU65:AGV65"/>
    <mergeCell ref="AHC65:AHD65"/>
    <mergeCell ref="AHE65:AHF65"/>
    <mergeCell ref="AHM65:AHN65"/>
    <mergeCell ref="AHO65:AHP65"/>
    <mergeCell ref="AHW65:AHX65"/>
    <mergeCell ref="AHY65:AHZ65"/>
    <mergeCell ref="AIG65:AIH65"/>
    <mergeCell ref="AGA64:AGB64"/>
    <mergeCell ref="AGI64:AGJ64"/>
    <mergeCell ref="AGK64:AGL64"/>
    <mergeCell ref="AGS64:AGT64"/>
    <mergeCell ref="AGU64:AGV64"/>
    <mergeCell ref="AHC64:AHD64"/>
    <mergeCell ref="AHE64:AHF64"/>
    <mergeCell ref="AHM64:AHN64"/>
    <mergeCell ref="AHO64:AHP64"/>
    <mergeCell ref="AHW64:AHX64"/>
    <mergeCell ref="AHY64:AHZ64"/>
    <mergeCell ref="AIG64:AIH64"/>
    <mergeCell ref="AII64:AIJ64"/>
    <mergeCell ref="AIQ64:AIR64"/>
    <mergeCell ref="AIS64:AIT64"/>
    <mergeCell ref="AJA64:AJB64"/>
    <mergeCell ref="AJC64:AJD64"/>
    <mergeCell ref="ACW64:ACX64"/>
    <mergeCell ref="ACY64:ACZ64"/>
    <mergeCell ref="ADG64:ADH64"/>
    <mergeCell ref="ADI64:ADJ64"/>
    <mergeCell ref="ADQ64:ADR64"/>
    <mergeCell ref="ADS64:ADT64"/>
    <mergeCell ref="AEA64:AEB64"/>
    <mergeCell ref="AEC64:AED64"/>
    <mergeCell ref="AEK64:AEL64"/>
    <mergeCell ref="AEM64:AEN64"/>
    <mergeCell ref="AEU64:AEV64"/>
    <mergeCell ref="AEW64:AEX64"/>
    <mergeCell ref="AFE64:AFF64"/>
    <mergeCell ref="AFG64:AFH64"/>
    <mergeCell ref="AFO64:AFP64"/>
    <mergeCell ref="AFQ64:AFR64"/>
    <mergeCell ref="AFY64:AFZ64"/>
    <mergeCell ref="AGS63:AGT63"/>
    <mergeCell ref="AGU63:AGV63"/>
    <mergeCell ref="AHC63:AHD63"/>
    <mergeCell ref="AHE63:AHF63"/>
    <mergeCell ref="AHM63:AHN63"/>
    <mergeCell ref="AHO63:AHP63"/>
    <mergeCell ref="AHW63:AHX63"/>
    <mergeCell ref="AHY63:AHZ63"/>
    <mergeCell ref="AIG63:AIH63"/>
    <mergeCell ref="AII63:AIJ63"/>
    <mergeCell ref="AIQ63:AIR63"/>
    <mergeCell ref="AIS63:AIT63"/>
    <mergeCell ref="AJA63:AJB63"/>
    <mergeCell ref="AJC63:AJD63"/>
    <mergeCell ref="ACW63:ACX63"/>
    <mergeCell ref="ACY63:ACZ63"/>
    <mergeCell ref="ADG63:ADH63"/>
    <mergeCell ref="ADI63:ADJ63"/>
    <mergeCell ref="ADQ63:ADR63"/>
    <mergeCell ref="ADS63:ADT63"/>
    <mergeCell ref="AEA63:AEB63"/>
    <mergeCell ref="AEC63:AED63"/>
    <mergeCell ref="AEK63:AEL63"/>
    <mergeCell ref="AEM63:AEN63"/>
    <mergeCell ref="AEU63:AEV63"/>
    <mergeCell ref="AEW63:AEX63"/>
    <mergeCell ref="AFE63:AFF63"/>
    <mergeCell ref="AFG63:AFH63"/>
    <mergeCell ref="AFO63:AFP63"/>
    <mergeCell ref="AFQ63:AFR63"/>
    <mergeCell ref="AFY63:AFZ63"/>
    <mergeCell ref="AGA63:AGB63"/>
    <mergeCell ref="AGI63:AGJ63"/>
    <mergeCell ref="AGK63:AGL63"/>
    <mergeCell ref="AHO62:AHP62"/>
    <mergeCell ref="AHW62:AHX62"/>
    <mergeCell ref="AHY62:AHZ62"/>
    <mergeCell ref="AIG62:AIH62"/>
    <mergeCell ref="AII62:AIJ62"/>
    <mergeCell ref="AIQ62:AIR62"/>
    <mergeCell ref="AIS62:AIT62"/>
    <mergeCell ref="AJA62:AJB62"/>
    <mergeCell ref="AJC62:AJD62"/>
    <mergeCell ref="ACW62:ACX62"/>
    <mergeCell ref="ACY62:ACZ62"/>
    <mergeCell ref="ADG62:ADH62"/>
    <mergeCell ref="ADI62:ADJ62"/>
    <mergeCell ref="ADQ62:ADR62"/>
    <mergeCell ref="ADS62:ADT62"/>
    <mergeCell ref="AEA62:AEB62"/>
    <mergeCell ref="AEC62:AED62"/>
    <mergeCell ref="AEK62:AEL62"/>
    <mergeCell ref="AEM62:AEN62"/>
    <mergeCell ref="AEU62:AEV62"/>
    <mergeCell ref="AEW62:AEX62"/>
    <mergeCell ref="AFE62:AFF62"/>
    <mergeCell ref="AFG62:AFH62"/>
    <mergeCell ref="AFO62:AFP62"/>
    <mergeCell ref="AFQ62:AFR62"/>
    <mergeCell ref="AFY62:AFZ62"/>
    <mergeCell ref="AGA62:AGB62"/>
    <mergeCell ref="AGI62:AGJ62"/>
    <mergeCell ref="AGK62:AGL62"/>
    <mergeCell ref="AGS62:AGT62"/>
    <mergeCell ref="AGU62:AGV62"/>
    <mergeCell ref="AHC62:AHD62"/>
    <mergeCell ref="AHE62:AHF62"/>
    <mergeCell ref="AHM62:AHN62"/>
    <mergeCell ref="AIQ61:AIR61"/>
    <mergeCell ref="AIS61:AIT61"/>
    <mergeCell ref="AJA61:AJB61"/>
    <mergeCell ref="AJC61:AJD61"/>
    <mergeCell ref="ACW61:ACX61"/>
    <mergeCell ref="ACY61:ACZ61"/>
    <mergeCell ref="ADG61:ADH61"/>
    <mergeCell ref="ADI61:ADJ61"/>
    <mergeCell ref="ADQ61:ADR61"/>
    <mergeCell ref="ADS61:ADT61"/>
    <mergeCell ref="AEA61:AEB61"/>
    <mergeCell ref="AEC61:AED61"/>
    <mergeCell ref="AEK61:AEL61"/>
    <mergeCell ref="AEM61:AEN61"/>
    <mergeCell ref="AEU61:AEV61"/>
    <mergeCell ref="AEW61:AEX61"/>
    <mergeCell ref="AFE61:AFF61"/>
    <mergeCell ref="AFG61:AFH61"/>
    <mergeCell ref="AFO61:AFP61"/>
    <mergeCell ref="AFQ61:AFR61"/>
    <mergeCell ref="AFY61:AFZ61"/>
    <mergeCell ref="AGA61:AGB61"/>
    <mergeCell ref="AGI61:AGJ61"/>
    <mergeCell ref="AGK61:AGL61"/>
    <mergeCell ref="AGS61:AGT61"/>
    <mergeCell ref="AGU61:AGV61"/>
    <mergeCell ref="AHC61:AHD61"/>
    <mergeCell ref="AHE61:AHF61"/>
    <mergeCell ref="AHM61:AHN61"/>
    <mergeCell ref="AHO61:AHP61"/>
    <mergeCell ref="AHW61:AHX61"/>
    <mergeCell ref="AHY61:AHZ61"/>
    <mergeCell ref="AIG61:AIH61"/>
    <mergeCell ref="AII61:AIJ61"/>
    <mergeCell ref="AGI60:AGJ60"/>
    <mergeCell ref="AGK60:AGL60"/>
    <mergeCell ref="AGS60:AGT60"/>
    <mergeCell ref="AGU60:AGV60"/>
    <mergeCell ref="AHC60:AHD60"/>
    <mergeCell ref="AHE60:AHF60"/>
    <mergeCell ref="AHM60:AHN60"/>
    <mergeCell ref="AHO60:AHP60"/>
    <mergeCell ref="AHW60:AHX60"/>
    <mergeCell ref="AHY60:AHZ60"/>
    <mergeCell ref="AIG60:AIH60"/>
    <mergeCell ref="AII60:AIJ60"/>
    <mergeCell ref="AIQ60:AIR60"/>
    <mergeCell ref="AIS60:AIT60"/>
    <mergeCell ref="AJA60:AJB60"/>
    <mergeCell ref="AJC60:AJD60"/>
    <mergeCell ref="ACY60:ACZ60"/>
    <mergeCell ref="ADG60:ADH60"/>
    <mergeCell ref="ADI60:ADJ60"/>
    <mergeCell ref="ADQ60:ADR60"/>
    <mergeCell ref="ADS60:ADT60"/>
    <mergeCell ref="AEA60:AEB60"/>
    <mergeCell ref="AEC60:AED60"/>
    <mergeCell ref="AEK60:AEL60"/>
    <mergeCell ref="AEM60:AEN60"/>
    <mergeCell ref="AEU60:AEV60"/>
    <mergeCell ref="AEW60:AEX60"/>
    <mergeCell ref="AFE60:AFF60"/>
    <mergeCell ref="AFG60:AFH60"/>
    <mergeCell ref="AFO60:AFP60"/>
    <mergeCell ref="AFQ60:AFR60"/>
    <mergeCell ref="AFY60:AFZ60"/>
    <mergeCell ref="AGA60:AGB60"/>
    <mergeCell ref="AGS59:AGT59"/>
    <mergeCell ref="AGU59:AGV59"/>
    <mergeCell ref="AHC59:AHD59"/>
    <mergeCell ref="AHE59:AHF59"/>
    <mergeCell ref="AHM59:AHN59"/>
    <mergeCell ref="AHO59:AHP59"/>
    <mergeCell ref="AHW59:AHX59"/>
    <mergeCell ref="AHY59:AHZ59"/>
    <mergeCell ref="AIG59:AIH59"/>
    <mergeCell ref="AII59:AIJ59"/>
    <mergeCell ref="AIQ59:AIR59"/>
    <mergeCell ref="AIS59:AIT59"/>
    <mergeCell ref="AJA59:AJB59"/>
    <mergeCell ref="AJC59:AJD59"/>
    <mergeCell ref="ADI59:ADJ59"/>
    <mergeCell ref="ADQ59:ADR59"/>
    <mergeCell ref="ADS59:ADT59"/>
    <mergeCell ref="AEA59:AEB59"/>
    <mergeCell ref="AEC59:AED59"/>
    <mergeCell ref="AEK59:AEL59"/>
    <mergeCell ref="AEM59:AEN59"/>
    <mergeCell ref="AEU59:AEV59"/>
    <mergeCell ref="AEW59:AEX59"/>
    <mergeCell ref="AFE59:AFF59"/>
    <mergeCell ref="AFG59:AFH59"/>
    <mergeCell ref="AFO59:AFP59"/>
    <mergeCell ref="AFQ59:AFR59"/>
    <mergeCell ref="AFY59:AFZ59"/>
    <mergeCell ref="AGA59:AGB59"/>
    <mergeCell ref="AGI59:AGJ59"/>
    <mergeCell ref="AGK59:AGL59"/>
    <mergeCell ref="AGS58:AGT58"/>
    <mergeCell ref="AGU58:AGV58"/>
    <mergeCell ref="AHC58:AHD58"/>
    <mergeCell ref="AHE58:AHF58"/>
    <mergeCell ref="AHM58:AHN58"/>
    <mergeCell ref="AHO58:AHP58"/>
    <mergeCell ref="AHW58:AHX58"/>
    <mergeCell ref="AHY58:AHZ58"/>
    <mergeCell ref="AIG58:AIH58"/>
    <mergeCell ref="AII58:AIJ58"/>
    <mergeCell ref="AIQ58:AIR58"/>
    <mergeCell ref="AIS58:AIT58"/>
    <mergeCell ref="AJA58:AJB58"/>
    <mergeCell ref="AJC58:AJD58"/>
    <mergeCell ref="ADI58:ADJ58"/>
    <mergeCell ref="ADQ58:ADR58"/>
    <mergeCell ref="ADS58:ADT58"/>
    <mergeCell ref="AEA58:AEB58"/>
    <mergeCell ref="AEC58:AED58"/>
    <mergeCell ref="AEK58:AEL58"/>
    <mergeCell ref="AEM58:AEN58"/>
    <mergeCell ref="AEU58:AEV58"/>
    <mergeCell ref="AEW58:AEX58"/>
    <mergeCell ref="AFE58:AFF58"/>
    <mergeCell ref="AFG58:AFH58"/>
    <mergeCell ref="AFO58:AFP58"/>
    <mergeCell ref="AFQ58:AFR58"/>
    <mergeCell ref="AFY58:AFZ58"/>
    <mergeCell ref="AGA58:AGB58"/>
    <mergeCell ref="AGI58:AGJ58"/>
    <mergeCell ref="AGK58:AGL58"/>
    <mergeCell ref="AIS57:AIT57"/>
    <mergeCell ref="AJA57:AJB57"/>
    <mergeCell ref="AJC57:AJD57"/>
    <mergeCell ref="ADI57:ADJ57"/>
    <mergeCell ref="ADQ57:ADR57"/>
    <mergeCell ref="ADS57:ADT57"/>
    <mergeCell ref="AEA57:AEB57"/>
    <mergeCell ref="AEC57:AED57"/>
    <mergeCell ref="AEK57:AEL57"/>
    <mergeCell ref="AEM57:AEN57"/>
    <mergeCell ref="AEU57:AEV57"/>
    <mergeCell ref="AEW57:AEX57"/>
    <mergeCell ref="AFE57:AFF57"/>
    <mergeCell ref="AFG57:AFH57"/>
    <mergeCell ref="AFO57:AFP57"/>
    <mergeCell ref="AFQ57:AFR57"/>
    <mergeCell ref="AFY57:AFZ57"/>
    <mergeCell ref="AGA57:AGB57"/>
    <mergeCell ref="AGI57:AGJ57"/>
    <mergeCell ref="AGK57:AGL57"/>
    <mergeCell ref="AEW56:AEX56"/>
    <mergeCell ref="AFE56:AFF56"/>
    <mergeCell ref="AFG56:AFH56"/>
    <mergeCell ref="AFO56:AFP56"/>
    <mergeCell ref="AFQ56:AFR56"/>
    <mergeCell ref="AFY56:AFZ56"/>
    <mergeCell ref="AGS57:AGT57"/>
    <mergeCell ref="AGU57:AGV57"/>
    <mergeCell ref="AHC57:AHD57"/>
    <mergeCell ref="AHE57:AHF57"/>
    <mergeCell ref="AHM57:AHN57"/>
    <mergeCell ref="AHO57:AHP57"/>
    <mergeCell ref="AHW57:AHX57"/>
    <mergeCell ref="AHY57:AHZ57"/>
    <mergeCell ref="AIG57:AIH57"/>
    <mergeCell ref="AII57:AIJ57"/>
    <mergeCell ref="AIQ57:AIR57"/>
    <mergeCell ref="AGA56:AGB56"/>
    <mergeCell ref="AGI56:AGJ56"/>
    <mergeCell ref="AGK56:AGL56"/>
    <mergeCell ref="AGS56:AGT56"/>
    <mergeCell ref="AFY55:AFZ55"/>
    <mergeCell ref="AGA55:AGB55"/>
    <mergeCell ref="AGI55:AGJ55"/>
    <mergeCell ref="AGK55:AGL55"/>
    <mergeCell ref="AGS55:AGT55"/>
    <mergeCell ref="AGU55:AGV55"/>
    <mergeCell ref="AHC55:AHD55"/>
    <mergeCell ref="AHE55:AHF55"/>
    <mergeCell ref="AHM55:AHN55"/>
    <mergeCell ref="AHO55:AHP55"/>
    <mergeCell ref="AHW55:AHX55"/>
    <mergeCell ref="AHY55:AHZ55"/>
    <mergeCell ref="AIG55:AIH55"/>
    <mergeCell ref="AGC54:AGC56"/>
    <mergeCell ref="AGI54:AGJ54"/>
    <mergeCell ref="AGK54:AGL54"/>
    <mergeCell ref="AGM54:AGM56"/>
    <mergeCell ref="AII55:AIJ55"/>
    <mergeCell ref="AIQ55:AIR55"/>
    <mergeCell ref="AIS55:AIT55"/>
    <mergeCell ref="AJA55:AJB55"/>
    <mergeCell ref="ACW55:ACX55"/>
    <mergeCell ref="ACY55:ACZ55"/>
    <mergeCell ref="ADG55:ADH55"/>
    <mergeCell ref="ADI55:ADJ55"/>
    <mergeCell ref="ADQ55:ADR55"/>
    <mergeCell ref="ADS55:ADT55"/>
    <mergeCell ref="AEA55:AEB55"/>
    <mergeCell ref="AEC55:AED55"/>
    <mergeCell ref="AEK55:AEL55"/>
    <mergeCell ref="AEM55:AEN55"/>
    <mergeCell ref="AEU55:AEV55"/>
    <mergeCell ref="AEW55:AEX55"/>
    <mergeCell ref="AFE55:AFF55"/>
    <mergeCell ref="AFG55:AFH55"/>
    <mergeCell ref="AFO55:AFP55"/>
    <mergeCell ref="AFQ55:AFR55"/>
    <mergeCell ref="AIU54:AIU56"/>
    <mergeCell ref="AJA54:AJB54"/>
    <mergeCell ref="AEW54:AEX54"/>
    <mergeCell ref="AEY54:AEY56"/>
    <mergeCell ref="AFE54:AFF54"/>
    <mergeCell ref="AFG54:AFH54"/>
    <mergeCell ref="AFI54:AFI56"/>
    <mergeCell ref="AFO54:AFP54"/>
    <mergeCell ref="AFQ54:AFR54"/>
    <mergeCell ref="AFS54:AFS56"/>
    <mergeCell ref="AFY54:AFZ54"/>
    <mergeCell ref="AGA54:AGB54"/>
    <mergeCell ref="AJC54:AJD54"/>
    <mergeCell ref="AJC55:AJD55"/>
    <mergeCell ref="AJA56:AJB56"/>
    <mergeCell ref="AJC56:AJD56"/>
    <mergeCell ref="AGS54:AGT54"/>
    <mergeCell ref="AGU54:AGV54"/>
    <mergeCell ref="AGW54:AGW56"/>
    <mergeCell ref="AHC54:AHD54"/>
    <mergeCell ref="AHE54:AHF54"/>
    <mergeCell ref="AHG54:AHG56"/>
    <mergeCell ref="AHM54:AHN54"/>
    <mergeCell ref="AHO54:AHP54"/>
    <mergeCell ref="AHQ54:AHQ56"/>
    <mergeCell ref="AHW54:AHX54"/>
    <mergeCell ref="AHY54:AHZ54"/>
    <mergeCell ref="AIA54:AIA56"/>
    <mergeCell ref="AIG54:AIH54"/>
    <mergeCell ref="AII54:AIJ54"/>
    <mergeCell ref="AIK54:AIK56"/>
    <mergeCell ref="AIQ54:AIR54"/>
    <mergeCell ref="AIS54:AIT54"/>
    <mergeCell ref="AGU56:AGV56"/>
    <mergeCell ref="AHC56:AHD56"/>
    <mergeCell ref="AHE56:AHF56"/>
    <mergeCell ref="AHM56:AHN56"/>
    <mergeCell ref="AHO56:AHP56"/>
    <mergeCell ref="AHW56:AHX56"/>
    <mergeCell ref="AHY56:AHZ56"/>
    <mergeCell ref="AIG56:AIH56"/>
    <mergeCell ref="AII56:AIJ56"/>
    <mergeCell ref="AIQ56:AIR56"/>
    <mergeCell ref="AIS56:AIT56"/>
    <mergeCell ref="ACQ54:ACQ56"/>
    <mergeCell ref="ACW54:ACX54"/>
    <mergeCell ref="ACY54:ACZ54"/>
    <mergeCell ref="ADA54:ADA56"/>
    <mergeCell ref="ADG54:ADH54"/>
    <mergeCell ref="ADI54:ADJ54"/>
    <mergeCell ref="ADK54:ADK56"/>
    <mergeCell ref="ADQ54:ADR54"/>
    <mergeCell ref="ADS54:ADT54"/>
    <mergeCell ref="ADU54:ADU56"/>
    <mergeCell ref="AEA54:AEB54"/>
    <mergeCell ref="AEC54:AED54"/>
    <mergeCell ref="AEE54:AEE56"/>
    <mergeCell ref="AEK54:AEL54"/>
    <mergeCell ref="AEM54:AEN54"/>
    <mergeCell ref="AEO54:AEO56"/>
    <mergeCell ref="AEU54:AEV54"/>
    <mergeCell ref="ACW56:ACX56"/>
    <mergeCell ref="ACY56:ACZ56"/>
    <mergeCell ref="ADG56:ADH56"/>
    <mergeCell ref="ADI56:ADJ56"/>
    <mergeCell ref="ADQ56:ADR56"/>
    <mergeCell ref="ADS56:ADT56"/>
    <mergeCell ref="AEA56:AEB56"/>
    <mergeCell ref="AEC56:AED56"/>
    <mergeCell ref="AEK56:AEL56"/>
    <mergeCell ref="AEM56:AEN56"/>
    <mergeCell ref="AEU56:AEV56"/>
    <mergeCell ref="AGK53:AGL53"/>
    <mergeCell ref="AGS53:AGT53"/>
    <mergeCell ref="AGU53:AGV53"/>
    <mergeCell ref="AHC53:AHD53"/>
    <mergeCell ref="AHE53:AHF53"/>
    <mergeCell ref="AHM53:AHN53"/>
    <mergeCell ref="AHO53:AHP53"/>
    <mergeCell ref="AHW53:AHX53"/>
    <mergeCell ref="AHY53:AHZ53"/>
    <mergeCell ref="AIG53:AIH53"/>
    <mergeCell ref="AII53:AIJ53"/>
    <mergeCell ref="AIQ53:AIR53"/>
    <mergeCell ref="AIS53:AIT53"/>
    <mergeCell ref="AJA53:AJB53"/>
    <mergeCell ref="AJC53:AJD53"/>
    <mergeCell ref="ACW53:ACX53"/>
    <mergeCell ref="ACY53:ACZ53"/>
    <mergeCell ref="ADG53:ADH53"/>
    <mergeCell ref="ADI53:ADJ53"/>
    <mergeCell ref="ADQ53:ADR53"/>
    <mergeCell ref="ADS53:ADT53"/>
    <mergeCell ref="AEA53:AEB53"/>
    <mergeCell ref="AEC53:AED53"/>
    <mergeCell ref="AEK53:AEL53"/>
    <mergeCell ref="AEM53:AEN53"/>
    <mergeCell ref="AEU53:AEV53"/>
    <mergeCell ref="AEW53:AEX53"/>
    <mergeCell ref="AFE53:AFF53"/>
    <mergeCell ref="AFG53:AFH53"/>
    <mergeCell ref="AFO53:AFP53"/>
    <mergeCell ref="AFQ53:AFR53"/>
    <mergeCell ref="AFY53:AFZ53"/>
    <mergeCell ref="AGA53:AGB53"/>
    <mergeCell ref="AGI53:AGJ53"/>
    <mergeCell ref="AHM52:AHN52"/>
    <mergeCell ref="AHO52:AHP52"/>
    <mergeCell ref="AHW52:AHX52"/>
    <mergeCell ref="AHY52:AHZ52"/>
    <mergeCell ref="AIG52:AIH52"/>
    <mergeCell ref="AII52:AIJ52"/>
    <mergeCell ref="AIQ52:AIR52"/>
    <mergeCell ref="AIS52:AIT52"/>
    <mergeCell ref="AJA52:AJB52"/>
    <mergeCell ref="AJC52:AJD52"/>
    <mergeCell ref="ACW52:ACX52"/>
    <mergeCell ref="ACY52:ACZ52"/>
    <mergeCell ref="ADG52:ADH52"/>
    <mergeCell ref="ADI52:ADJ52"/>
    <mergeCell ref="ADQ52:ADR52"/>
    <mergeCell ref="ADS52:ADT52"/>
    <mergeCell ref="AEA52:AEB52"/>
    <mergeCell ref="AEC52:AED52"/>
    <mergeCell ref="AEK52:AEL52"/>
    <mergeCell ref="AEM52:AEN52"/>
    <mergeCell ref="AEU52:AEV52"/>
    <mergeCell ref="AEW52:AEX52"/>
    <mergeCell ref="AFE52:AFF52"/>
    <mergeCell ref="AFG52:AFH52"/>
    <mergeCell ref="AFO52:AFP52"/>
    <mergeCell ref="AFQ52:AFR52"/>
    <mergeCell ref="AFY52:AFZ52"/>
    <mergeCell ref="AGA52:AGB52"/>
    <mergeCell ref="AGI52:AGJ52"/>
    <mergeCell ref="AGK52:AGL52"/>
    <mergeCell ref="ACW51:ACX51"/>
    <mergeCell ref="ACY51:ACZ51"/>
    <mergeCell ref="ADG51:ADH51"/>
    <mergeCell ref="ADI51:ADJ51"/>
    <mergeCell ref="ADQ51:ADR51"/>
    <mergeCell ref="ADS51:ADT51"/>
    <mergeCell ref="AEA51:AEB51"/>
    <mergeCell ref="AEC51:AED51"/>
    <mergeCell ref="AEK51:AEL51"/>
    <mergeCell ref="AEM51:AEN51"/>
    <mergeCell ref="AEU51:AEV51"/>
    <mergeCell ref="AEW51:AEX51"/>
    <mergeCell ref="AFE51:AFF51"/>
    <mergeCell ref="AFG51:AFH51"/>
    <mergeCell ref="AFO51:AFP51"/>
    <mergeCell ref="AFQ51:AFR51"/>
    <mergeCell ref="AFY51:AFZ51"/>
    <mergeCell ref="ADQ50:ADR50"/>
    <mergeCell ref="ADS50:ADT50"/>
    <mergeCell ref="AEA50:AEB50"/>
    <mergeCell ref="AEC50:AED50"/>
    <mergeCell ref="AEK50:AEL50"/>
    <mergeCell ref="AEM50:AEN50"/>
    <mergeCell ref="AEU50:AEV50"/>
    <mergeCell ref="AEW50:AEX50"/>
    <mergeCell ref="AFE50:AFF50"/>
    <mergeCell ref="AFG50:AFH50"/>
    <mergeCell ref="AFO50:AFP50"/>
    <mergeCell ref="AFQ50:AFR50"/>
    <mergeCell ref="AFY50:AFZ50"/>
    <mergeCell ref="AGA50:AGB50"/>
    <mergeCell ref="AGI50:AGJ50"/>
    <mergeCell ref="AGK50:AGL50"/>
    <mergeCell ref="AGS50:AGT50"/>
    <mergeCell ref="AEW49:AEX49"/>
    <mergeCell ref="AFE49:AFF49"/>
    <mergeCell ref="AFG49:AFH49"/>
    <mergeCell ref="AFO49:AFP49"/>
    <mergeCell ref="AFQ49:AFR49"/>
    <mergeCell ref="AFY49:AFZ49"/>
    <mergeCell ref="AGA49:AGB49"/>
    <mergeCell ref="AGI49:AGJ49"/>
    <mergeCell ref="AGK49:AGL49"/>
    <mergeCell ref="AGS49:AGT49"/>
    <mergeCell ref="AGS51:AGT51"/>
    <mergeCell ref="AGU51:AGV51"/>
    <mergeCell ref="AHC51:AHD51"/>
    <mergeCell ref="AHE51:AHF51"/>
    <mergeCell ref="AIG50:AIH50"/>
    <mergeCell ref="AII50:AIJ50"/>
    <mergeCell ref="AIQ50:AIR50"/>
    <mergeCell ref="AGU50:AGV50"/>
    <mergeCell ref="AHM51:AHN51"/>
    <mergeCell ref="AHO51:AHP51"/>
    <mergeCell ref="AHW51:AHX51"/>
    <mergeCell ref="AHY51:AHZ51"/>
    <mergeCell ref="AIG51:AIH51"/>
    <mergeCell ref="AII51:AIJ51"/>
    <mergeCell ref="AIQ51:AIR51"/>
    <mergeCell ref="AHG48:AHG52"/>
    <mergeCell ref="AHM48:AHN48"/>
    <mergeCell ref="AHO48:AHP48"/>
    <mergeCell ref="AHQ48:AHQ52"/>
    <mergeCell ref="AHW48:AHX48"/>
    <mergeCell ref="AHY48:AHZ48"/>
    <mergeCell ref="AIA48:AIA52"/>
    <mergeCell ref="AIG48:AIH48"/>
    <mergeCell ref="AII48:AIJ48"/>
    <mergeCell ref="AIK48:AIK52"/>
    <mergeCell ref="AIQ48:AIR48"/>
    <mergeCell ref="AIS48:AIT48"/>
    <mergeCell ref="AIU48:AIU52"/>
    <mergeCell ref="AJA48:AJB48"/>
    <mergeCell ref="AJC48:AJD48"/>
    <mergeCell ref="AHM49:AHN49"/>
    <mergeCell ref="AHO49:AHP49"/>
    <mergeCell ref="AHW49:AHX49"/>
    <mergeCell ref="AHY49:AHZ49"/>
    <mergeCell ref="AIG49:AIH49"/>
    <mergeCell ref="AII49:AIJ49"/>
    <mergeCell ref="AIQ49:AIR49"/>
    <mergeCell ref="AIS49:AIT49"/>
    <mergeCell ref="AJA49:AJB49"/>
    <mergeCell ref="AJC49:AJD49"/>
    <mergeCell ref="AHM50:AHN50"/>
    <mergeCell ref="AHO50:AHP50"/>
    <mergeCell ref="AHW50:AHX50"/>
    <mergeCell ref="AHY50:AHZ50"/>
    <mergeCell ref="AIS50:AIT50"/>
    <mergeCell ref="AJA50:AJB50"/>
    <mergeCell ref="AJC50:AJD50"/>
    <mergeCell ref="AIS51:AIT51"/>
    <mergeCell ref="AJA51:AJB51"/>
    <mergeCell ref="AJC51:AJD51"/>
    <mergeCell ref="AFE48:AFF48"/>
    <mergeCell ref="AFG48:AFH48"/>
    <mergeCell ref="AFI48:AFI52"/>
    <mergeCell ref="AFO48:AFP48"/>
    <mergeCell ref="AFQ48:AFR48"/>
    <mergeCell ref="AFS48:AFS52"/>
    <mergeCell ref="AFY48:AFZ48"/>
    <mergeCell ref="AGA48:AGB48"/>
    <mergeCell ref="AGC48:AGC52"/>
    <mergeCell ref="AGI48:AGJ48"/>
    <mergeCell ref="AGK48:AGL48"/>
    <mergeCell ref="AGM48:AGM52"/>
    <mergeCell ref="AGS48:AGT48"/>
    <mergeCell ref="AGU48:AGV48"/>
    <mergeCell ref="AGW48:AGW52"/>
    <mergeCell ref="AHC48:AHD48"/>
    <mergeCell ref="AHE48:AHF48"/>
    <mergeCell ref="AGU49:AGV49"/>
    <mergeCell ref="AHC49:AHD49"/>
    <mergeCell ref="AHE49:AHF49"/>
    <mergeCell ref="AHC52:AHD52"/>
    <mergeCell ref="AHE52:AHF52"/>
    <mergeCell ref="AHC50:AHD50"/>
    <mergeCell ref="AHE50:AHF50"/>
    <mergeCell ref="AGS52:AGT52"/>
    <mergeCell ref="AGU52:AGV52"/>
    <mergeCell ref="AGA51:AGB51"/>
    <mergeCell ref="AGI51:AGJ51"/>
    <mergeCell ref="AGK51:AGL51"/>
    <mergeCell ref="ACQ48:ACQ52"/>
    <mergeCell ref="ACW48:ACX48"/>
    <mergeCell ref="ACY48:ACZ48"/>
    <mergeCell ref="ADA48:ADA52"/>
    <mergeCell ref="ADG48:ADH48"/>
    <mergeCell ref="ADI48:ADJ48"/>
    <mergeCell ref="ADK48:ADK52"/>
    <mergeCell ref="ADQ48:ADR48"/>
    <mergeCell ref="ADS48:ADT48"/>
    <mergeCell ref="ADU48:ADU52"/>
    <mergeCell ref="AEA48:AEB48"/>
    <mergeCell ref="AEC48:AED48"/>
    <mergeCell ref="AEE48:AEE52"/>
    <mergeCell ref="AEK48:AEL48"/>
    <mergeCell ref="AEM48:AEN48"/>
    <mergeCell ref="AEO48:AEO52"/>
    <mergeCell ref="AEU48:AEV48"/>
    <mergeCell ref="ACW49:ACX49"/>
    <mergeCell ref="ACY49:ACZ49"/>
    <mergeCell ref="ADG49:ADH49"/>
    <mergeCell ref="ADI49:ADJ49"/>
    <mergeCell ref="ADQ49:ADR49"/>
    <mergeCell ref="ADS49:ADT49"/>
    <mergeCell ref="AEA49:AEB49"/>
    <mergeCell ref="AEC49:AED49"/>
    <mergeCell ref="AEK49:AEL49"/>
    <mergeCell ref="AEM49:AEN49"/>
    <mergeCell ref="AEU49:AEV49"/>
    <mergeCell ref="ACW50:ACX50"/>
    <mergeCell ref="ACY50:ACZ50"/>
    <mergeCell ref="ADG50:ADH50"/>
    <mergeCell ref="ADI50:ADJ50"/>
    <mergeCell ref="AEW48:AEX48"/>
    <mergeCell ref="AEY48:AEY52"/>
    <mergeCell ref="AHM47:AHN47"/>
    <mergeCell ref="AHO47:AHP47"/>
    <mergeCell ref="AHW47:AHX47"/>
    <mergeCell ref="AHY47:AHZ47"/>
    <mergeCell ref="AIG47:AIH47"/>
    <mergeCell ref="AII47:AIJ47"/>
    <mergeCell ref="AIQ47:AIR47"/>
    <mergeCell ref="AIS47:AIT47"/>
    <mergeCell ref="AJA47:AJB47"/>
    <mergeCell ref="AJC47:AJD47"/>
    <mergeCell ref="ACW47:ACX47"/>
    <mergeCell ref="ACY47:ACZ47"/>
    <mergeCell ref="ADG47:ADH47"/>
    <mergeCell ref="ADI47:ADJ47"/>
    <mergeCell ref="ADQ47:ADR47"/>
    <mergeCell ref="ADS47:ADT47"/>
    <mergeCell ref="AEA47:AEB47"/>
    <mergeCell ref="AEC47:AED47"/>
    <mergeCell ref="AEK47:AEL47"/>
    <mergeCell ref="AEM47:AEN47"/>
    <mergeCell ref="AEU47:AEV47"/>
    <mergeCell ref="AEW47:AEX47"/>
    <mergeCell ref="AFE47:AFF47"/>
    <mergeCell ref="AFG47:AFH47"/>
    <mergeCell ref="AFO47:AFP47"/>
    <mergeCell ref="AFQ47:AFR47"/>
    <mergeCell ref="AFY47:AFZ47"/>
    <mergeCell ref="AGA47:AGB47"/>
    <mergeCell ref="AGI47:AGJ47"/>
    <mergeCell ref="AGK47:AGL47"/>
    <mergeCell ref="AGS47:AGT47"/>
    <mergeCell ref="AGU47:AGV47"/>
    <mergeCell ref="AHC47:AHD47"/>
    <mergeCell ref="AHE47:AHF47"/>
    <mergeCell ref="AHW46:AHX46"/>
    <mergeCell ref="AHY46:AHZ46"/>
    <mergeCell ref="AIG46:AIH46"/>
    <mergeCell ref="AII46:AIJ46"/>
    <mergeCell ref="AIQ46:AIR46"/>
    <mergeCell ref="AIS46:AIT46"/>
    <mergeCell ref="AJA46:AJB46"/>
    <mergeCell ref="AJC46:AJD46"/>
    <mergeCell ref="ACW46:ACX46"/>
    <mergeCell ref="ACY46:ACZ46"/>
    <mergeCell ref="ADG46:ADH46"/>
    <mergeCell ref="ADI46:ADJ46"/>
    <mergeCell ref="ADQ46:ADR46"/>
    <mergeCell ref="ADS46:ADT46"/>
    <mergeCell ref="AEA46:AEB46"/>
    <mergeCell ref="AEC46:AED46"/>
    <mergeCell ref="AEK46:AEL46"/>
    <mergeCell ref="AEM46:AEN46"/>
    <mergeCell ref="AEU46:AEV46"/>
    <mergeCell ref="AEW46:AEX46"/>
    <mergeCell ref="AFE46:AFF46"/>
    <mergeCell ref="AFG46:AFH46"/>
    <mergeCell ref="AFO46:AFP46"/>
    <mergeCell ref="AFQ46:AFR46"/>
    <mergeCell ref="AFY46:AFZ46"/>
    <mergeCell ref="AGA46:AGB46"/>
    <mergeCell ref="AGI46:AGJ46"/>
    <mergeCell ref="AGK46:AGL46"/>
    <mergeCell ref="AHC46:AHD46"/>
    <mergeCell ref="AHE46:AHF46"/>
    <mergeCell ref="AHM46:AHN46"/>
    <mergeCell ref="AHO46:AHP46"/>
    <mergeCell ref="AIQ45:AIR45"/>
    <mergeCell ref="AIS45:AIT45"/>
    <mergeCell ref="AJA45:AJB45"/>
    <mergeCell ref="AJC45:AJD45"/>
    <mergeCell ref="ACW45:ACX45"/>
    <mergeCell ref="ACY45:ACZ45"/>
    <mergeCell ref="ADG45:ADH45"/>
    <mergeCell ref="ADI45:ADJ45"/>
    <mergeCell ref="ADQ45:ADR45"/>
    <mergeCell ref="ADS45:ADT45"/>
    <mergeCell ref="AEA45:AEB45"/>
    <mergeCell ref="AEC45:AED45"/>
    <mergeCell ref="AEK45:AEL45"/>
    <mergeCell ref="AEM45:AEN45"/>
    <mergeCell ref="AEU45:AEV45"/>
    <mergeCell ref="AEW45:AEX45"/>
    <mergeCell ref="AFE45:AFF45"/>
    <mergeCell ref="AFG45:AFH45"/>
    <mergeCell ref="AFO45:AFP45"/>
    <mergeCell ref="AFQ45:AFR45"/>
    <mergeCell ref="AFY45:AFZ45"/>
    <mergeCell ref="AGA45:AGB45"/>
    <mergeCell ref="AGI45:AGJ45"/>
    <mergeCell ref="AGK45:AGL45"/>
    <mergeCell ref="AGS45:AGT45"/>
    <mergeCell ref="AGU45:AGV45"/>
    <mergeCell ref="AHQ43:AHQ46"/>
    <mergeCell ref="AHW43:AHX43"/>
    <mergeCell ref="ACW44:ACX44"/>
    <mergeCell ref="ACY44:ACZ44"/>
    <mergeCell ref="ADG44:ADH44"/>
    <mergeCell ref="ADI44:ADJ44"/>
    <mergeCell ref="ADQ44:ADR44"/>
    <mergeCell ref="ADS44:ADT44"/>
    <mergeCell ref="AEA44:AEB44"/>
    <mergeCell ref="AEC44:AED44"/>
    <mergeCell ref="AEK44:AEL44"/>
    <mergeCell ref="AEM44:AEN44"/>
    <mergeCell ref="AEU44:AEV44"/>
    <mergeCell ref="AEW44:AEX44"/>
    <mergeCell ref="AFE44:AFF44"/>
    <mergeCell ref="AFG44:AFH44"/>
    <mergeCell ref="AFO44:AFP44"/>
    <mergeCell ref="AFQ44:AFR44"/>
    <mergeCell ref="AFY44:AFZ44"/>
    <mergeCell ref="AHY43:AHZ43"/>
    <mergeCell ref="AIA43:AIA46"/>
    <mergeCell ref="AIG43:AIH43"/>
    <mergeCell ref="AII43:AIJ43"/>
    <mergeCell ref="AIK43:AIK46"/>
    <mergeCell ref="AIQ43:AIR43"/>
    <mergeCell ref="AIS43:AIT43"/>
    <mergeCell ref="AIU43:AIU46"/>
    <mergeCell ref="AJA43:AJB43"/>
    <mergeCell ref="AJC43:AJD43"/>
    <mergeCell ref="AHW44:AHX44"/>
    <mergeCell ref="AHY44:AHZ44"/>
    <mergeCell ref="AIG44:AIH44"/>
    <mergeCell ref="AII44:AIJ44"/>
    <mergeCell ref="AIQ44:AIR44"/>
    <mergeCell ref="AIS44:AIT44"/>
    <mergeCell ref="AJA44:AJB44"/>
    <mergeCell ref="AJC44:AJD44"/>
    <mergeCell ref="AHW45:AHX45"/>
    <mergeCell ref="AHY45:AHZ45"/>
    <mergeCell ref="AIG45:AIH45"/>
    <mergeCell ref="AII45:AIJ45"/>
    <mergeCell ref="AFO43:AFP43"/>
    <mergeCell ref="AFQ43:AFR43"/>
    <mergeCell ref="AFS43:AFS46"/>
    <mergeCell ref="AFY43:AFZ43"/>
    <mergeCell ref="AGA43:AGB43"/>
    <mergeCell ref="AGC43:AGC46"/>
    <mergeCell ref="AGI43:AGJ43"/>
    <mergeCell ref="AGK43:AGL43"/>
    <mergeCell ref="AGM43:AGM46"/>
    <mergeCell ref="AGS43:AGT43"/>
    <mergeCell ref="AGU43:AGV43"/>
    <mergeCell ref="AGW43:AGW46"/>
    <mergeCell ref="AHC43:AHD43"/>
    <mergeCell ref="AHE43:AHF43"/>
    <mergeCell ref="AHG43:AHG46"/>
    <mergeCell ref="AHM43:AHN43"/>
    <mergeCell ref="AHO43:AHP43"/>
    <mergeCell ref="AHM44:AHN44"/>
    <mergeCell ref="AHO44:AHP44"/>
    <mergeCell ref="AHC45:AHD45"/>
    <mergeCell ref="AHE45:AHF45"/>
    <mergeCell ref="AHM45:AHN45"/>
    <mergeCell ref="AHO45:AHP45"/>
    <mergeCell ref="AGA44:AGB44"/>
    <mergeCell ref="AGI44:AGJ44"/>
    <mergeCell ref="AGK44:AGL44"/>
    <mergeCell ref="AGS44:AGT44"/>
    <mergeCell ref="AGU44:AGV44"/>
    <mergeCell ref="AHC44:AHD44"/>
    <mergeCell ref="AHE44:AHF44"/>
    <mergeCell ref="AGS46:AGT46"/>
    <mergeCell ref="AGU46:AGV46"/>
    <mergeCell ref="ADI43:ADJ43"/>
    <mergeCell ref="ADK43:ADK46"/>
    <mergeCell ref="ADQ43:ADR43"/>
    <mergeCell ref="ADS43:ADT43"/>
    <mergeCell ref="ADU43:ADU46"/>
    <mergeCell ref="AEA43:AEB43"/>
    <mergeCell ref="AEC43:AED43"/>
    <mergeCell ref="AEE43:AEE46"/>
    <mergeCell ref="AEK43:AEL43"/>
    <mergeCell ref="AEM43:AEN43"/>
    <mergeCell ref="AEO43:AEO46"/>
    <mergeCell ref="AEU43:AEV43"/>
    <mergeCell ref="AEW43:AEX43"/>
    <mergeCell ref="AEY43:AEY46"/>
    <mergeCell ref="AFE43:AFF43"/>
    <mergeCell ref="AFG43:AFH43"/>
    <mergeCell ref="AFI43:AFI46"/>
    <mergeCell ref="AGS42:AGT42"/>
    <mergeCell ref="AGU42:AGV42"/>
    <mergeCell ref="AHC42:AHD42"/>
    <mergeCell ref="AHE42:AHF42"/>
    <mergeCell ref="AHM42:AHN42"/>
    <mergeCell ref="AHO42:AHP42"/>
    <mergeCell ref="AHW42:AHX42"/>
    <mergeCell ref="AHY42:AHZ42"/>
    <mergeCell ref="AIG42:AIH42"/>
    <mergeCell ref="AII42:AIJ42"/>
    <mergeCell ref="AIQ42:AIR42"/>
    <mergeCell ref="AIS42:AIT42"/>
    <mergeCell ref="AJA42:AJB42"/>
    <mergeCell ref="AJC42:AJD42"/>
    <mergeCell ref="ADI42:ADJ42"/>
    <mergeCell ref="ADQ42:ADR42"/>
    <mergeCell ref="ADS42:ADT42"/>
    <mergeCell ref="AEA42:AEB42"/>
    <mergeCell ref="AEC42:AED42"/>
    <mergeCell ref="AEK42:AEL42"/>
    <mergeCell ref="AEM42:AEN42"/>
    <mergeCell ref="AEU42:AEV42"/>
    <mergeCell ref="AEW42:AEX42"/>
    <mergeCell ref="AFE42:AFF42"/>
    <mergeCell ref="AFG42:AFH42"/>
    <mergeCell ref="AFO42:AFP42"/>
    <mergeCell ref="AFQ42:AFR42"/>
    <mergeCell ref="AFY42:AFZ42"/>
    <mergeCell ref="AGA42:AGB42"/>
    <mergeCell ref="AGI42:AGJ42"/>
    <mergeCell ref="AGK42:AGL42"/>
    <mergeCell ref="AAE66:AAF66"/>
    <mergeCell ref="AAG66:AAH66"/>
    <mergeCell ref="AAO66:AAP66"/>
    <mergeCell ref="AAQ66:AAR66"/>
    <mergeCell ref="AAY66:AAZ66"/>
    <mergeCell ref="ABA66:ABB66"/>
    <mergeCell ref="ABI66:ABJ66"/>
    <mergeCell ref="ABK66:ABL66"/>
    <mergeCell ref="ABS66:ABT66"/>
    <mergeCell ref="ABU66:ABV66"/>
    <mergeCell ref="ACC66:ACD66"/>
    <mergeCell ref="ACE66:ACF66"/>
    <mergeCell ref="ACM66:ACN66"/>
    <mergeCell ref="ACO66:ACP66"/>
    <mergeCell ref="ACW42:ACX42"/>
    <mergeCell ref="ACY42:ACZ42"/>
    <mergeCell ref="ADG42:ADH42"/>
    <mergeCell ref="ACQ43:ACQ46"/>
    <mergeCell ref="ACW43:ACX43"/>
    <mergeCell ref="ACY43:ACZ43"/>
    <mergeCell ref="ADA43:ADA46"/>
    <mergeCell ref="ADG43:ADH43"/>
    <mergeCell ref="ACW57:ACX57"/>
    <mergeCell ref="ACY57:ACZ57"/>
    <mergeCell ref="ADG57:ADH57"/>
    <mergeCell ref="ACW58:ACX58"/>
    <mergeCell ref="ACY58:ACZ58"/>
    <mergeCell ref="ADG58:ADH58"/>
    <mergeCell ref="ACW59:ACX59"/>
    <mergeCell ref="ACY59:ACZ59"/>
    <mergeCell ref="ADG59:ADH59"/>
    <mergeCell ref="ACW60:ACX60"/>
    <mergeCell ref="WU66:WV66"/>
    <mergeCell ref="XC66:XD66"/>
    <mergeCell ref="XE66:XF66"/>
    <mergeCell ref="XM66:XN66"/>
    <mergeCell ref="XO66:XP66"/>
    <mergeCell ref="XW66:XX66"/>
    <mergeCell ref="XY66:XZ66"/>
    <mergeCell ref="YG66:YH66"/>
    <mergeCell ref="YI66:YJ66"/>
    <mergeCell ref="YQ66:YR66"/>
    <mergeCell ref="YS66:YT66"/>
    <mergeCell ref="ZA66:ZB66"/>
    <mergeCell ref="ZC66:ZD66"/>
    <mergeCell ref="ZK66:ZL66"/>
    <mergeCell ref="ZM66:ZN66"/>
    <mergeCell ref="ZU66:ZV66"/>
    <mergeCell ref="ZW66:ZX66"/>
    <mergeCell ref="AAQ65:AAR65"/>
    <mergeCell ref="AAY65:AAZ65"/>
    <mergeCell ref="ABA65:ABB65"/>
    <mergeCell ref="ABI65:ABJ65"/>
    <mergeCell ref="ABK65:ABL65"/>
    <mergeCell ref="ABS65:ABT65"/>
    <mergeCell ref="ABU65:ABV65"/>
    <mergeCell ref="ACC65:ACD65"/>
    <mergeCell ref="ACE65:ACF65"/>
    <mergeCell ref="ACM65:ACN65"/>
    <mergeCell ref="ACO65:ACP65"/>
    <mergeCell ref="SW66:SX66"/>
    <mergeCell ref="SY66:SZ66"/>
    <mergeCell ref="TG66:TH66"/>
    <mergeCell ref="TI66:TJ66"/>
    <mergeCell ref="TQ66:TR66"/>
    <mergeCell ref="TS66:TT66"/>
    <mergeCell ref="UA66:UB66"/>
    <mergeCell ref="UC66:UD66"/>
    <mergeCell ref="UK66:UL66"/>
    <mergeCell ref="UM66:UN66"/>
    <mergeCell ref="UU66:UV66"/>
    <mergeCell ref="UW66:UX66"/>
    <mergeCell ref="VE66:VF66"/>
    <mergeCell ref="VG66:VH66"/>
    <mergeCell ref="VO66:VP66"/>
    <mergeCell ref="VQ66:VR66"/>
    <mergeCell ref="VY66:VZ66"/>
    <mergeCell ref="WA66:WB66"/>
    <mergeCell ref="WI66:WJ66"/>
    <mergeCell ref="WK66:WL66"/>
    <mergeCell ref="WS66:WT66"/>
    <mergeCell ref="XM65:XN65"/>
    <mergeCell ref="XO65:XP65"/>
    <mergeCell ref="XW65:XX65"/>
    <mergeCell ref="XY65:XZ65"/>
    <mergeCell ref="YG65:YH65"/>
    <mergeCell ref="YI65:YJ65"/>
    <mergeCell ref="YQ65:YR65"/>
    <mergeCell ref="YS65:YT65"/>
    <mergeCell ref="ZA65:ZB65"/>
    <mergeCell ref="ZC65:ZD65"/>
    <mergeCell ref="ZK65:ZL65"/>
    <mergeCell ref="ZM65:ZN65"/>
    <mergeCell ref="ZU65:ZV65"/>
    <mergeCell ref="ZW65:ZX65"/>
    <mergeCell ref="AAE65:AAF65"/>
    <mergeCell ref="AAG65:AAH65"/>
    <mergeCell ref="AAO65:AAP65"/>
    <mergeCell ref="ABI64:ABJ64"/>
    <mergeCell ref="ABK64:ABL64"/>
    <mergeCell ref="ABS64:ABT64"/>
    <mergeCell ref="ABU64:ABV64"/>
    <mergeCell ref="ACC64:ACD64"/>
    <mergeCell ref="ACE64:ACF64"/>
    <mergeCell ref="ACM64:ACN64"/>
    <mergeCell ref="ACO64:ACP64"/>
    <mergeCell ref="SW65:SX65"/>
    <mergeCell ref="SY65:SZ65"/>
    <mergeCell ref="TG65:TH65"/>
    <mergeCell ref="TI65:TJ65"/>
    <mergeCell ref="TQ65:TR65"/>
    <mergeCell ref="TS65:TT65"/>
    <mergeCell ref="UA65:UB65"/>
    <mergeCell ref="UC65:UD65"/>
    <mergeCell ref="UK65:UL65"/>
    <mergeCell ref="UM65:UN65"/>
    <mergeCell ref="UU65:UV65"/>
    <mergeCell ref="UW65:UX65"/>
    <mergeCell ref="VE65:VF65"/>
    <mergeCell ref="VG65:VH65"/>
    <mergeCell ref="VO65:VP65"/>
    <mergeCell ref="VQ65:VR65"/>
    <mergeCell ref="VY65:VZ65"/>
    <mergeCell ref="WA65:WB65"/>
    <mergeCell ref="WI65:WJ65"/>
    <mergeCell ref="WK65:WL65"/>
    <mergeCell ref="WS65:WT65"/>
    <mergeCell ref="WU65:WV65"/>
    <mergeCell ref="XC65:XD65"/>
    <mergeCell ref="XE65:XF65"/>
    <mergeCell ref="XY64:XZ64"/>
    <mergeCell ref="YG64:YH64"/>
    <mergeCell ref="YI64:YJ64"/>
    <mergeCell ref="YQ64:YR64"/>
    <mergeCell ref="YS64:YT64"/>
    <mergeCell ref="ZA64:ZB64"/>
    <mergeCell ref="ZC64:ZD64"/>
    <mergeCell ref="ZK64:ZL64"/>
    <mergeCell ref="ZM64:ZN64"/>
    <mergeCell ref="ZU64:ZV64"/>
    <mergeCell ref="ZW64:ZX64"/>
    <mergeCell ref="AAE64:AAF64"/>
    <mergeCell ref="AAG64:AAH64"/>
    <mergeCell ref="AAO64:AAP64"/>
    <mergeCell ref="AAQ64:AAR64"/>
    <mergeCell ref="AAY64:AAZ64"/>
    <mergeCell ref="ABA64:ABB64"/>
    <mergeCell ref="ABU63:ABV63"/>
    <mergeCell ref="ACC63:ACD63"/>
    <mergeCell ref="ACE63:ACF63"/>
    <mergeCell ref="ACM63:ACN63"/>
    <mergeCell ref="ACO63:ACP63"/>
    <mergeCell ref="SW64:SX64"/>
    <mergeCell ref="SY64:SZ64"/>
    <mergeCell ref="TG64:TH64"/>
    <mergeCell ref="TI64:TJ64"/>
    <mergeCell ref="TQ64:TR64"/>
    <mergeCell ref="TS64:TT64"/>
    <mergeCell ref="UA64:UB64"/>
    <mergeCell ref="UC64:UD64"/>
    <mergeCell ref="UK64:UL64"/>
    <mergeCell ref="UM64:UN64"/>
    <mergeCell ref="UU64:UV64"/>
    <mergeCell ref="UW64:UX64"/>
    <mergeCell ref="VE64:VF64"/>
    <mergeCell ref="VG64:VH64"/>
    <mergeCell ref="VO64:VP64"/>
    <mergeCell ref="VQ64:VR64"/>
    <mergeCell ref="VY64:VZ64"/>
    <mergeCell ref="WA64:WB64"/>
    <mergeCell ref="WI64:WJ64"/>
    <mergeCell ref="WK64:WL64"/>
    <mergeCell ref="WS64:WT64"/>
    <mergeCell ref="WU64:WV64"/>
    <mergeCell ref="XC64:XD64"/>
    <mergeCell ref="XE64:XF64"/>
    <mergeCell ref="XM64:XN64"/>
    <mergeCell ref="XO64:XP64"/>
    <mergeCell ref="XW64:XX64"/>
    <mergeCell ref="YQ63:YR63"/>
    <mergeCell ref="YS63:YT63"/>
    <mergeCell ref="ZA63:ZB63"/>
    <mergeCell ref="ZC63:ZD63"/>
    <mergeCell ref="ZK63:ZL63"/>
    <mergeCell ref="ZM63:ZN63"/>
    <mergeCell ref="ZU63:ZV63"/>
    <mergeCell ref="ZW63:ZX63"/>
    <mergeCell ref="AAE63:AAF63"/>
    <mergeCell ref="AAG63:AAH63"/>
    <mergeCell ref="AAO63:AAP63"/>
    <mergeCell ref="AAQ63:AAR63"/>
    <mergeCell ref="AAY63:AAZ63"/>
    <mergeCell ref="ABA63:ABB63"/>
    <mergeCell ref="ABI63:ABJ63"/>
    <mergeCell ref="ABK63:ABL63"/>
    <mergeCell ref="ABS63:ABT63"/>
    <mergeCell ref="ACM62:ACN62"/>
    <mergeCell ref="ACO62:ACP62"/>
    <mergeCell ref="SW63:SX63"/>
    <mergeCell ref="SY63:SZ63"/>
    <mergeCell ref="TG63:TH63"/>
    <mergeCell ref="TI63:TJ63"/>
    <mergeCell ref="TQ63:TR63"/>
    <mergeCell ref="TS63:TT63"/>
    <mergeCell ref="UA63:UB63"/>
    <mergeCell ref="UC63:UD63"/>
    <mergeCell ref="UK63:UL63"/>
    <mergeCell ref="UM63:UN63"/>
    <mergeCell ref="UU63:UV63"/>
    <mergeCell ref="UW63:UX63"/>
    <mergeCell ref="VE63:VF63"/>
    <mergeCell ref="VG63:VH63"/>
    <mergeCell ref="VO63:VP63"/>
    <mergeCell ref="VQ63:VR63"/>
    <mergeCell ref="VY63:VZ63"/>
    <mergeCell ref="WA63:WB63"/>
    <mergeCell ref="WI63:WJ63"/>
    <mergeCell ref="WK63:WL63"/>
    <mergeCell ref="WS63:WT63"/>
    <mergeCell ref="WU63:WV63"/>
    <mergeCell ref="XC63:XD63"/>
    <mergeCell ref="XE63:XF63"/>
    <mergeCell ref="XM63:XN63"/>
    <mergeCell ref="XO63:XP63"/>
    <mergeCell ref="XW63:XX63"/>
    <mergeCell ref="XY63:XZ63"/>
    <mergeCell ref="YG63:YH63"/>
    <mergeCell ref="YI63:YJ63"/>
    <mergeCell ref="ZC62:ZD62"/>
    <mergeCell ref="ZK62:ZL62"/>
    <mergeCell ref="ZM62:ZN62"/>
    <mergeCell ref="ZU62:ZV62"/>
    <mergeCell ref="ZW62:ZX62"/>
    <mergeCell ref="AAE62:AAF62"/>
    <mergeCell ref="AAG62:AAH62"/>
    <mergeCell ref="AAO62:AAP62"/>
    <mergeCell ref="AAQ62:AAR62"/>
    <mergeCell ref="AAY62:AAZ62"/>
    <mergeCell ref="ABA62:ABB62"/>
    <mergeCell ref="ABI62:ABJ62"/>
    <mergeCell ref="ABK62:ABL62"/>
    <mergeCell ref="ABS62:ABT62"/>
    <mergeCell ref="ABU62:ABV62"/>
    <mergeCell ref="ACC62:ACD62"/>
    <mergeCell ref="ACE62:ACF62"/>
    <mergeCell ref="VY62:VZ62"/>
    <mergeCell ref="WA62:WB62"/>
    <mergeCell ref="WI62:WJ62"/>
    <mergeCell ref="WK62:WL62"/>
    <mergeCell ref="WS62:WT62"/>
    <mergeCell ref="WU62:WV62"/>
    <mergeCell ref="XC62:XD62"/>
    <mergeCell ref="XE62:XF62"/>
    <mergeCell ref="XM62:XN62"/>
    <mergeCell ref="XO62:XP62"/>
    <mergeCell ref="XW62:XX62"/>
    <mergeCell ref="XY62:XZ62"/>
    <mergeCell ref="YG62:YH62"/>
    <mergeCell ref="YI62:YJ62"/>
    <mergeCell ref="YQ62:YR62"/>
    <mergeCell ref="YS62:YT62"/>
    <mergeCell ref="ZA62:ZB62"/>
    <mergeCell ref="ZU61:ZV61"/>
    <mergeCell ref="ZW61:ZX61"/>
    <mergeCell ref="AAE61:AAF61"/>
    <mergeCell ref="AAG61:AAH61"/>
    <mergeCell ref="AAO61:AAP61"/>
    <mergeCell ref="AAQ61:AAR61"/>
    <mergeCell ref="AAY61:AAZ61"/>
    <mergeCell ref="ABA61:ABB61"/>
    <mergeCell ref="ABI61:ABJ61"/>
    <mergeCell ref="ABK61:ABL61"/>
    <mergeCell ref="ABS61:ABT61"/>
    <mergeCell ref="ABU61:ABV61"/>
    <mergeCell ref="ACC61:ACD61"/>
    <mergeCell ref="ACE61:ACF61"/>
    <mergeCell ref="ACM61:ACN61"/>
    <mergeCell ref="ACO61:ACP61"/>
    <mergeCell ref="SW62:SX62"/>
    <mergeCell ref="SY62:SZ62"/>
    <mergeCell ref="TG62:TH62"/>
    <mergeCell ref="TI62:TJ62"/>
    <mergeCell ref="TQ62:TR62"/>
    <mergeCell ref="TS62:TT62"/>
    <mergeCell ref="UA62:UB62"/>
    <mergeCell ref="UC62:UD62"/>
    <mergeCell ref="UK62:UL62"/>
    <mergeCell ref="UM62:UN62"/>
    <mergeCell ref="UU62:UV62"/>
    <mergeCell ref="UW62:UX62"/>
    <mergeCell ref="VE62:VF62"/>
    <mergeCell ref="VG62:VH62"/>
    <mergeCell ref="VO62:VP62"/>
    <mergeCell ref="VQ62:VR62"/>
    <mergeCell ref="WK61:WL61"/>
    <mergeCell ref="WS61:WT61"/>
    <mergeCell ref="WU61:WV61"/>
    <mergeCell ref="XC61:XD61"/>
    <mergeCell ref="XE61:XF61"/>
    <mergeCell ref="XM61:XN61"/>
    <mergeCell ref="XO61:XP61"/>
    <mergeCell ref="XW61:XX61"/>
    <mergeCell ref="XY61:XZ61"/>
    <mergeCell ref="YG61:YH61"/>
    <mergeCell ref="YI61:YJ61"/>
    <mergeCell ref="YQ61:YR61"/>
    <mergeCell ref="YS61:YT61"/>
    <mergeCell ref="ZA61:ZB61"/>
    <mergeCell ref="ZC61:ZD61"/>
    <mergeCell ref="ZK61:ZL61"/>
    <mergeCell ref="ZM61:ZN61"/>
    <mergeCell ref="AAG60:AAH60"/>
    <mergeCell ref="AAO60:AAP60"/>
    <mergeCell ref="AAQ60:AAR60"/>
    <mergeCell ref="AAY60:AAZ60"/>
    <mergeCell ref="ABA60:ABB60"/>
    <mergeCell ref="ABI60:ABJ60"/>
    <mergeCell ref="ABK60:ABL60"/>
    <mergeCell ref="ABS60:ABT60"/>
    <mergeCell ref="ABU60:ABV60"/>
    <mergeCell ref="ACC60:ACD60"/>
    <mergeCell ref="ACE60:ACF60"/>
    <mergeCell ref="ACM60:ACN60"/>
    <mergeCell ref="ACO60:ACP60"/>
    <mergeCell ref="SW61:SX61"/>
    <mergeCell ref="SY61:SZ61"/>
    <mergeCell ref="TG61:TH61"/>
    <mergeCell ref="TI61:TJ61"/>
    <mergeCell ref="TQ61:TR61"/>
    <mergeCell ref="TS61:TT61"/>
    <mergeCell ref="UA61:UB61"/>
    <mergeCell ref="UC61:UD61"/>
    <mergeCell ref="UK61:UL61"/>
    <mergeCell ref="UM61:UN61"/>
    <mergeCell ref="UU61:UV61"/>
    <mergeCell ref="UW61:UX61"/>
    <mergeCell ref="VE61:VF61"/>
    <mergeCell ref="VG61:VH61"/>
    <mergeCell ref="VO61:VP61"/>
    <mergeCell ref="VQ61:VR61"/>
    <mergeCell ref="VY61:VZ61"/>
    <mergeCell ref="WA61:WB61"/>
    <mergeCell ref="WI61:WJ61"/>
    <mergeCell ref="XC60:XD60"/>
    <mergeCell ref="XE60:XF60"/>
    <mergeCell ref="XM60:XN60"/>
    <mergeCell ref="XO60:XP60"/>
    <mergeCell ref="XW60:XX60"/>
    <mergeCell ref="XY60:XZ60"/>
    <mergeCell ref="YG60:YH60"/>
    <mergeCell ref="YI60:YJ60"/>
    <mergeCell ref="YQ60:YR60"/>
    <mergeCell ref="YS60:YT60"/>
    <mergeCell ref="ZA60:ZB60"/>
    <mergeCell ref="ZC60:ZD60"/>
    <mergeCell ref="ZK60:ZL60"/>
    <mergeCell ref="ZM60:ZN60"/>
    <mergeCell ref="ZU60:ZV60"/>
    <mergeCell ref="ZW60:ZX60"/>
    <mergeCell ref="AAE60:AAF60"/>
    <mergeCell ref="AAY59:AAZ59"/>
    <mergeCell ref="ABA59:ABB59"/>
    <mergeCell ref="ABI59:ABJ59"/>
    <mergeCell ref="ABK59:ABL59"/>
    <mergeCell ref="ABS59:ABT59"/>
    <mergeCell ref="ABU59:ABV59"/>
    <mergeCell ref="ACC59:ACD59"/>
    <mergeCell ref="ACE59:ACF59"/>
    <mergeCell ref="ACM59:ACN59"/>
    <mergeCell ref="ACO59:ACP59"/>
    <mergeCell ref="SW60:SX60"/>
    <mergeCell ref="SY60:SZ60"/>
    <mergeCell ref="TG60:TH60"/>
    <mergeCell ref="TI60:TJ60"/>
    <mergeCell ref="TQ60:TR60"/>
    <mergeCell ref="TS60:TT60"/>
    <mergeCell ref="UA60:UB60"/>
    <mergeCell ref="UC60:UD60"/>
    <mergeCell ref="UK60:UL60"/>
    <mergeCell ref="UM60:UN60"/>
    <mergeCell ref="UU60:UV60"/>
    <mergeCell ref="UW60:UX60"/>
    <mergeCell ref="VE60:VF60"/>
    <mergeCell ref="VG60:VH60"/>
    <mergeCell ref="VO60:VP60"/>
    <mergeCell ref="VQ60:VR60"/>
    <mergeCell ref="VY60:VZ60"/>
    <mergeCell ref="WA60:WB60"/>
    <mergeCell ref="WI60:WJ60"/>
    <mergeCell ref="WK60:WL60"/>
    <mergeCell ref="WS60:WT60"/>
    <mergeCell ref="WU60:WV60"/>
    <mergeCell ref="XO59:XP59"/>
    <mergeCell ref="XW59:XX59"/>
    <mergeCell ref="XY59:XZ59"/>
    <mergeCell ref="YG59:YH59"/>
    <mergeCell ref="YI59:YJ59"/>
    <mergeCell ref="YQ59:YR59"/>
    <mergeCell ref="YS59:YT59"/>
    <mergeCell ref="ZA59:ZB59"/>
    <mergeCell ref="ZC59:ZD59"/>
    <mergeCell ref="ZK59:ZL59"/>
    <mergeCell ref="ZM59:ZN59"/>
    <mergeCell ref="ZU59:ZV59"/>
    <mergeCell ref="ZW59:ZX59"/>
    <mergeCell ref="AAE59:AAF59"/>
    <mergeCell ref="AAG59:AAH59"/>
    <mergeCell ref="AAO59:AAP59"/>
    <mergeCell ref="AAQ59:AAR59"/>
    <mergeCell ref="ABK58:ABL58"/>
    <mergeCell ref="ABS58:ABT58"/>
    <mergeCell ref="ABU58:ABV58"/>
    <mergeCell ref="ACC58:ACD58"/>
    <mergeCell ref="ACE58:ACF58"/>
    <mergeCell ref="ACM58:ACN58"/>
    <mergeCell ref="ACO58:ACP58"/>
    <mergeCell ref="SW59:SX59"/>
    <mergeCell ref="SY59:SZ59"/>
    <mergeCell ref="TG59:TH59"/>
    <mergeCell ref="TI59:TJ59"/>
    <mergeCell ref="TQ59:TR59"/>
    <mergeCell ref="TS59:TT59"/>
    <mergeCell ref="UA59:UB59"/>
    <mergeCell ref="UC59:UD59"/>
    <mergeCell ref="UK59:UL59"/>
    <mergeCell ref="UM59:UN59"/>
    <mergeCell ref="UU59:UV59"/>
    <mergeCell ref="UW59:UX59"/>
    <mergeCell ref="VE59:VF59"/>
    <mergeCell ref="VG59:VH59"/>
    <mergeCell ref="VO59:VP59"/>
    <mergeCell ref="VQ59:VR59"/>
    <mergeCell ref="VY59:VZ59"/>
    <mergeCell ref="WA59:WB59"/>
    <mergeCell ref="WI59:WJ59"/>
    <mergeCell ref="WK59:WL59"/>
    <mergeCell ref="WS59:WT59"/>
    <mergeCell ref="WU59:WV59"/>
    <mergeCell ref="XC59:XD59"/>
    <mergeCell ref="XE59:XF59"/>
    <mergeCell ref="XM59:XN59"/>
    <mergeCell ref="YG58:YH58"/>
    <mergeCell ref="YI58:YJ58"/>
    <mergeCell ref="YQ58:YR58"/>
    <mergeCell ref="YS58:YT58"/>
    <mergeCell ref="ZA58:ZB58"/>
    <mergeCell ref="ZC58:ZD58"/>
    <mergeCell ref="ZK58:ZL58"/>
    <mergeCell ref="ZM58:ZN58"/>
    <mergeCell ref="ZU58:ZV58"/>
    <mergeCell ref="ZW58:ZX58"/>
    <mergeCell ref="AAE58:AAF58"/>
    <mergeCell ref="AAG58:AAH58"/>
    <mergeCell ref="AAO58:AAP58"/>
    <mergeCell ref="AAQ58:AAR58"/>
    <mergeCell ref="AAY58:AAZ58"/>
    <mergeCell ref="ABA58:ABB58"/>
    <mergeCell ref="ABI58:ABJ58"/>
    <mergeCell ref="ACC57:ACD57"/>
    <mergeCell ref="ACE57:ACF57"/>
    <mergeCell ref="ACM57:ACN57"/>
    <mergeCell ref="ACO57:ACP57"/>
    <mergeCell ref="SW58:SX58"/>
    <mergeCell ref="SY58:SZ58"/>
    <mergeCell ref="TG58:TH58"/>
    <mergeCell ref="TI58:TJ58"/>
    <mergeCell ref="TQ58:TR58"/>
    <mergeCell ref="TS58:TT58"/>
    <mergeCell ref="UA58:UB58"/>
    <mergeCell ref="UC58:UD58"/>
    <mergeCell ref="UK58:UL58"/>
    <mergeCell ref="UM58:UN58"/>
    <mergeCell ref="UU58:UV58"/>
    <mergeCell ref="UW58:UX58"/>
    <mergeCell ref="VE58:VF58"/>
    <mergeCell ref="VG58:VH58"/>
    <mergeCell ref="VO58:VP58"/>
    <mergeCell ref="VQ58:VR58"/>
    <mergeCell ref="VY58:VZ58"/>
    <mergeCell ref="WA58:WB58"/>
    <mergeCell ref="WI58:WJ58"/>
    <mergeCell ref="WK58:WL58"/>
    <mergeCell ref="WS58:WT58"/>
    <mergeCell ref="WU58:WV58"/>
    <mergeCell ref="XC58:XD58"/>
    <mergeCell ref="XE58:XF58"/>
    <mergeCell ref="XM58:XN58"/>
    <mergeCell ref="XO58:XP58"/>
    <mergeCell ref="XW58:XX58"/>
    <mergeCell ref="XY58:XZ58"/>
    <mergeCell ref="YS57:YT57"/>
    <mergeCell ref="ZA57:ZB57"/>
    <mergeCell ref="ZC57:ZD57"/>
    <mergeCell ref="ZK57:ZL57"/>
    <mergeCell ref="ZM57:ZN57"/>
    <mergeCell ref="ZU57:ZV57"/>
    <mergeCell ref="ZW57:ZX57"/>
    <mergeCell ref="AAE57:AAF57"/>
    <mergeCell ref="AAG57:AAH57"/>
    <mergeCell ref="AAO57:AAP57"/>
    <mergeCell ref="AAQ57:AAR57"/>
    <mergeCell ref="AAY57:AAZ57"/>
    <mergeCell ref="ABA57:ABB57"/>
    <mergeCell ref="ABI57:ABJ57"/>
    <mergeCell ref="ABK57:ABL57"/>
    <mergeCell ref="ABS57:ABT57"/>
    <mergeCell ref="ABU57:ABV57"/>
    <mergeCell ref="ACO56:ACP56"/>
    <mergeCell ref="SW57:SX57"/>
    <mergeCell ref="SY57:SZ57"/>
    <mergeCell ref="TG57:TH57"/>
    <mergeCell ref="TI57:TJ57"/>
    <mergeCell ref="TQ57:TR57"/>
    <mergeCell ref="TS57:TT57"/>
    <mergeCell ref="UA57:UB57"/>
    <mergeCell ref="UC57:UD57"/>
    <mergeCell ref="UK57:UL57"/>
    <mergeCell ref="UM57:UN57"/>
    <mergeCell ref="UU57:UV57"/>
    <mergeCell ref="UW57:UX57"/>
    <mergeCell ref="VE57:VF57"/>
    <mergeCell ref="VG57:VH57"/>
    <mergeCell ref="VO57:VP57"/>
    <mergeCell ref="VQ57:VR57"/>
    <mergeCell ref="VY57:VZ57"/>
    <mergeCell ref="WA57:WB57"/>
    <mergeCell ref="WI57:WJ57"/>
    <mergeCell ref="WK57:WL57"/>
    <mergeCell ref="WS57:WT57"/>
    <mergeCell ref="WU57:WV57"/>
    <mergeCell ref="XC57:XD57"/>
    <mergeCell ref="XE57:XF57"/>
    <mergeCell ref="XM57:XN57"/>
    <mergeCell ref="XO57:XP57"/>
    <mergeCell ref="XW57:XX57"/>
    <mergeCell ref="XY57:XZ57"/>
    <mergeCell ref="YG57:YH57"/>
    <mergeCell ref="YI57:YJ57"/>
    <mergeCell ref="YQ57:YR57"/>
    <mergeCell ref="AAE56:AAF56"/>
    <mergeCell ref="AAG56:AAH56"/>
    <mergeCell ref="AAO56:AAP56"/>
    <mergeCell ref="AAQ56:AAR56"/>
    <mergeCell ref="AAY56:AAZ56"/>
    <mergeCell ref="ABA56:ABB56"/>
    <mergeCell ref="ABI56:ABJ56"/>
    <mergeCell ref="ABK56:ABL56"/>
    <mergeCell ref="ABS56:ABT56"/>
    <mergeCell ref="ABU56:ABV56"/>
    <mergeCell ref="ACC56:ACD56"/>
    <mergeCell ref="ACE56:ACF56"/>
    <mergeCell ref="ACM56:ACN56"/>
    <mergeCell ref="ZY54:ZY56"/>
    <mergeCell ref="AAE54:AAF54"/>
    <mergeCell ref="AAG54:AAH54"/>
    <mergeCell ref="AAI54:AAI56"/>
    <mergeCell ref="AAO54:AAP54"/>
    <mergeCell ref="AAQ54:AAR54"/>
    <mergeCell ref="AAS54:AAS56"/>
    <mergeCell ref="AAY54:AAZ54"/>
    <mergeCell ref="ABA54:ABB54"/>
    <mergeCell ref="ABC54:ABC56"/>
    <mergeCell ref="ABI54:ABJ54"/>
    <mergeCell ref="ABK54:ABL54"/>
    <mergeCell ref="ABM54:ABM56"/>
    <mergeCell ref="ABS54:ABT54"/>
    <mergeCell ref="ABU54:ABV54"/>
    <mergeCell ref="ACE55:ACF55"/>
    <mergeCell ref="ACM55:ACN55"/>
    <mergeCell ref="ACE54:ACF54"/>
    <mergeCell ref="AAG55:AAH55"/>
    <mergeCell ref="ACO55:ACP55"/>
    <mergeCell ref="SW56:SX56"/>
    <mergeCell ref="SY56:SZ56"/>
    <mergeCell ref="TG56:TH56"/>
    <mergeCell ref="TI56:TJ56"/>
    <mergeCell ref="TQ56:TR56"/>
    <mergeCell ref="TS56:TT56"/>
    <mergeCell ref="UA56:UB56"/>
    <mergeCell ref="UC56:UD56"/>
    <mergeCell ref="UK56:UL56"/>
    <mergeCell ref="UM56:UN56"/>
    <mergeCell ref="UU56:UV56"/>
    <mergeCell ref="UW56:UX56"/>
    <mergeCell ref="VE56:VF56"/>
    <mergeCell ref="VG56:VH56"/>
    <mergeCell ref="VO56:VP56"/>
    <mergeCell ref="VQ56:VR56"/>
    <mergeCell ref="VY56:VZ56"/>
    <mergeCell ref="WA56:WB56"/>
    <mergeCell ref="WI56:WJ56"/>
    <mergeCell ref="WK56:WL56"/>
    <mergeCell ref="WS56:WT56"/>
    <mergeCell ref="WU56:WV56"/>
    <mergeCell ref="XC56:XD56"/>
    <mergeCell ref="XE56:XF56"/>
    <mergeCell ref="XM56:XN56"/>
    <mergeCell ref="XO56:XP56"/>
    <mergeCell ref="XW56:XX56"/>
    <mergeCell ref="XY56:XZ56"/>
    <mergeCell ref="YG56:YH56"/>
    <mergeCell ref="ACG54:ACG56"/>
    <mergeCell ref="ACM54:ACN54"/>
    <mergeCell ref="ACO54:ACP54"/>
    <mergeCell ref="SW55:SX55"/>
    <mergeCell ref="SY55:SZ55"/>
    <mergeCell ref="TG55:TH55"/>
    <mergeCell ref="TI55:TJ55"/>
    <mergeCell ref="TQ55:TR55"/>
    <mergeCell ref="TS55:TT55"/>
    <mergeCell ref="UA55:UB55"/>
    <mergeCell ref="UC55:UD55"/>
    <mergeCell ref="UK55:UL55"/>
    <mergeCell ref="UM55:UN55"/>
    <mergeCell ref="UU55:UV55"/>
    <mergeCell ref="UW55:UX55"/>
    <mergeCell ref="VE55:VF55"/>
    <mergeCell ref="VG55:VH55"/>
    <mergeCell ref="VO55:VP55"/>
    <mergeCell ref="VQ55:VR55"/>
    <mergeCell ref="VY55:VZ55"/>
    <mergeCell ref="WA55:WB55"/>
    <mergeCell ref="WI55:WJ55"/>
    <mergeCell ref="WK55:WL55"/>
    <mergeCell ref="WS55:WT55"/>
    <mergeCell ref="WU55:WV55"/>
    <mergeCell ref="XC55:XD55"/>
    <mergeCell ref="XE55:XF55"/>
    <mergeCell ref="XM55:XN55"/>
    <mergeCell ref="XO55:XP55"/>
    <mergeCell ref="XW55:XX55"/>
    <mergeCell ref="XY55:XZ55"/>
    <mergeCell ref="ABW54:ABW56"/>
    <mergeCell ref="ACC54:ACD54"/>
    <mergeCell ref="AAE55:AAF55"/>
    <mergeCell ref="AAO55:AAP55"/>
    <mergeCell ref="AAQ55:AAR55"/>
    <mergeCell ref="AAY55:AAZ55"/>
    <mergeCell ref="ABA55:ABB55"/>
    <mergeCell ref="ABI55:ABJ55"/>
    <mergeCell ref="ABK55:ABL55"/>
    <mergeCell ref="ABS55:ABT55"/>
    <mergeCell ref="ABU55:ABV55"/>
    <mergeCell ref="ACC55:ACD55"/>
    <mergeCell ref="XW54:XX54"/>
    <mergeCell ref="XY54:XZ54"/>
    <mergeCell ref="YA54:YA56"/>
    <mergeCell ref="YG54:YH54"/>
    <mergeCell ref="YI54:YJ54"/>
    <mergeCell ref="YK54:YK56"/>
    <mergeCell ref="YQ54:YR54"/>
    <mergeCell ref="YS54:YT54"/>
    <mergeCell ref="YU54:YU56"/>
    <mergeCell ref="ZA54:ZB54"/>
    <mergeCell ref="ZC54:ZD54"/>
    <mergeCell ref="ZE54:ZE56"/>
    <mergeCell ref="ZK54:ZL54"/>
    <mergeCell ref="ZM54:ZN54"/>
    <mergeCell ref="ZO54:ZO56"/>
    <mergeCell ref="ZU54:ZV54"/>
    <mergeCell ref="ZW54:ZX54"/>
    <mergeCell ref="YG55:YH55"/>
    <mergeCell ref="YI55:YJ55"/>
    <mergeCell ref="YS55:YT55"/>
    <mergeCell ref="ZA55:ZB55"/>
    <mergeCell ref="ZC55:ZD55"/>
    <mergeCell ref="ZK55:ZL55"/>
    <mergeCell ref="ZM55:ZN55"/>
    <mergeCell ref="ZU55:ZV55"/>
    <mergeCell ref="ZW55:ZX55"/>
    <mergeCell ref="YI56:YJ56"/>
    <mergeCell ref="YQ56:YR56"/>
    <mergeCell ref="YS56:YT56"/>
    <mergeCell ref="ZA56:ZB56"/>
    <mergeCell ref="ZC56:ZD56"/>
    <mergeCell ref="VQ54:VR54"/>
    <mergeCell ref="VS54:VS56"/>
    <mergeCell ref="VY54:VZ54"/>
    <mergeCell ref="WA54:WB54"/>
    <mergeCell ref="WC54:WC56"/>
    <mergeCell ref="WI54:WJ54"/>
    <mergeCell ref="WK54:WL54"/>
    <mergeCell ref="WM54:WM56"/>
    <mergeCell ref="WS54:WT54"/>
    <mergeCell ref="WU54:WV54"/>
    <mergeCell ref="WW54:WW56"/>
    <mergeCell ref="XC54:XD54"/>
    <mergeCell ref="XE54:XF54"/>
    <mergeCell ref="XG54:XG56"/>
    <mergeCell ref="XM54:XN54"/>
    <mergeCell ref="XO54:XP54"/>
    <mergeCell ref="XQ54:XQ56"/>
    <mergeCell ref="ZK56:ZL56"/>
    <mergeCell ref="ZM56:ZN56"/>
    <mergeCell ref="ZU56:ZV56"/>
    <mergeCell ref="ZW56:ZX56"/>
    <mergeCell ref="ABI53:ABJ53"/>
    <mergeCell ref="ABK53:ABL53"/>
    <mergeCell ref="ABS53:ABT53"/>
    <mergeCell ref="ABU53:ABV53"/>
    <mergeCell ref="ACC53:ACD53"/>
    <mergeCell ref="ACE53:ACF53"/>
    <mergeCell ref="ACM53:ACN53"/>
    <mergeCell ref="ACO53:ACP53"/>
    <mergeCell ref="SQ54:SQ56"/>
    <mergeCell ref="SW54:SX54"/>
    <mergeCell ref="SY54:SZ54"/>
    <mergeCell ref="TA54:TA56"/>
    <mergeCell ref="TG54:TH54"/>
    <mergeCell ref="TI54:TJ54"/>
    <mergeCell ref="TK54:TK56"/>
    <mergeCell ref="TQ54:TR54"/>
    <mergeCell ref="TS54:TT54"/>
    <mergeCell ref="TU54:TU56"/>
    <mergeCell ref="UA54:UB54"/>
    <mergeCell ref="UC54:UD54"/>
    <mergeCell ref="UE54:UE56"/>
    <mergeCell ref="UK54:UL54"/>
    <mergeCell ref="UM54:UN54"/>
    <mergeCell ref="UO54:UO56"/>
    <mergeCell ref="UU54:UV54"/>
    <mergeCell ref="UW54:UX54"/>
    <mergeCell ref="UY54:UY56"/>
    <mergeCell ref="VE54:VF54"/>
    <mergeCell ref="VG54:VH54"/>
    <mergeCell ref="VI54:VI56"/>
    <mergeCell ref="VO54:VP54"/>
    <mergeCell ref="YQ55:YR55"/>
    <mergeCell ref="XY53:XZ53"/>
    <mergeCell ref="YG53:YH53"/>
    <mergeCell ref="YI53:YJ53"/>
    <mergeCell ref="YQ53:YR53"/>
    <mergeCell ref="YS53:YT53"/>
    <mergeCell ref="ZA53:ZB53"/>
    <mergeCell ref="ZC53:ZD53"/>
    <mergeCell ref="ZK53:ZL53"/>
    <mergeCell ref="ZM53:ZN53"/>
    <mergeCell ref="ZU53:ZV53"/>
    <mergeCell ref="ZW53:ZX53"/>
    <mergeCell ref="AAE53:AAF53"/>
    <mergeCell ref="AAG53:AAH53"/>
    <mergeCell ref="AAO53:AAP53"/>
    <mergeCell ref="AAQ53:AAR53"/>
    <mergeCell ref="AAY53:AAZ53"/>
    <mergeCell ref="ABA53:ABB53"/>
    <mergeCell ref="ABU52:ABV52"/>
    <mergeCell ref="ACC52:ACD52"/>
    <mergeCell ref="ACE52:ACF52"/>
    <mergeCell ref="ACM52:ACN52"/>
    <mergeCell ref="ACO52:ACP52"/>
    <mergeCell ref="SW53:SX53"/>
    <mergeCell ref="SY53:SZ53"/>
    <mergeCell ref="TG53:TH53"/>
    <mergeCell ref="TI53:TJ53"/>
    <mergeCell ref="TQ53:TR53"/>
    <mergeCell ref="TS53:TT53"/>
    <mergeCell ref="UA53:UB53"/>
    <mergeCell ref="UC53:UD53"/>
    <mergeCell ref="UK53:UL53"/>
    <mergeCell ref="UM53:UN53"/>
    <mergeCell ref="UU53:UV53"/>
    <mergeCell ref="UW53:UX53"/>
    <mergeCell ref="VE53:VF53"/>
    <mergeCell ref="VG53:VH53"/>
    <mergeCell ref="VO53:VP53"/>
    <mergeCell ref="VQ53:VR53"/>
    <mergeCell ref="VY53:VZ53"/>
    <mergeCell ref="WA53:WB53"/>
    <mergeCell ref="WI53:WJ53"/>
    <mergeCell ref="WK53:WL53"/>
    <mergeCell ref="WS53:WT53"/>
    <mergeCell ref="WU53:WV53"/>
    <mergeCell ref="XC53:XD53"/>
    <mergeCell ref="XE53:XF53"/>
    <mergeCell ref="XM53:XN53"/>
    <mergeCell ref="XO53:XP53"/>
    <mergeCell ref="XW53:XX53"/>
    <mergeCell ref="XY52:XZ52"/>
    <mergeCell ref="YG52:YH52"/>
    <mergeCell ref="YI52:YJ52"/>
    <mergeCell ref="YQ52:YR52"/>
    <mergeCell ref="YS52:YT52"/>
    <mergeCell ref="ZA52:ZB52"/>
    <mergeCell ref="ZC52:ZD52"/>
    <mergeCell ref="ZK52:ZL52"/>
    <mergeCell ref="ZM52:ZN52"/>
    <mergeCell ref="ZU52:ZV52"/>
    <mergeCell ref="ZW52:ZX52"/>
    <mergeCell ref="AAE52:AAF52"/>
    <mergeCell ref="AAG52:AAH52"/>
    <mergeCell ref="AAO52:AAP52"/>
    <mergeCell ref="AAQ52:AAR52"/>
    <mergeCell ref="AAY52:AAZ52"/>
    <mergeCell ref="ABA52:ABB52"/>
    <mergeCell ref="ABU51:ABV51"/>
    <mergeCell ref="ACC51:ACD51"/>
    <mergeCell ref="ACE51:ACF51"/>
    <mergeCell ref="ACM51:ACN51"/>
    <mergeCell ref="ACO51:ACP51"/>
    <mergeCell ref="SW52:SX52"/>
    <mergeCell ref="SY52:SZ52"/>
    <mergeCell ref="TG52:TH52"/>
    <mergeCell ref="TI52:TJ52"/>
    <mergeCell ref="TQ52:TR52"/>
    <mergeCell ref="TS52:TT52"/>
    <mergeCell ref="UA52:UB52"/>
    <mergeCell ref="UC52:UD52"/>
    <mergeCell ref="UK52:UL52"/>
    <mergeCell ref="UM52:UN52"/>
    <mergeCell ref="UU52:UV52"/>
    <mergeCell ref="UW52:UX52"/>
    <mergeCell ref="VE52:VF52"/>
    <mergeCell ref="VG52:VH52"/>
    <mergeCell ref="VO52:VP52"/>
    <mergeCell ref="VQ52:VR52"/>
    <mergeCell ref="VY52:VZ52"/>
    <mergeCell ref="WA52:WB52"/>
    <mergeCell ref="WI52:WJ52"/>
    <mergeCell ref="WK52:WL52"/>
    <mergeCell ref="WS52:WT52"/>
    <mergeCell ref="WU52:WV52"/>
    <mergeCell ref="XC52:XD52"/>
    <mergeCell ref="XE52:XF52"/>
    <mergeCell ref="XM52:XN52"/>
    <mergeCell ref="XO52:XP52"/>
    <mergeCell ref="XW52:XX52"/>
    <mergeCell ref="YG51:YH51"/>
    <mergeCell ref="YI51:YJ51"/>
    <mergeCell ref="YQ51:YR51"/>
    <mergeCell ref="YS51:YT51"/>
    <mergeCell ref="ZA51:ZB51"/>
    <mergeCell ref="ZC51:ZD51"/>
    <mergeCell ref="ZK51:ZL51"/>
    <mergeCell ref="ZM51:ZN51"/>
    <mergeCell ref="ZU51:ZV51"/>
    <mergeCell ref="ZW51:ZX51"/>
    <mergeCell ref="AAE51:AAF51"/>
    <mergeCell ref="AAG51:AAH51"/>
    <mergeCell ref="AAO51:AAP51"/>
    <mergeCell ref="AAQ51:AAR51"/>
    <mergeCell ref="AAY51:AAZ51"/>
    <mergeCell ref="ABA51:ABB51"/>
    <mergeCell ref="ABI51:ABJ51"/>
    <mergeCell ref="ACC50:ACD50"/>
    <mergeCell ref="ACE50:ACF50"/>
    <mergeCell ref="ACM50:ACN50"/>
    <mergeCell ref="ACO50:ACP50"/>
    <mergeCell ref="SW51:SX51"/>
    <mergeCell ref="SY51:SZ51"/>
    <mergeCell ref="TG51:TH51"/>
    <mergeCell ref="TI51:TJ51"/>
    <mergeCell ref="TQ51:TR51"/>
    <mergeCell ref="TS51:TT51"/>
    <mergeCell ref="UA51:UB51"/>
    <mergeCell ref="UC51:UD51"/>
    <mergeCell ref="UK51:UL51"/>
    <mergeCell ref="UM51:UN51"/>
    <mergeCell ref="UU51:UV51"/>
    <mergeCell ref="UW51:UX51"/>
    <mergeCell ref="VE51:VF51"/>
    <mergeCell ref="VG51:VH51"/>
    <mergeCell ref="VO51:VP51"/>
    <mergeCell ref="VQ51:VR51"/>
    <mergeCell ref="VY51:VZ51"/>
    <mergeCell ref="WA51:WB51"/>
    <mergeCell ref="WI51:WJ51"/>
    <mergeCell ref="WK51:WL51"/>
    <mergeCell ref="WS51:WT51"/>
    <mergeCell ref="WU51:WV51"/>
    <mergeCell ref="XC51:XD51"/>
    <mergeCell ref="XE51:XF51"/>
    <mergeCell ref="XM51:XN51"/>
    <mergeCell ref="XO51:XP51"/>
    <mergeCell ref="XW51:XX51"/>
    <mergeCell ref="XY51:XZ51"/>
    <mergeCell ref="YS50:YT50"/>
    <mergeCell ref="ZA50:ZB50"/>
    <mergeCell ref="ZC50:ZD50"/>
    <mergeCell ref="ZK50:ZL50"/>
    <mergeCell ref="ZM50:ZN50"/>
    <mergeCell ref="ZU50:ZV50"/>
    <mergeCell ref="ZW50:ZX50"/>
    <mergeCell ref="AAE50:AAF50"/>
    <mergeCell ref="AAG50:AAH50"/>
    <mergeCell ref="AAO50:AAP50"/>
    <mergeCell ref="AAQ50:AAR50"/>
    <mergeCell ref="AAY50:AAZ50"/>
    <mergeCell ref="ABA50:ABB50"/>
    <mergeCell ref="ABI50:ABJ50"/>
    <mergeCell ref="ABK50:ABL50"/>
    <mergeCell ref="ABS50:ABT50"/>
    <mergeCell ref="ABU50:ABV50"/>
    <mergeCell ref="ZO48:ZO52"/>
    <mergeCell ref="ZU48:ZV48"/>
    <mergeCell ref="ZW48:ZX48"/>
    <mergeCell ref="ZY48:ZY52"/>
    <mergeCell ref="AAE48:AAF48"/>
    <mergeCell ref="AAG48:AAH48"/>
    <mergeCell ref="AAI48:AAI52"/>
    <mergeCell ref="AAO48:AAP48"/>
    <mergeCell ref="AAQ48:AAR48"/>
    <mergeCell ref="AAS48:AAS52"/>
    <mergeCell ref="AAY48:AAZ48"/>
    <mergeCell ref="ABA48:ABB48"/>
    <mergeCell ref="ABC48:ABC52"/>
    <mergeCell ref="ABI48:ABJ48"/>
    <mergeCell ref="ABK48:ABL48"/>
    <mergeCell ref="ABU49:ABV49"/>
    <mergeCell ref="ACC49:ACD49"/>
    <mergeCell ref="ACE49:ACF49"/>
    <mergeCell ref="ACM49:ACN49"/>
    <mergeCell ref="ACO49:ACP49"/>
    <mergeCell ref="SW50:SX50"/>
    <mergeCell ref="SY50:SZ50"/>
    <mergeCell ref="TG50:TH50"/>
    <mergeCell ref="TI50:TJ50"/>
    <mergeCell ref="TQ50:TR50"/>
    <mergeCell ref="TS50:TT50"/>
    <mergeCell ref="UA50:UB50"/>
    <mergeCell ref="UC50:UD50"/>
    <mergeCell ref="UK50:UL50"/>
    <mergeCell ref="UM50:UN50"/>
    <mergeCell ref="UU50:UV50"/>
    <mergeCell ref="UW50:UX50"/>
    <mergeCell ref="VE50:VF50"/>
    <mergeCell ref="VG50:VH50"/>
    <mergeCell ref="VO50:VP50"/>
    <mergeCell ref="VQ50:VR50"/>
    <mergeCell ref="VY50:VZ50"/>
    <mergeCell ref="WA50:WB50"/>
    <mergeCell ref="WI50:WJ50"/>
    <mergeCell ref="WK50:WL50"/>
    <mergeCell ref="WS50:WT50"/>
    <mergeCell ref="WU50:WV50"/>
    <mergeCell ref="XC50:XD50"/>
    <mergeCell ref="XE50:XF50"/>
    <mergeCell ref="XM50:XN50"/>
    <mergeCell ref="XO50:XP50"/>
    <mergeCell ref="XW50:XX50"/>
    <mergeCell ref="ABU48:ABV48"/>
    <mergeCell ref="ABW48:ABW52"/>
    <mergeCell ref="ACC48:ACD48"/>
    <mergeCell ref="ACE48:ACF48"/>
    <mergeCell ref="ACG48:ACG52"/>
    <mergeCell ref="ACM48:ACN48"/>
    <mergeCell ref="ACO48:ACP48"/>
    <mergeCell ref="SW49:SX49"/>
    <mergeCell ref="SY49:SZ49"/>
    <mergeCell ref="TG49:TH49"/>
    <mergeCell ref="TI49:TJ49"/>
    <mergeCell ref="TQ49:TR49"/>
    <mergeCell ref="TS49:TT49"/>
    <mergeCell ref="UA49:UB49"/>
    <mergeCell ref="UC49:UD49"/>
    <mergeCell ref="UK49:UL49"/>
    <mergeCell ref="UM49:UN49"/>
    <mergeCell ref="UU49:UV49"/>
    <mergeCell ref="UW49:UX49"/>
    <mergeCell ref="VE49:VF49"/>
    <mergeCell ref="VG49:VH49"/>
    <mergeCell ref="VO49:VP49"/>
    <mergeCell ref="VQ49:VR49"/>
    <mergeCell ref="VY49:VZ49"/>
    <mergeCell ref="WA49:WB49"/>
    <mergeCell ref="WI49:WJ49"/>
    <mergeCell ref="WK49:WL49"/>
    <mergeCell ref="WS49:WT49"/>
    <mergeCell ref="WU49:WV49"/>
    <mergeCell ref="XC49:XD49"/>
    <mergeCell ref="XE49:XF49"/>
    <mergeCell ref="XM49:XN49"/>
    <mergeCell ref="ABM48:ABM52"/>
    <mergeCell ref="ABS48:ABT48"/>
    <mergeCell ref="ZU49:ZV49"/>
    <mergeCell ref="ZW49:ZX49"/>
    <mergeCell ref="AAE49:AAF49"/>
    <mergeCell ref="AAG49:AAH49"/>
    <mergeCell ref="AAO49:AAP49"/>
    <mergeCell ref="AAQ49:AAR49"/>
    <mergeCell ref="AAY49:AAZ49"/>
    <mergeCell ref="ABA49:ABB49"/>
    <mergeCell ref="ABI49:ABJ49"/>
    <mergeCell ref="ABK49:ABL49"/>
    <mergeCell ref="ABS49:ABT49"/>
    <mergeCell ref="ABK51:ABL51"/>
    <mergeCell ref="ABS51:ABT51"/>
    <mergeCell ref="ABI52:ABJ52"/>
    <mergeCell ref="ABK52:ABL52"/>
    <mergeCell ref="ABS52:ABT52"/>
    <mergeCell ref="XM48:XN48"/>
    <mergeCell ref="XO48:XP48"/>
    <mergeCell ref="XQ48:XQ52"/>
    <mergeCell ref="XW48:XX48"/>
    <mergeCell ref="XY48:XZ48"/>
    <mergeCell ref="YA48:YA52"/>
    <mergeCell ref="YG48:YH48"/>
    <mergeCell ref="YI48:YJ48"/>
    <mergeCell ref="YK48:YK52"/>
    <mergeCell ref="YQ48:YR48"/>
    <mergeCell ref="YS48:YT48"/>
    <mergeCell ref="YU48:YU52"/>
    <mergeCell ref="ZA48:ZB48"/>
    <mergeCell ref="ZC48:ZD48"/>
    <mergeCell ref="ZE48:ZE52"/>
    <mergeCell ref="ZK48:ZL48"/>
    <mergeCell ref="ZM48:ZN48"/>
    <mergeCell ref="XO49:XP49"/>
    <mergeCell ref="XW49:XX49"/>
    <mergeCell ref="XY49:XZ49"/>
    <mergeCell ref="YG49:YH49"/>
    <mergeCell ref="YI49:YJ49"/>
    <mergeCell ref="YQ49:YR49"/>
    <mergeCell ref="YS49:YT49"/>
    <mergeCell ref="ZA49:ZB49"/>
    <mergeCell ref="ZC49:ZD49"/>
    <mergeCell ref="ZK49:ZL49"/>
    <mergeCell ref="ZM49:ZN49"/>
    <mergeCell ref="XY50:XZ50"/>
    <mergeCell ref="YG50:YH50"/>
    <mergeCell ref="YI50:YJ50"/>
    <mergeCell ref="YQ50:YR50"/>
    <mergeCell ref="VG48:VH48"/>
    <mergeCell ref="VI48:VI52"/>
    <mergeCell ref="VO48:VP48"/>
    <mergeCell ref="VQ48:VR48"/>
    <mergeCell ref="VS48:VS52"/>
    <mergeCell ref="VY48:VZ48"/>
    <mergeCell ref="WA48:WB48"/>
    <mergeCell ref="WC48:WC52"/>
    <mergeCell ref="WI48:WJ48"/>
    <mergeCell ref="WK48:WL48"/>
    <mergeCell ref="WM48:WM52"/>
    <mergeCell ref="WS48:WT48"/>
    <mergeCell ref="WU48:WV48"/>
    <mergeCell ref="WW48:WW52"/>
    <mergeCell ref="XC48:XD48"/>
    <mergeCell ref="XE48:XF48"/>
    <mergeCell ref="XG48:XG52"/>
    <mergeCell ref="AAO47:AAP47"/>
    <mergeCell ref="AAQ47:AAR47"/>
    <mergeCell ref="AAY47:AAZ47"/>
    <mergeCell ref="ABA47:ABB47"/>
    <mergeCell ref="ABI47:ABJ47"/>
    <mergeCell ref="ABK47:ABL47"/>
    <mergeCell ref="ABS47:ABT47"/>
    <mergeCell ref="ABU47:ABV47"/>
    <mergeCell ref="ACC47:ACD47"/>
    <mergeCell ref="ACE47:ACF47"/>
    <mergeCell ref="ACM47:ACN47"/>
    <mergeCell ref="ACO47:ACP47"/>
    <mergeCell ref="SQ48:SQ52"/>
    <mergeCell ref="SW48:SX48"/>
    <mergeCell ref="SY48:SZ48"/>
    <mergeCell ref="TA48:TA52"/>
    <mergeCell ref="TG48:TH48"/>
    <mergeCell ref="TI48:TJ48"/>
    <mergeCell ref="TK48:TK52"/>
    <mergeCell ref="TQ48:TR48"/>
    <mergeCell ref="TS48:TT48"/>
    <mergeCell ref="TU48:TU52"/>
    <mergeCell ref="UA48:UB48"/>
    <mergeCell ref="UC48:UD48"/>
    <mergeCell ref="UE48:UE52"/>
    <mergeCell ref="UK48:UL48"/>
    <mergeCell ref="UM48:UN48"/>
    <mergeCell ref="UO48:UO52"/>
    <mergeCell ref="UU48:UV48"/>
    <mergeCell ref="UW48:UX48"/>
    <mergeCell ref="UY48:UY52"/>
    <mergeCell ref="VE48:VF48"/>
    <mergeCell ref="XE47:XF47"/>
    <mergeCell ref="XM47:XN47"/>
    <mergeCell ref="XO47:XP47"/>
    <mergeCell ref="XW47:XX47"/>
    <mergeCell ref="XY47:XZ47"/>
    <mergeCell ref="YG47:YH47"/>
    <mergeCell ref="YI47:YJ47"/>
    <mergeCell ref="YQ47:YR47"/>
    <mergeCell ref="YS47:YT47"/>
    <mergeCell ref="ZA47:ZB47"/>
    <mergeCell ref="ZC47:ZD47"/>
    <mergeCell ref="ZK47:ZL47"/>
    <mergeCell ref="ZM47:ZN47"/>
    <mergeCell ref="ZU47:ZV47"/>
    <mergeCell ref="ZW47:ZX47"/>
    <mergeCell ref="AAE47:AAF47"/>
    <mergeCell ref="AAG47:AAH47"/>
    <mergeCell ref="ABA46:ABB46"/>
    <mergeCell ref="ABI46:ABJ46"/>
    <mergeCell ref="ABK46:ABL46"/>
    <mergeCell ref="ABS46:ABT46"/>
    <mergeCell ref="ABU46:ABV46"/>
    <mergeCell ref="ACC46:ACD46"/>
    <mergeCell ref="ACE46:ACF46"/>
    <mergeCell ref="ACM46:ACN46"/>
    <mergeCell ref="ACO46:ACP46"/>
    <mergeCell ref="SW47:SX47"/>
    <mergeCell ref="SY47:SZ47"/>
    <mergeCell ref="TG47:TH47"/>
    <mergeCell ref="TI47:TJ47"/>
    <mergeCell ref="TQ47:TR47"/>
    <mergeCell ref="TS47:TT47"/>
    <mergeCell ref="UA47:UB47"/>
    <mergeCell ref="UC47:UD47"/>
    <mergeCell ref="UK47:UL47"/>
    <mergeCell ref="UM47:UN47"/>
    <mergeCell ref="UU47:UV47"/>
    <mergeCell ref="UW47:UX47"/>
    <mergeCell ref="VE47:VF47"/>
    <mergeCell ref="VG47:VH47"/>
    <mergeCell ref="VO47:VP47"/>
    <mergeCell ref="VQ47:VR47"/>
    <mergeCell ref="VY47:VZ47"/>
    <mergeCell ref="WA47:WB47"/>
    <mergeCell ref="WI47:WJ47"/>
    <mergeCell ref="WK47:WL47"/>
    <mergeCell ref="WS47:WT47"/>
    <mergeCell ref="WU47:WV47"/>
    <mergeCell ref="XC47:XD47"/>
    <mergeCell ref="ZM46:ZN46"/>
    <mergeCell ref="ZU46:ZV46"/>
    <mergeCell ref="ZW46:ZX46"/>
    <mergeCell ref="AAE46:AAF46"/>
    <mergeCell ref="AAG46:AAH46"/>
    <mergeCell ref="AAO46:AAP46"/>
    <mergeCell ref="AAQ46:AAR46"/>
    <mergeCell ref="AAY46:AAZ46"/>
    <mergeCell ref="ZO43:ZO46"/>
    <mergeCell ref="ZU43:ZV43"/>
    <mergeCell ref="ZW43:ZX43"/>
    <mergeCell ref="ZY43:ZY46"/>
    <mergeCell ref="AAE43:AAF43"/>
    <mergeCell ref="AAG43:AAH43"/>
    <mergeCell ref="AAI43:AAI46"/>
    <mergeCell ref="AAO43:AAP43"/>
    <mergeCell ref="AAQ43:AAR43"/>
    <mergeCell ref="AAS43:AAS46"/>
    <mergeCell ref="AAY43:AAZ43"/>
    <mergeCell ref="ZU44:ZV44"/>
    <mergeCell ref="ZW44:ZX44"/>
    <mergeCell ref="AAE44:AAF44"/>
    <mergeCell ref="AAG44:AAH44"/>
    <mergeCell ref="AAO45:AAP45"/>
    <mergeCell ref="AAQ45:AAR45"/>
    <mergeCell ref="AAY45:AAZ45"/>
    <mergeCell ref="ABA45:ABB45"/>
    <mergeCell ref="ABI45:ABJ45"/>
    <mergeCell ref="ABK45:ABL45"/>
    <mergeCell ref="ABS45:ABT45"/>
    <mergeCell ref="ABU45:ABV45"/>
    <mergeCell ref="ACC45:ACD45"/>
    <mergeCell ref="ACE45:ACF45"/>
    <mergeCell ref="ACM45:ACN45"/>
    <mergeCell ref="ACO45:ACP45"/>
    <mergeCell ref="SW46:SX46"/>
    <mergeCell ref="SY46:SZ46"/>
    <mergeCell ref="TG46:TH46"/>
    <mergeCell ref="TI46:TJ46"/>
    <mergeCell ref="TQ46:TR46"/>
    <mergeCell ref="TS46:TT46"/>
    <mergeCell ref="UA46:UB46"/>
    <mergeCell ref="UC46:UD46"/>
    <mergeCell ref="UK46:UL46"/>
    <mergeCell ref="UM46:UN46"/>
    <mergeCell ref="UU46:UV46"/>
    <mergeCell ref="UW46:UX46"/>
    <mergeCell ref="VE46:VF46"/>
    <mergeCell ref="VG46:VH46"/>
    <mergeCell ref="VO46:VP46"/>
    <mergeCell ref="VQ46:VR46"/>
    <mergeCell ref="VY46:VZ46"/>
    <mergeCell ref="WA46:WB46"/>
    <mergeCell ref="WI46:WJ46"/>
    <mergeCell ref="WK46:WL46"/>
    <mergeCell ref="ZA46:ZB46"/>
    <mergeCell ref="ZC46:ZD46"/>
    <mergeCell ref="ZK46:ZL46"/>
    <mergeCell ref="ABA44:ABB44"/>
    <mergeCell ref="ABI44:ABJ44"/>
    <mergeCell ref="ABK44:ABL44"/>
    <mergeCell ref="ABS44:ABT44"/>
    <mergeCell ref="ABU44:ABV44"/>
    <mergeCell ref="ACC44:ACD44"/>
    <mergeCell ref="ACE44:ACF44"/>
    <mergeCell ref="ACM44:ACN44"/>
    <mergeCell ref="ACO44:ACP44"/>
    <mergeCell ref="SW45:SX45"/>
    <mergeCell ref="SY45:SZ45"/>
    <mergeCell ref="TG45:TH45"/>
    <mergeCell ref="TI45:TJ45"/>
    <mergeCell ref="TQ45:TR45"/>
    <mergeCell ref="TS45:TT45"/>
    <mergeCell ref="UA45:UB45"/>
    <mergeCell ref="UC45:UD45"/>
    <mergeCell ref="UK45:UL45"/>
    <mergeCell ref="UM45:UN45"/>
    <mergeCell ref="UU45:UV45"/>
    <mergeCell ref="UW45:UX45"/>
    <mergeCell ref="VE45:VF45"/>
    <mergeCell ref="VG45:VH45"/>
    <mergeCell ref="VO45:VP45"/>
    <mergeCell ref="VQ45:VR45"/>
    <mergeCell ref="VY45:VZ45"/>
    <mergeCell ref="WA45:WB45"/>
    <mergeCell ref="WI45:WJ45"/>
    <mergeCell ref="WK45:WL45"/>
    <mergeCell ref="WS45:WT45"/>
    <mergeCell ref="WU45:WV45"/>
    <mergeCell ref="XC45:XD45"/>
    <mergeCell ref="WK44:WL44"/>
    <mergeCell ref="WS44:WT44"/>
    <mergeCell ref="WU44:WV44"/>
    <mergeCell ref="XC44:XD44"/>
    <mergeCell ref="XE44:XF44"/>
    <mergeCell ref="XM44:XN44"/>
    <mergeCell ref="XO44:XP44"/>
    <mergeCell ref="XW44:XX44"/>
    <mergeCell ref="XY44:XZ44"/>
    <mergeCell ref="YG44:YH44"/>
    <mergeCell ref="YI44:YJ44"/>
    <mergeCell ref="YQ44:YR44"/>
    <mergeCell ref="YS44:YT44"/>
    <mergeCell ref="ZA44:ZB44"/>
    <mergeCell ref="ZC44:ZD44"/>
    <mergeCell ref="ZK44:ZL44"/>
    <mergeCell ref="ZM44:ZN44"/>
    <mergeCell ref="YU43:YU46"/>
    <mergeCell ref="ZA43:ZB43"/>
    <mergeCell ref="ZC43:ZD43"/>
    <mergeCell ref="ZE43:ZE46"/>
    <mergeCell ref="ZK43:ZL43"/>
    <mergeCell ref="ZM43:ZN43"/>
    <mergeCell ref="XY45:XZ45"/>
    <mergeCell ref="YG45:YH45"/>
    <mergeCell ref="YI45:YJ45"/>
    <mergeCell ref="YQ45:YR45"/>
    <mergeCell ref="YS45:YT45"/>
    <mergeCell ref="WS46:WT46"/>
    <mergeCell ref="WU46:WV46"/>
    <mergeCell ref="XC46:XD46"/>
    <mergeCell ref="XE46:XF46"/>
    <mergeCell ref="ABA43:ABB43"/>
    <mergeCell ref="ABC43:ABC46"/>
    <mergeCell ref="ABI43:ABJ43"/>
    <mergeCell ref="ABK43:ABL43"/>
    <mergeCell ref="ABM43:ABM46"/>
    <mergeCell ref="ABS43:ABT43"/>
    <mergeCell ref="ABU43:ABV43"/>
    <mergeCell ref="ABW43:ABW46"/>
    <mergeCell ref="ACC43:ACD43"/>
    <mergeCell ref="ACE43:ACF43"/>
    <mergeCell ref="ACG43:ACG46"/>
    <mergeCell ref="ACM43:ACN43"/>
    <mergeCell ref="ACO43:ACP43"/>
    <mergeCell ref="SW44:SX44"/>
    <mergeCell ref="SY44:SZ44"/>
    <mergeCell ref="TG44:TH44"/>
    <mergeCell ref="TI44:TJ44"/>
    <mergeCell ref="TQ44:TR44"/>
    <mergeCell ref="TS44:TT44"/>
    <mergeCell ref="UA44:UB44"/>
    <mergeCell ref="UC44:UD44"/>
    <mergeCell ref="UK44:UL44"/>
    <mergeCell ref="UM44:UN44"/>
    <mergeCell ref="UU44:UV44"/>
    <mergeCell ref="UW44:UX44"/>
    <mergeCell ref="VE44:VF44"/>
    <mergeCell ref="VG44:VH44"/>
    <mergeCell ref="VO44:VP44"/>
    <mergeCell ref="VQ44:VR44"/>
    <mergeCell ref="VY44:VZ44"/>
    <mergeCell ref="WA44:WB44"/>
    <mergeCell ref="WI44:WJ44"/>
    <mergeCell ref="XE43:XF43"/>
    <mergeCell ref="XG43:XG46"/>
    <mergeCell ref="XM43:XN43"/>
    <mergeCell ref="XO43:XP43"/>
    <mergeCell ref="XQ43:XQ46"/>
    <mergeCell ref="XW43:XX43"/>
    <mergeCell ref="XY43:XZ43"/>
    <mergeCell ref="YA43:YA46"/>
    <mergeCell ref="YG43:YH43"/>
    <mergeCell ref="YI43:YJ43"/>
    <mergeCell ref="YK43:YK46"/>
    <mergeCell ref="YQ43:YR43"/>
    <mergeCell ref="YS43:YT43"/>
    <mergeCell ref="XE45:XF45"/>
    <mergeCell ref="XM45:XN45"/>
    <mergeCell ref="XO45:XP45"/>
    <mergeCell ref="XW45:XX45"/>
    <mergeCell ref="XW46:XX46"/>
    <mergeCell ref="XY46:XZ46"/>
    <mergeCell ref="YG46:YH46"/>
    <mergeCell ref="YI46:YJ46"/>
    <mergeCell ref="YQ46:YR46"/>
    <mergeCell ref="YS46:YT46"/>
    <mergeCell ref="ACO42:ACP42"/>
    <mergeCell ref="SQ43:SQ46"/>
    <mergeCell ref="SW43:SX43"/>
    <mergeCell ref="SY43:SZ43"/>
    <mergeCell ref="TA43:TA46"/>
    <mergeCell ref="TG43:TH43"/>
    <mergeCell ref="TI43:TJ43"/>
    <mergeCell ref="TK43:TK46"/>
    <mergeCell ref="TQ43:TR43"/>
    <mergeCell ref="TS43:TT43"/>
    <mergeCell ref="TU43:TU46"/>
    <mergeCell ref="UA43:UB43"/>
    <mergeCell ref="UC43:UD43"/>
    <mergeCell ref="UE43:UE46"/>
    <mergeCell ref="UK43:UL43"/>
    <mergeCell ref="UM43:UN43"/>
    <mergeCell ref="UO43:UO46"/>
    <mergeCell ref="UU43:UV43"/>
    <mergeCell ref="UW43:UX43"/>
    <mergeCell ref="UY43:UY46"/>
    <mergeCell ref="VE43:VF43"/>
    <mergeCell ref="VG43:VH43"/>
    <mergeCell ref="VI43:VI46"/>
    <mergeCell ref="VO43:VP43"/>
    <mergeCell ref="VQ43:VR43"/>
    <mergeCell ref="VS43:VS46"/>
    <mergeCell ref="VY43:VZ43"/>
    <mergeCell ref="WA43:WB43"/>
    <mergeCell ref="WC43:WC46"/>
    <mergeCell ref="WI43:WJ43"/>
    <mergeCell ref="AAO44:AAP44"/>
    <mergeCell ref="AAQ44:AAR44"/>
    <mergeCell ref="WK43:WL43"/>
    <mergeCell ref="WM43:WM46"/>
    <mergeCell ref="ZK42:ZL42"/>
    <mergeCell ref="ZM42:ZN42"/>
    <mergeCell ref="ZU42:ZV42"/>
    <mergeCell ref="ZW42:ZX42"/>
    <mergeCell ref="AAE42:AAF42"/>
    <mergeCell ref="AAG42:AAH42"/>
    <mergeCell ref="AAO42:AAP42"/>
    <mergeCell ref="AAQ42:AAR42"/>
    <mergeCell ref="AAY42:AAZ42"/>
    <mergeCell ref="ABA42:ABB42"/>
    <mergeCell ref="ABI42:ABJ42"/>
    <mergeCell ref="ABK42:ABL42"/>
    <mergeCell ref="ABS42:ABT42"/>
    <mergeCell ref="ABU42:ABV42"/>
    <mergeCell ref="ACC42:ACD42"/>
    <mergeCell ref="XM46:XN46"/>
    <mergeCell ref="XO46:XP46"/>
    <mergeCell ref="AAY44:AAZ44"/>
    <mergeCell ref="ZA45:ZB45"/>
    <mergeCell ref="ZC45:ZD45"/>
    <mergeCell ref="ZK45:ZL45"/>
    <mergeCell ref="ZM45:ZN45"/>
    <mergeCell ref="ZU45:ZV45"/>
    <mergeCell ref="ZW45:ZX45"/>
    <mergeCell ref="AAE45:AAF45"/>
    <mergeCell ref="AAG45:AAH45"/>
    <mergeCell ref="WS43:WT43"/>
    <mergeCell ref="WU43:WV43"/>
    <mergeCell ref="WW43:WW46"/>
    <mergeCell ref="XC43:XD43"/>
    <mergeCell ref="ACE42:ACF42"/>
    <mergeCell ref="ACM42:ACN42"/>
    <mergeCell ref="WA42:WB42"/>
    <mergeCell ref="WI42:WJ42"/>
    <mergeCell ref="WK42:WL42"/>
    <mergeCell ref="WS42:WT42"/>
    <mergeCell ref="WU42:WV42"/>
    <mergeCell ref="XC42:XD42"/>
    <mergeCell ref="XE42:XF42"/>
    <mergeCell ref="XM42:XN42"/>
    <mergeCell ref="XO42:XP42"/>
    <mergeCell ref="XW42:XX42"/>
    <mergeCell ref="XY42:XZ42"/>
    <mergeCell ref="YG42:YH42"/>
    <mergeCell ref="YI42:YJ42"/>
    <mergeCell ref="YQ42:YR42"/>
    <mergeCell ref="YS42:YT42"/>
    <mergeCell ref="ZA42:ZB42"/>
    <mergeCell ref="ZC42:ZD42"/>
    <mergeCell ref="SW42:SX42"/>
    <mergeCell ref="SY42:SZ42"/>
    <mergeCell ref="TG42:TH42"/>
    <mergeCell ref="TI42:TJ42"/>
    <mergeCell ref="TQ42:TR42"/>
    <mergeCell ref="TS42:TT42"/>
    <mergeCell ref="UA42:UB42"/>
    <mergeCell ref="UC42:UD42"/>
    <mergeCell ref="UK42:UL42"/>
    <mergeCell ref="UM42:UN42"/>
    <mergeCell ref="UU42:UV42"/>
    <mergeCell ref="UW42:UX42"/>
    <mergeCell ref="VE42:VF42"/>
    <mergeCell ref="VG42:VH42"/>
    <mergeCell ref="VO42:VP42"/>
    <mergeCell ref="VQ42:VR42"/>
    <mergeCell ref="VY42:VZ42"/>
    <mergeCell ref="NW66:NX66"/>
    <mergeCell ref="NY66:NZ66"/>
    <mergeCell ref="OG66:OH66"/>
    <mergeCell ref="OI66:OJ66"/>
    <mergeCell ref="OQ66:OR66"/>
    <mergeCell ref="OS66:OT66"/>
    <mergeCell ref="PA66:PB66"/>
    <mergeCell ref="PC66:PD66"/>
    <mergeCell ref="PK66:PL66"/>
    <mergeCell ref="PM66:PN66"/>
    <mergeCell ref="PU66:PV66"/>
    <mergeCell ref="PW66:PX66"/>
    <mergeCell ref="QE66:QF66"/>
    <mergeCell ref="QG66:QH66"/>
    <mergeCell ref="NW65:NX65"/>
    <mergeCell ref="NY65:NZ65"/>
    <mergeCell ref="OG65:OH65"/>
    <mergeCell ref="OI65:OJ65"/>
    <mergeCell ref="OQ65:OR65"/>
    <mergeCell ref="OS65:OT65"/>
    <mergeCell ref="PA65:PB65"/>
    <mergeCell ref="PC65:PD65"/>
    <mergeCell ref="PK65:PL65"/>
    <mergeCell ref="PM65:PN65"/>
    <mergeCell ref="PU65:PV65"/>
    <mergeCell ref="PW65:PX65"/>
    <mergeCell ref="QE65:QF65"/>
    <mergeCell ref="QG65:QH65"/>
    <mergeCell ref="NW64:NX64"/>
    <mergeCell ref="NY64:NZ64"/>
    <mergeCell ref="OG64:OH64"/>
    <mergeCell ref="OI64:OJ64"/>
    <mergeCell ref="OQ64:OR64"/>
    <mergeCell ref="OS64:OT64"/>
    <mergeCell ref="PA64:PB64"/>
    <mergeCell ref="PC64:PD64"/>
    <mergeCell ref="PK64:PL64"/>
    <mergeCell ref="PM64:PN64"/>
    <mergeCell ref="PU64:PV64"/>
    <mergeCell ref="PW64:PX64"/>
    <mergeCell ref="QE64:QF64"/>
    <mergeCell ref="QG64:QH64"/>
    <mergeCell ref="NW63:NX63"/>
    <mergeCell ref="NY63:NZ63"/>
    <mergeCell ref="OG63:OH63"/>
    <mergeCell ref="OI63:OJ63"/>
    <mergeCell ref="OQ63:OR63"/>
    <mergeCell ref="OS63:OT63"/>
    <mergeCell ref="PA63:PB63"/>
    <mergeCell ref="PC63:PD63"/>
    <mergeCell ref="PK63:PL63"/>
    <mergeCell ref="PM63:PN63"/>
    <mergeCell ref="PU63:PV63"/>
    <mergeCell ref="PW63:PX63"/>
    <mergeCell ref="QE63:QF63"/>
    <mergeCell ref="QG63:QH63"/>
    <mergeCell ref="NW62:NX62"/>
    <mergeCell ref="NY62:NZ62"/>
    <mergeCell ref="OG62:OH62"/>
    <mergeCell ref="OI62:OJ62"/>
    <mergeCell ref="OQ62:OR62"/>
    <mergeCell ref="OS62:OT62"/>
    <mergeCell ref="PA62:PB62"/>
    <mergeCell ref="PC62:PD62"/>
    <mergeCell ref="PK62:PL62"/>
    <mergeCell ref="PM62:PN62"/>
    <mergeCell ref="PU62:PV62"/>
    <mergeCell ref="PW62:PX62"/>
    <mergeCell ref="QE62:QF62"/>
    <mergeCell ref="QG62:QH62"/>
    <mergeCell ref="NW61:NX61"/>
    <mergeCell ref="NY61:NZ61"/>
    <mergeCell ref="OG61:OH61"/>
    <mergeCell ref="OI61:OJ61"/>
    <mergeCell ref="OQ61:OR61"/>
    <mergeCell ref="OS61:OT61"/>
    <mergeCell ref="PA61:PB61"/>
    <mergeCell ref="PC61:PD61"/>
    <mergeCell ref="PK61:PL61"/>
    <mergeCell ref="PM61:PN61"/>
    <mergeCell ref="PU61:PV61"/>
    <mergeCell ref="PW61:PX61"/>
    <mergeCell ref="QE61:QF61"/>
    <mergeCell ref="QG61:QH61"/>
    <mergeCell ref="NW60:NX60"/>
    <mergeCell ref="NY60:NZ60"/>
    <mergeCell ref="OG60:OH60"/>
    <mergeCell ref="OI60:OJ60"/>
    <mergeCell ref="OQ60:OR60"/>
    <mergeCell ref="OS60:OT60"/>
    <mergeCell ref="PA60:PB60"/>
    <mergeCell ref="PC60:PD60"/>
    <mergeCell ref="PK60:PL60"/>
    <mergeCell ref="PM60:PN60"/>
    <mergeCell ref="PU60:PV60"/>
    <mergeCell ref="PW60:PX60"/>
    <mergeCell ref="QE60:QF60"/>
    <mergeCell ref="QG60:QH60"/>
    <mergeCell ref="NW59:NX59"/>
    <mergeCell ref="NY59:NZ59"/>
    <mergeCell ref="OG59:OH59"/>
    <mergeCell ref="OI59:OJ59"/>
    <mergeCell ref="OQ59:OR59"/>
    <mergeCell ref="OS59:OT59"/>
    <mergeCell ref="PA59:PB59"/>
    <mergeCell ref="PC59:PD59"/>
    <mergeCell ref="PK59:PL59"/>
    <mergeCell ref="PM59:PN59"/>
    <mergeCell ref="PU59:PV59"/>
    <mergeCell ref="PW59:PX59"/>
    <mergeCell ref="QE59:QF59"/>
    <mergeCell ref="QG59:QH59"/>
    <mergeCell ref="NW58:NX58"/>
    <mergeCell ref="NY58:NZ58"/>
    <mergeCell ref="OG58:OH58"/>
    <mergeCell ref="OI58:OJ58"/>
    <mergeCell ref="OQ58:OR58"/>
    <mergeCell ref="OS58:OT58"/>
    <mergeCell ref="PA58:PB58"/>
    <mergeCell ref="PC58:PD58"/>
    <mergeCell ref="PK58:PL58"/>
    <mergeCell ref="PM58:PN58"/>
    <mergeCell ref="PU58:PV58"/>
    <mergeCell ref="PW58:PX58"/>
    <mergeCell ref="QE58:QF58"/>
    <mergeCell ref="QG58:QH58"/>
    <mergeCell ref="NW57:NX57"/>
    <mergeCell ref="NY57:NZ57"/>
    <mergeCell ref="OG57:OH57"/>
    <mergeCell ref="OI57:OJ57"/>
    <mergeCell ref="OQ57:OR57"/>
    <mergeCell ref="OS57:OT57"/>
    <mergeCell ref="PA57:PB57"/>
    <mergeCell ref="PC57:PD57"/>
    <mergeCell ref="PK57:PL57"/>
    <mergeCell ref="PM57:PN57"/>
    <mergeCell ref="PU57:PV57"/>
    <mergeCell ref="PW57:PX57"/>
    <mergeCell ref="QE57:QF57"/>
    <mergeCell ref="QG57:QH57"/>
    <mergeCell ref="PW56:PX56"/>
    <mergeCell ref="QE56:QF56"/>
    <mergeCell ref="QG56:QH56"/>
    <mergeCell ref="PW54:PX54"/>
    <mergeCell ref="PY54:PY56"/>
    <mergeCell ref="QE54:QF54"/>
    <mergeCell ref="QG54:QH54"/>
    <mergeCell ref="NW55:NX55"/>
    <mergeCell ref="NY55:NZ55"/>
    <mergeCell ref="OG55:OH55"/>
    <mergeCell ref="OI55:OJ55"/>
    <mergeCell ref="OQ55:OR55"/>
    <mergeCell ref="OS55:OT55"/>
    <mergeCell ref="PA55:PB55"/>
    <mergeCell ref="PC55:PD55"/>
    <mergeCell ref="PK55:PL55"/>
    <mergeCell ref="PM55:PN55"/>
    <mergeCell ref="PU55:PV55"/>
    <mergeCell ref="PW55:PX55"/>
    <mergeCell ref="QE55:QF55"/>
    <mergeCell ref="QG55:QH55"/>
    <mergeCell ref="NQ54:NQ56"/>
    <mergeCell ref="NW54:NX54"/>
    <mergeCell ref="NY54:NZ54"/>
    <mergeCell ref="OA54:OA56"/>
    <mergeCell ref="OG54:OH54"/>
    <mergeCell ref="OI54:OJ54"/>
    <mergeCell ref="OK54:OK56"/>
    <mergeCell ref="OQ54:OR54"/>
    <mergeCell ref="OS54:OT54"/>
    <mergeCell ref="OU54:OU56"/>
    <mergeCell ref="PA54:PB54"/>
    <mergeCell ref="PC54:PD54"/>
    <mergeCell ref="PE54:PE56"/>
    <mergeCell ref="PK54:PL54"/>
    <mergeCell ref="PM54:PN54"/>
    <mergeCell ref="PO54:PO56"/>
    <mergeCell ref="PU54:PV54"/>
    <mergeCell ref="NW56:NX56"/>
    <mergeCell ref="NY56:NZ56"/>
    <mergeCell ref="OG56:OH56"/>
    <mergeCell ref="OI56:OJ56"/>
    <mergeCell ref="OQ56:OR56"/>
    <mergeCell ref="OS56:OT56"/>
    <mergeCell ref="PA56:PB56"/>
    <mergeCell ref="PC56:PD56"/>
    <mergeCell ref="PK56:PL56"/>
    <mergeCell ref="PM56:PN56"/>
    <mergeCell ref="PU56:PV56"/>
    <mergeCell ref="NW53:NX53"/>
    <mergeCell ref="NY53:NZ53"/>
    <mergeCell ref="OG53:OH53"/>
    <mergeCell ref="OI53:OJ53"/>
    <mergeCell ref="OQ53:OR53"/>
    <mergeCell ref="OS53:OT53"/>
    <mergeCell ref="PA53:PB53"/>
    <mergeCell ref="PC53:PD53"/>
    <mergeCell ref="PK53:PL53"/>
    <mergeCell ref="PM53:PN53"/>
    <mergeCell ref="PU53:PV53"/>
    <mergeCell ref="PW53:PX53"/>
    <mergeCell ref="QE53:QF53"/>
    <mergeCell ref="QG53:QH53"/>
    <mergeCell ref="NW52:NX52"/>
    <mergeCell ref="NY52:NZ52"/>
    <mergeCell ref="OG52:OH52"/>
    <mergeCell ref="OI52:OJ52"/>
    <mergeCell ref="OQ52:OR52"/>
    <mergeCell ref="OS52:OT52"/>
    <mergeCell ref="PA52:PB52"/>
    <mergeCell ref="PC52:PD52"/>
    <mergeCell ref="PK52:PL52"/>
    <mergeCell ref="PM52:PN52"/>
    <mergeCell ref="PU52:PV52"/>
    <mergeCell ref="PW52:PX52"/>
    <mergeCell ref="QE52:QF52"/>
    <mergeCell ref="QG52:QH52"/>
    <mergeCell ref="NW51:NX51"/>
    <mergeCell ref="NY51:NZ51"/>
    <mergeCell ref="OG51:OH51"/>
    <mergeCell ref="OI51:OJ51"/>
    <mergeCell ref="OQ51:OR51"/>
    <mergeCell ref="OS51:OT51"/>
    <mergeCell ref="PA51:PB51"/>
    <mergeCell ref="PC51:PD51"/>
    <mergeCell ref="PK51:PL51"/>
    <mergeCell ref="PM51:PN51"/>
    <mergeCell ref="PU51:PV51"/>
    <mergeCell ref="PW51:PX51"/>
    <mergeCell ref="QE51:QF51"/>
    <mergeCell ref="QG51:QH51"/>
    <mergeCell ref="OQ50:OR50"/>
    <mergeCell ref="OS50:OT50"/>
    <mergeCell ref="PA50:PB50"/>
    <mergeCell ref="PC50:PD50"/>
    <mergeCell ref="PK50:PL50"/>
    <mergeCell ref="PM50:PN50"/>
    <mergeCell ref="PU50:PV50"/>
    <mergeCell ref="PW50:PX50"/>
    <mergeCell ref="QE50:QF50"/>
    <mergeCell ref="QG50:QH50"/>
    <mergeCell ref="NY49:NZ49"/>
    <mergeCell ref="OG49:OH49"/>
    <mergeCell ref="OI49:OJ49"/>
    <mergeCell ref="OQ49:OR49"/>
    <mergeCell ref="OS49:OT49"/>
    <mergeCell ref="PA49:PB49"/>
    <mergeCell ref="PC49:PD49"/>
    <mergeCell ref="PK49:PL49"/>
    <mergeCell ref="PM49:PN49"/>
    <mergeCell ref="PU49:PV49"/>
    <mergeCell ref="PW49:PX49"/>
    <mergeCell ref="QE49:QF49"/>
    <mergeCell ref="QG49:QH49"/>
    <mergeCell ref="NW50:NX50"/>
    <mergeCell ref="NY50:NZ50"/>
    <mergeCell ref="OG50:OH50"/>
    <mergeCell ref="OI50:OJ50"/>
    <mergeCell ref="NW47:NX47"/>
    <mergeCell ref="NY47:NZ47"/>
    <mergeCell ref="OG47:OH47"/>
    <mergeCell ref="OI47:OJ47"/>
    <mergeCell ref="OQ47:OR47"/>
    <mergeCell ref="OS47:OT47"/>
    <mergeCell ref="PA47:PB47"/>
    <mergeCell ref="PC47:PD47"/>
    <mergeCell ref="PK47:PL47"/>
    <mergeCell ref="PM47:PN47"/>
    <mergeCell ref="PU47:PV47"/>
    <mergeCell ref="PW47:PX47"/>
    <mergeCell ref="QE47:QF47"/>
    <mergeCell ref="QG47:QH47"/>
    <mergeCell ref="NQ48:NQ52"/>
    <mergeCell ref="NW48:NX48"/>
    <mergeCell ref="NY48:NZ48"/>
    <mergeCell ref="OA48:OA52"/>
    <mergeCell ref="OG48:OH48"/>
    <mergeCell ref="OI48:OJ48"/>
    <mergeCell ref="OK48:OK52"/>
    <mergeCell ref="OQ48:OR48"/>
    <mergeCell ref="OS48:OT48"/>
    <mergeCell ref="OU48:OU52"/>
    <mergeCell ref="PA48:PB48"/>
    <mergeCell ref="PC48:PD48"/>
    <mergeCell ref="PE48:PE52"/>
    <mergeCell ref="PK48:PL48"/>
    <mergeCell ref="PM48:PN48"/>
    <mergeCell ref="PO48:PO52"/>
    <mergeCell ref="PU48:PV48"/>
    <mergeCell ref="NW49:NX49"/>
    <mergeCell ref="PW46:PX46"/>
    <mergeCell ref="QE46:QF46"/>
    <mergeCell ref="QG46:QH46"/>
    <mergeCell ref="OQ45:OR45"/>
    <mergeCell ref="OS45:OT45"/>
    <mergeCell ref="PA45:PB45"/>
    <mergeCell ref="PC45:PD45"/>
    <mergeCell ref="PK45:PL45"/>
    <mergeCell ref="PM45:PN45"/>
    <mergeCell ref="PU45:PV45"/>
    <mergeCell ref="PW45:PX45"/>
    <mergeCell ref="QE45:QF45"/>
    <mergeCell ref="QG45:QH45"/>
    <mergeCell ref="PW48:PX48"/>
    <mergeCell ref="PY48:PY52"/>
    <mergeCell ref="QE48:QF48"/>
    <mergeCell ref="QG48:QH48"/>
    <mergeCell ref="NQ43:NQ46"/>
    <mergeCell ref="NW43:NX43"/>
    <mergeCell ref="NY43:NZ43"/>
    <mergeCell ref="OA43:OA46"/>
    <mergeCell ref="OG43:OH43"/>
    <mergeCell ref="OI43:OJ43"/>
    <mergeCell ref="OK43:OK46"/>
    <mergeCell ref="OQ43:OR43"/>
    <mergeCell ref="OS43:OT43"/>
    <mergeCell ref="OU43:OU46"/>
    <mergeCell ref="PA43:PB43"/>
    <mergeCell ref="PC43:PD43"/>
    <mergeCell ref="PE43:PE46"/>
    <mergeCell ref="PK43:PL43"/>
    <mergeCell ref="PM43:PN43"/>
    <mergeCell ref="PO43:PO46"/>
    <mergeCell ref="PU43:PV43"/>
    <mergeCell ref="NW44:NX44"/>
    <mergeCell ref="NY44:NZ44"/>
    <mergeCell ref="OG44:OH44"/>
    <mergeCell ref="OI44:OJ44"/>
    <mergeCell ref="OQ44:OR44"/>
    <mergeCell ref="OS44:OT44"/>
    <mergeCell ref="PA44:PB44"/>
    <mergeCell ref="PC44:PD44"/>
    <mergeCell ref="PK44:PL44"/>
    <mergeCell ref="PM44:PN44"/>
    <mergeCell ref="PU44:PV44"/>
    <mergeCell ref="NW45:NX45"/>
    <mergeCell ref="NY45:NZ45"/>
    <mergeCell ref="OG45:OH45"/>
    <mergeCell ref="OI45:OJ45"/>
    <mergeCell ref="PW43:PX43"/>
    <mergeCell ref="PY43:PY46"/>
    <mergeCell ref="QE43:QF43"/>
    <mergeCell ref="QG43:QH43"/>
    <mergeCell ref="NW42:NX42"/>
    <mergeCell ref="NY42:NZ42"/>
    <mergeCell ref="OG42:OH42"/>
    <mergeCell ref="OI42:OJ42"/>
    <mergeCell ref="OQ42:OR42"/>
    <mergeCell ref="OS42:OT42"/>
    <mergeCell ref="PA42:PB42"/>
    <mergeCell ref="PC42:PD42"/>
    <mergeCell ref="PK42:PL42"/>
    <mergeCell ref="PM42:PN42"/>
    <mergeCell ref="PU42:PV42"/>
    <mergeCell ref="PW42:PX42"/>
    <mergeCell ref="QE42:QF42"/>
    <mergeCell ref="QG42:QH42"/>
    <mergeCell ref="PW44:PX44"/>
    <mergeCell ref="QE44:QF44"/>
    <mergeCell ref="QG44:QH44"/>
    <mergeCell ref="NW46:NX46"/>
    <mergeCell ref="NY46:NZ46"/>
    <mergeCell ref="OG46:OH46"/>
    <mergeCell ref="OI46:OJ46"/>
    <mergeCell ref="OQ46:OR46"/>
    <mergeCell ref="OS46:OT46"/>
    <mergeCell ref="PA46:PB46"/>
    <mergeCell ref="PC46:PD46"/>
    <mergeCell ref="PK46:PL46"/>
    <mergeCell ref="PM46:PN46"/>
    <mergeCell ref="PU46:PV46"/>
    <mergeCell ref="LY65:LZ65"/>
    <mergeCell ref="MA65:MB65"/>
    <mergeCell ref="MI65:MJ65"/>
    <mergeCell ref="MK65:ML65"/>
    <mergeCell ref="MS65:MT65"/>
    <mergeCell ref="MU65:MV65"/>
    <mergeCell ref="NC65:ND65"/>
    <mergeCell ref="NE65:NF65"/>
    <mergeCell ref="NM65:NN65"/>
    <mergeCell ref="NO65:NP65"/>
    <mergeCell ref="LY66:LZ66"/>
    <mergeCell ref="MA66:MB66"/>
    <mergeCell ref="MI66:MJ66"/>
    <mergeCell ref="MK66:ML66"/>
    <mergeCell ref="MS66:MT66"/>
    <mergeCell ref="MU66:MV66"/>
    <mergeCell ref="NC66:ND66"/>
    <mergeCell ref="NE66:NF66"/>
    <mergeCell ref="NM66:NN66"/>
    <mergeCell ref="NO66:NP66"/>
    <mergeCell ref="LY63:LZ63"/>
    <mergeCell ref="MA63:MB63"/>
    <mergeCell ref="MI63:MJ63"/>
    <mergeCell ref="MK63:ML63"/>
    <mergeCell ref="MS63:MT63"/>
    <mergeCell ref="MU63:MV63"/>
    <mergeCell ref="NC63:ND63"/>
    <mergeCell ref="NE63:NF63"/>
    <mergeCell ref="NM63:NN63"/>
    <mergeCell ref="NO63:NP63"/>
    <mergeCell ref="LY64:LZ64"/>
    <mergeCell ref="MA64:MB64"/>
    <mergeCell ref="MI64:MJ64"/>
    <mergeCell ref="MK64:ML64"/>
    <mergeCell ref="MS64:MT64"/>
    <mergeCell ref="MU64:MV64"/>
    <mergeCell ref="NC64:ND64"/>
    <mergeCell ref="NE64:NF64"/>
    <mergeCell ref="NM64:NN64"/>
    <mergeCell ref="NO64:NP64"/>
    <mergeCell ref="LY61:LZ61"/>
    <mergeCell ref="MA61:MB61"/>
    <mergeCell ref="MI61:MJ61"/>
    <mergeCell ref="MK61:ML61"/>
    <mergeCell ref="MS61:MT61"/>
    <mergeCell ref="MU61:MV61"/>
    <mergeCell ref="NC61:ND61"/>
    <mergeCell ref="NE61:NF61"/>
    <mergeCell ref="NM61:NN61"/>
    <mergeCell ref="NO61:NP61"/>
    <mergeCell ref="LY62:LZ62"/>
    <mergeCell ref="MA62:MB62"/>
    <mergeCell ref="MI62:MJ62"/>
    <mergeCell ref="MK62:ML62"/>
    <mergeCell ref="MS62:MT62"/>
    <mergeCell ref="MU62:MV62"/>
    <mergeCell ref="NC62:ND62"/>
    <mergeCell ref="NE62:NF62"/>
    <mergeCell ref="NM62:NN62"/>
    <mergeCell ref="NO62:NP62"/>
    <mergeCell ref="LY59:LZ59"/>
    <mergeCell ref="MA59:MB59"/>
    <mergeCell ref="MI59:MJ59"/>
    <mergeCell ref="MK59:ML59"/>
    <mergeCell ref="MS59:MT59"/>
    <mergeCell ref="MU59:MV59"/>
    <mergeCell ref="NC59:ND59"/>
    <mergeCell ref="NE59:NF59"/>
    <mergeCell ref="NM59:NN59"/>
    <mergeCell ref="NO59:NP59"/>
    <mergeCell ref="LY60:LZ60"/>
    <mergeCell ref="MA60:MB60"/>
    <mergeCell ref="MI60:MJ60"/>
    <mergeCell ref="MK60:ML60"/>
    <mergeCell ref="MS60:MT60"/>
    <mergeCell ref="MU60:MV60"/>
    <mergeCell ref="NC60:ND60"/>
    <mergeCell ref="NE60:NF60"/>
    <mergeCell ref="NM60:NN60"/>
    <mergeCell ref="NO60:NP60"/>
    <mergeCell ref="NE56:NF56"/>
    <mergeCell ref="NM56:NN56"/>
    <mergeCell ref="NO56:NP56"/>
    <mergeCell ref="LY57:LZ57"/>
    <mergeCell ref="MA57:MB57"/>
    <mergeCell ref="MI57:MJ57"/>
    <mergeCell ref="MK57:ML57"/>
    <mergeCell ref="MS57:MT57"/>
    <mergeCell ref="MU57:MV57"/>
    <mergeCell ref="NC57:ND57"/>
    <mergeCell ref="NE57:NF57"/>
    <mergeCell ref="NM57:NN57"/>
    <mergeCell ref="NO57:NP57"/>
    <mergeCell ref="LY58:LZ58"/>
    <mergeCell ref="MA58:MB58"/>
    <mergeCell ref="MI58:MJ58"/>
    <mergeCell ref="MK58:ML58"/>
    <mergeCell ref="MS58:MT58"/>
    <mergeCell ref="MU58:MV58"/>
    <mergeCell ref="NC58:ND58"/>
    <mergeCell ref="NE58:NF58"/>
    <mergeCell ref="NM58:NN58"/>
    <mergeCell ref="NO58:NP58"/>
    <mergeCell ref="LS54:LS56"/>
    <mergeCell ref="LY54:LZ54"/>
    <mergeCell ref="MA54:MB54"/>
    <mergeCell ref="MC54:MC56"/>
    <mergeCell ref="MI54:MJ54"/>
    <mergeCell ref="MK54:ML54"/>
    <mergeCell ref="MM54:MM56"/>
    <mergeCell ref="MS54:MT54"/>
    <mergeCell ref="MU54:MV54"/>
    <mergeCell ref="MW54:MW56"/>
    <mergeCell ref="NC54:ND54"/>
    <mergeCell ref="NE54:NF54"/>
    <mergeCell ref="NG54:NG56"/>
    <mergeCell ref="NM54:NN54"/>
    <mergeCell ref="NO54:NP54"/>
    <mergeCell ref="LY55:LZ55"/>
    <mergeCell ref="MA55:MB55"/>
    <mergeCell ref="MI55:MJ55"/>
    <mergeCell ref="MK55:ML55"/>
    <mergeCell ref="MS55:MT55"/>
    <mergeCell ref="MU55:MV55"/>
    <mergeCell ref="NC55:ND55"/>
    <mergeCell ref="NE55:NF55"/>
    <mergeCell ref="NM55:NN55"/>
    <mergeCell ref="NO55:NP55"/>
    <mergeCell ref="LY56:LZ56"/>
    <mergeCell ref="MA56:MB56"/>
    <mergeCell ref="MI56:MJ56"/>
    <mergeCell ref="MK56:ML56"/>
    <mergeCell ref="MS56:MT56"/>
    <mergeCell ref="MU56:MV56"/>
    <mergeCell ref="NC56:ND56"/>
    <mergeCell ref="LY52:LZ52"/>
    <mergeCell ref="MA52:MB52"/>
    <mergeCell ref="MI52:MJ52"/>
    <mergeCell ref="MK52:ML52"/>
    <mergeCell ref="MS52:MT52"/>
    <mergeCell ref="MU52:MV52"/>
    <mergeCell ref="NC52:ND52"/>
    <mergeCell ref="NE52:NF52"/>
    <mergeCell ref="NM52:NN52"/>
    <mergeCell ref="NO52:NP52"/>
    <mergeCell ref="LY53:LZ53"/>
    <mergeCell ref="MA53:MB53"/>
    <mergeCell ref="MI53:MJ53"/>
    <mergeCell ref="MK53:ML53"/>
    <mergeCell ref="MS53:MT53"/>
    <mergeCell ref="MU53:MV53"/>
    <mergeCell ref="NC53:ND53"/>
    <mergeCell ref="NE53:NF53"/>
    <mergeCell ref="NM53:NN53"/>
    <mergeCell ref="NO53:NP53"/>
    <mergeCell ref="NE49:NF49"/>
    <mergeCell ref="NM49:NN49"/>
    <mergeCell ref="NO49:NP49"/>
    <mergeCell ref="LY50:LZ50"/>
    <mergeCell ref="MA50:MB50"/>
    <mergeCell ref="MI50:MJ50"/>
    <mergeCell ref="MK50:ML50"/>
    <mergeCell ref="MS50:MT50"/>
    <mergeCell ref="MU50:MV50"/>
    <mergeCell ref="NC50:ND50"/>
    <mergeCell ref="NE50:NF50"/>
    <mergeCell ref="NM50:NN50"/>
    <mergeCell ref="NO50:NP50"/>
    <mergeCell ref="LY51:LZ51"/>
    <mergeCell ref="MA51:MB51"/>
    <mergeCell ref="MI51:MJ51"/>
    <mergeCell ref="MK51:ML51"/>
    <mergeCell ref="MS51:MT51"/>
    <mergeCell ref="MU51:MV51"/>
    <mergeCell ref="NC51:ND51"/>
    <mergeCell ref="NE51:NF51"/>
    <mergeCell ref="NM51:NN51"/>
    <mergeCell ref="NO51:NP51"/>
    <mergeCell ref="LY47:LZ47"/>
    <mergeCell ref="MA47:MB47"/>
    <mergeCell ref="MI47:MJ47"/>
    <mergeCell ref="MK47:ML47"/>
    <mergeCell ref="MS47:MT47"/>
    <mergeCell ref="MU47:MV47"/>
    <mergeCell ref="NC47:ND47"/>
    <mergeCell ref="NE47:NF47"/>
    <mergeCell ref="NM47:NN47"/>
    <mergeCell ref="NO47:NP47"/>
    <mergeCell ref="LS48:LS52"/>
    <mergeCell ref="LY48:LZ48"/>
    <mergeCell ref="MA48:MB48"/>
    <mergeCell ref="MC48:MC52"/>
    <mergeCell ref="MI48:MJ48"/>
    <mergeCell ref="MK48:ML48"/>
    <mergeCell ref="MM48:MM52"/>
    <mergeCell ref="MS48:MT48"/>
    <mergeCell ref="MU48:MV48"/>
    <mergeCell ref="MW48:MW52"/>
    <mergeCell ref="NC48:ND48"/>
    <mergeCell ref="NE48:NF48"/>
    <mergeCell ref="NG48:NG52"/>
    <mergeCell ref="NM48:NN48"/>
    <mergeCell ref="NO48:NP48"/>
    <mergeCell ref="LY49:LZ49"/>
    <mergeCell ref="MA49:MB49"/>
    <mergeCell ref="MI49:MJ49"/>
    <mergeCell ref="MK49:ML49"/>
    <mergeCell ref="MS49:MT49"/>
    <mergeCell ref="MU49:MV49"/>
    <mergeCell ref="NC49:ND49"/>
    <mergeCell ref="NE44:NF44"/>
    <mergeCell ref="NM44:NN44"/>
    <mergeCell ref="NO44:NP44"/>
    <mergeCell ref="LY45:LZ45"/>
    <mergeCell ref="MA45:MB45"/>
    <mergeCell ref="MI45:MJ45"/>
    <mergeCell ref="MK45:ML45"/>
    <mergeCell ref="MS45:MT45"/>
    <mergeCell ref="MU45:MV45"/>
    <mergeCell ref="NC45:ND45"/>
    <mergeCell ref="NE45:NF45"/>
    <mergeCell ref="NM45:NN45"/>
    <mergeCell ref="NO45:NP45"/>
    <mergeCell ref="LY46:LZ46"/>
    <mergeCell ref="MA46:MB46"/>
    <mergeCell ref="MI46:MJ46"/>
    <mergeCell ref="MK46:ML46"/>
    <mergeCell ref="MS46:MT46"/>
    <mergeCell ref="MU46:MV46"/>
    <mergeCell ref="NC46:ND46"/>
    <mergeCell ref="NE46:NF46"/>
    <mergeCell ref="NM46:NN46"/>
    <mergeCell ref="NO46:NP46"/>
    <mergeCell ref="LY42:LZ42"/>
    <mergeCell ref="MA42:MB42"/>
    <mergeCell ref="MI42:MJ42"/>
    <mergeCell ref="MK42:ML42"/>
    <mergeCell ref="MS42:MT42"/>
    <mergeCell ref="MU42:MV42"/>
    <mergeCell ref="NC42:ND42"/>
    <mergeCell ref="NE42:NF42"/>
    <mergeCell ref="NM42:NN42"/>
    <mergeCell ref="NO42:NP42"/>
    <mergeCell ref="LS43:LS46"/>
    <mergeCell ref="LY43:LZ43"/>
    <mergeCell ref="MA43:MB43"/>
    <mergeCell ref="MC43:MC46"/>
    <mergeCell ref="MI43:MJ43"/>
    <mergeCell ref="MK43:ML43"/>
    <mergeCell ref="MM43:MM46"/>
    <mergeCell ref="MS43:MT43"/>
    <mergeCell ref="MU43:MV43"/>
    <mergeCell ref="MW43:MW46"/>
    <mergeCell ref="NC43:ND43"/>
    <mergeCell ref="NE43:NF43"/>
    <mergeCell ref="NG43:NG46"/>
    <mergeCell ref="NM43:NN43"/>
    <mergeCell ref="NO43:NP43"/>
    <mergeCell ref="LY44:LZ44"/>
    <mergeCell ref="MA44:MB44"/>
    <mergeCell ref="MI44:MJ44"/>
    <mergeCell ref="MK44:ML44"/>
    <mergeCell ref="MS44:MT44"/>
    <mergeCell ref="MU44:MV44"/>
    <mergeCell ref="NC44:ND44"/>
    <mergeCell ref="JQ65:JR65"/>
    <mergeCell ref="JS65:JT65"/>
    <mergeCell ref="KA65:KB65"/>
    <mergeCell ref="KC65:KD65"/>
    <mergeCell ref="KK65:KL65"/>
    <mergeCell ref="KM65:KN65"/>
    <mergeCell ref="KU65:KV65"/>
    <mergeCell ref="KW65:KX65"/>
    <mergeCell ref="LE65:LF65"/>
    <mergeCell ref="LG65:LH65"/>
    <mergeCell ref="LO65:LP65"/>
    <mergeCell ref="LQ65:LR65"/>
    <mergeCell ref="JQ66:JR66"/>
    <mergeCell ref="JS66:JT66"/>
    <mergeCell ref="KA66:KB66"/>
    <mergeCell ref="KC66:KD66"/>
    <mergeCell ref="KK66:KL66"/>
    <mergeCell ref="KM66:KN66"/>
    <mergeCell ref="KU66:KV66"/>
    <mergeCell ref="KW66:KX66"/>
    <mergeCell ref="LE66:LF66"/>
    <mergeCell ref="LG66:LH66"/>
    <mergeCell ref="LO66:LP66"/>
    <mergeCell ref="LQ66:LR66"/>
    <mergeCell ref="JQ63:JR63"/>
    <mergeCell ref="JS63:JT63"/>
    <mergeCell ref="KA63:KB63"/>
    <mergeCell ref="KC63:KD63"/>
    <mergeCell ref="KK63:KL63"/>
    <mergeCell ref="KM63:KN63"/>
    <mergeCell ref="KU63:KV63"/>
    <mergeCell ref="KW63:KX63"/>
    <mergeCell ref="LE63:LF63"/>
    <mergeCell ref="LG63:LH63"/>
    <mergeCell ref="LO63:LP63"/>
    <mergeCell ref="LQ63:LR63"/>
    <mergeCell ref="JQ64:JR64"/>
    <mergeCell ref="JS64:JT64"/>
    <mergeCell ref="KA64:KB64"/>
    <mergeCell ref="KC64:KD64"/>
    <mergeCell ref="KK64:KL64"/>
    <mergeCell ref="KM64:KN64"/>
    <mergeCell ref="KU64:KV64"/>
    <mergeCell ref="KW64:KX64"/>
    <mergeCell ref="LE64:LF64"/>
    <mergeCell ref="LG64:LH64"/>
    <mergeCell ref="LO64:LP64"/>
    <mergeCell ref="LQ64:LR64"/>
    <mergeCell ref="JQ61:JR61"/>
    <mergeCell ref="JS61:JT61"/>
    <mergeCell ref="KA61:KB61"/>
    <mergeCell ref="KC61:KD61"/>
    <mergeCell ref="KK61:KL61"/>
    <mergeCell ref="KM61:KN61"/>
    <mergeCell ref="KU61:KV61"/>
    <mergeCell ref="KW61:KX61"/>
    <mergeCell ref="LE61:LF61"/>
    <mergeCell ref="LG61:LH61"/>
    <mergeCell ref="LO61:LP61"/>
    <mergeCell ref="LQ61:LR61"/>
    <mergeCell ref="JQ62:JR62"/>
    <mergeCell ref="JS62:JT62"/>
    <mergeCell ref="KA62:KB62"/>
    <mergeCell ref="KC62:KD62"/>
    <mergeCell ref="KK62:KL62"/>
    <mergeCell ref="KM62:KN62"/>
    <mergeCell ref="KU62:KV62"/>
    <mergeCell ref="KW62:KX62"/>
    <mergeCell ref="LE62:LF62"/>
    <mergeCell ref="LG62:LH62"/>
    <mergeCell ref="LO62:LP62"/>
    <mergeCell ref="LQ62:LR62"/>
    <mergeCell ref="JQ59:JR59"/>
    <mergeCell ref="JS59:JT59"/>
    <mergeCell ref="KA59:KB59"/>
    <mergeCell ref="KC59:KD59"/>
    <mergeCell ref="KK59:KL59"/>
    <mergeCell ref="KM59:KN59"/>
    <mergeCell ref="KU59:KV59"/>
    <mergeCell ref="KW59:KX59"/>
    <mergeCell ref="LE59:LF59"/>
    <mergeCell ref="LG59:LH59"/>
    <mergeCell ref="LO59:LP59"/>
    <mergeCell ref="LQ59:LR59"/>
    <mergeCell ref="JQ60:JR60"/>
    <mergeCell ref="JS60:JT60"/>
    <mergeCell ref="KA60:KB60"/>
    <mergeCell ref="KC60:KD60"/>
    <mergeCell ref="KK60:KL60"/>
    <mergeCell ref="KM60:KN60"/>
    <mergeCell ref="KU60:KV60"/>
    <mergeCell ref="KW60:KX60"/>
    <mergeCell ref="LE60:LF60"/>
    <mergeCell ref="LG60:LH60"/>
    <mergeCell ref="LO60:LP60"/>
    <mergeCell ref="LQ60:LR60"/>
    <mergeCell ref="JQ57:JR57"/>
    <mergeCell ref="JS57:JT57"/>
    <mergeCell ref="KA57:KB57"/>
    <mergeCell ref="KC57:KD57"/>
    <mergeCell ref="KK57:KL57"/>
    <mergeCell ref="KM57:KN57"/>
    <mergeCell ref="KU57:KV57"/>
    <mergeCell ref="KW57:KX57"/>
    <mergeCell ref="LE57:LF57"/>
    <mergeCell ref="LG57:LH57"/>
    <mergeCell ref="LO57:LP57"/>
    <mergeCell ref="LQ57:LR57"/>
    <mergeCell ref="JQ58:JR58"/>
    <mergeCell ref="JS58:JT58"/>
    <mergeCell ref="KA58:KB58"/>
    <mergeCell ref="KC58:KD58"/>
    <mergeCell ref="KK58:KL58"/>
    <mergeCell ref="KM58:KN58"/>
    <mergeCell ref="KU58:KV58"/>
    <mergeCell ref="KW58:KX58"/>
    <mergeCell ref="LE58:LF58"/>
    <mergeCell ref="LG58:LH58"/>
    <mergeCell ref="LO58:LP58"/>
    <mergeCell ref="LQ58:LR58"/>
    <mergeCell ref="LQ54:LR54"/>
    <mergeCell ref="JQ55:JR55"/>
    <mergeCell ref="JS55:JT55"/>
    <mergeCell ref="KA55:KB55"/>
    <mergeCell ref="KC55:KD55"/>
    <mergeCell ref="KK55:KL55"/>
    <mergeCell ref="KM55:KN55"/>
    <mergeCell ref="KU55:KV55"/>
    <mergeCell ref="KW55:KX55"/>
    <mergeCell ref="LE55:LF55"/>
    <mergeCell ref="LG55:LH55"/>
    <mergeCell ref="LO55:LP55"/>
    <mergeCell ref="LQ55:LR55"/>
    <mergeCell ref="JQ56:JR56"/>
    <mergeCell ref="JS56:JT56"/>
    <mergeCell ref="KA56:KB56"/>
    <mergeCell ref="KC56:KD56"/>
    <mergeCell ref="KK56:KL56"/>
    <mergeCell ref="KM56:KN56"/>
    <mergeCell ref="KU56:KV56"/>
    <mergeCell ref="KW56:KX56"/>
    <mergeCell ref="LE56:LF56"/>
    <mergeCell ref="LG56:LH56"/>
    <mergeCell ref="LO56:LP56"/>
    <mergeCell ref="LQ56:LR56"/>
    <mergeCell ref="JK54:JK56"/>
    <mergeCell ref="JQ54:JR54"/>
    <mergeCell ref="JS54:JT54"/>
    <mergeCell ref="JU54:JU56"/>
    <mergeCell ref="KA54:KB54"/>
    <mergeCell ref="KC54:KD54"/>
    <mergeCell ref="KE54:KE56"/>
    <mergeCell ref="KK54:KL54"/>
    <mergeCell ref="KM54:KN54"/>
    <mergeCell ref="KO54:KO56"/>
    <mergeCell ref="KU54:KV54"/>
    <mergeCell ref="KW54:KX54"/>
    <mergeCell ref="KY54:KY56"/>
    <mergeCell ref="LE54:LF54"/>
    <mergeCell ref="LG54:LH54"/>
    <mergeCell ref="LI54:LI56"/>
    <mergeCell ref="LO54:LP54"/>
    <mergeCell ref="LQ51:LR51"/>
    <mergeCell ref="JQ52:JR52"/>
    <mergeCell ref="JS52:JT52"/>
    <mergeCell ref="KA52:KB52"/>
    <mergeCell ref="KC52:KD52"/>
    <mergeCell ref="KK52:KL52"/>
    <mergeCell ref="KM52:KN52"/>
    <mergeCell ref="KU52:KV52"/>
    <mergeCell ref="KW52:KX52"/>
    <mergeCell ref="LE52:LF52"/>
    <mergeCell ref="LG52:LH52"/>
    <mergeCell ref="LO52:LP52"/>
    <mergeCell ref="LQ52:LR52"/>
    <mergeCell ref="JQ53:JR53"/>
    <mergeCell ref="JS53:JT53"/>
    <mergeCell ref="KA53:KB53"/>
    <mergeCell ref="KC53:KD53"/>
    <mergeCell ref="KK53:KL53"/>
    <mergeCell ref="KM53:KN53"/>
    <mergeCell ref="KU53:KV53"/>
    <mergeCell ref="KW53:KX53"/>
    <mergeCell ref="LE53:LF53"/>
    <mergeCell ref="LG53:LH53"/>
    <mergeCell ref="LO53:LP53"/>
    <mergeCell ref="LQ53:LR53"/>
    <mergeCell ref="LQ48:LR48"/>
    <mergeCell ref="JQ49:JR49"/>
    <mergeCell ref="JS49:JT49"/>
    <mergeCell ref="KA49:KB49"/>
    <mergeCell ref="KC49:KD49"/>
    <mergeCell ref="KK49:KL49"/>
    <mergeCell ref="KM49:KN49"/>
    <mergeCell ref="KU49:KV49"/>
    <mergeCell ref="KW49:KX49"/>
    <mergeCell ref="LE49:LF49"/>
    <mergeCell ref="LG49:LH49"/>
    <mergeCell ref="LO49:LP49"/>
    <mergeCell ref="LQ49:LR49"/>
    <mergeCell ref="JQ50:JR50"/>
    <mergeCell ref="JS50:JT50"/>
    <mergeCell ref="KA50:KB50"/>
    <mergeCell ref="KC50:KD50"/>
    <mergeCell ref="KK50:KL50"/>
    <mergeCell ref="KM50:KN50"/>
    <mergeCell ref="KU50:KV50"/>
    <mergeCell ref="KW50:KX50"/>
    <mergeCell ref="LE50:LF50"/>
    <mergeCell ref="LG50:LH50"/>
    <mergeCell ref="LO50:LP50"/>
    <mergeCell ref="LQ50:LR50"/>
    <mergeCell ref="JK48:JK52"/>
    <mergeCell ref="JQ48:JR48"/>
    <mergeCell ref="JS48:JT48"/>
    <mergeCell ref="JU48:JU52"/>
    <mergeCell ref="KA48:KB48"/>
    <mergeCell ref="KC48:KD48"/>
    <mergeCell ref="KE48:KE52"/>
    <mergeCell ref="KK48:KL48"/>
    <mergeCell ref="KM48:KN48"/>
    <mergeCell ref="KO48:KO52"/>
    <mergeCell ref="KU48:KV48"/>
    <mergeCell ref="KW48:KX48"/>
    <mergeCell ref="KY48:KY52"/>
    <mergeCell ref="LE48:LF48"/>
    <mergeCell ref="LG48:LH48"/>
    <mergeCell ref="LI48:LI52"/>
    <mergeCell ref="LO48:LP48"/>
    <mergeCell ref="JQ51:JR51"/>
    <mergeCell ref="JS51:JT51"/>
    <mergeCell ref="KA51:KB51"/>
    <mergeCell ref="KC51:KD51"/>
    <mergeCell ref="KK51:KL51"/>
    <mergeCell ref="KM51:KN51"/>
    <mergeCell ref="KU51:KV51"/>
    <mergeCell ref="KW51:KX51"/>
    <mergeCell ref="LE51:LF51"/>
    <mergeCell ref="LG51:LH51"/>
    <mergeCell ref="LO51:LP51"/>
    <mergeCell ref="JQ46:JR46"/>
    <mergeCell ref="JS46:JT46"/>
    <mergeCell ref="KA46:KB46"/>
    <mergeCell ref="KC46:KD46"/>
    <mergeCell ref="KK46:KL46"/>
    <mergeCell ref="KM46:KN46"/>
    <mergeCell ref="KU46:KV46"/>
    <mergeCell ref="KW46:KX46"/>
    <mergeCell ref="LE46:LF46"/>
    <mergeCell ref="LG46:LH46"/>
    <mergeCell ref="LO46:LP46"/>
    <mergeCell ref="LQ46:LR46"/>
    <mergeCell ref="JQ47:JR47"/>
    <mergeCell ref="JS47:JT47"/>
    <mergeCell ref="KA47:KB47"/>
    <mergeCell ref="KC47:KD47"/>
    <mergeCell ref="KK47:KL47"/>
    <mergeCell ref="KM47:KN47"/>
    <mergeCell ref="KU47:KV47"/>
    <mergeCell ref="KW47:KX47"/>
    <mergeCell ref="LE47:LF47"/>
    <mergeCell ref="LG47:LH47"/>
    <mergeCell ref="LO47:LP47"/>
    <mergeCell ref="LQ47:LR47"/>
    <mergeCell ref="KA44:KB44"/>
    <mergeCell ref="KC44:KD44"/>
    <mergeCell ref="KK44:KL44"/>
    <mergeCell ref="KM44:KN44"/>
    <mergeCell ref="KU44:KV44"/>
    <mergeCell ref="KW44:KX44"/>
    <mergeCell ref="LE44:LF44"/>
    <mergeCell ref="LG44:LH44"/>
    <mergeCell ref="LO44:LP44"/>
    <mergeCell ref="LQ44:LR44"/>
    <mergeCell ref="JQ45:JR45"/>
    <mergeCell ref="JS45:JT45"/>
    <mergeCell ref="KA45:KB45"/>
    <mergeCell ref="KC45:KD45"/>
    <mergeCell ref="KK45:KL45"/>
    <mergeCell ref="KM45:KN45"/>
    <mergeCell ref="KU45:KV45"/>
    <mergeCell ref="KW45:KX45"/>
    <mergeCell ref="LE45:LF45"/>
    <mergeCell ref="LG45:LH45"/>
    <mergeCell ref="LO45:LP45"/>
    <mergeCell ref="LQ45:LR45"/>
    <mergeCell ref="JQ42:JR42"/>
    <mergeCell ref="JS42:JT42"/>
    <mergeCell ref="KA42:KB42"/>
    <mergeCell ref="KC42:KD42"/>
    <mergeCell ref="KK42:KL42"/>
    <mergeCell ref="KM42:KN42"/>
    <mergeCell ref="KU42:KV42"/>
    <mergeCell ref="KW42:KX42"/>
    <mergeCell ref="LE42:LF42"/>
    <mergeCell ref="LG42:LH42"/>
    <mergeCell ref="LO42:LP42"/>
    <mergeCell ref="LQ42:LR42"/>
    <mergeCell ref="JK43:JK46"/>
    <mergeCell ref="JQ43:JR43"/>
    <mergeCell ref="JS43:JT43"/>
    <mergeCell ref="JU43:JU46"/>
    <mergeCell ref="KA43:KB43"/>
    <mergeCell ref="KC43:KD43"/>
    <mergeCell ref="KE43:KE46"/>
    <mergeCell ref="KK43:KL43"/>
    <mergeCell ref="KM43:KN43"/>
    <mergeCell ref="KO43:KO46"/>
    <mergeCell ref="KU43:KV43"/>
    <mergeCell ref="KW43:KX43"/>
    <mergeCell ref="KY43:KY46"/>
    <mergeCell ref="LE43:LF43"/>
    <mergeCell ref="LG43:LH43"/>
    <mergeCell ref="LI43:LI46"/>
    <mergeCell ref="LO43:LP43"/>
    <mergeCell ref="LQ43:LR43"/>
    <mergeCell ref="JQ44:JR44"/>
    <mergeCell ref="JS44:JT44"/>
    <mergeCell ref="K41:T41"/>
    <mergeCell ref="L6:N6"/>
    <mergeCell ref="L16:N16"/>
    <mergeCell ref="L30:N30"/>
    <mergeCell ref="IW66:IX66"/>
    <mergeCell ref="IY66:IZ66"/>
    <mergeCell ref="JG66:JH66"/>
    <mergeCell ref="JI66:JJ66"/>
    <mergeCell ref="IW65:IX65"/>
    <mergeCell ref="IY65:IZ65"/>
    <mergeCell ref="JG65:JH65"/>
    <mergeCell ref="JI65:JJ65"/>
    <mergeCell ref="IW64:IX64"/>
    <mergeCell ref="IY64:IZ64"/>
    <mergeCell ref="JG64:JH64"/>
    <mergeCell ref="JI64:JJ64"/>
    <mergeCell ref="IW63:IX63"/>
    <mergeCell ref="IY63:IZ63"/>
    <mergeCell ref="JG63:JH63"/>
    <mergeCell ref="JI63:JJ63"/>
    <mergeCell ref="IW62:IX62"/>
    <mergeCell ref="IY62:IZ62"/>
    <mergeCell ref="JG62:JH62"/>
    <mergeCell ref="JI62:JJ62"/>
    <mergeCell ref="IW61:IX61"/>
    <mergeCell ref="IY61:IZ61"/>
    <mergeCell ref="JG61:JH61"/>
    <mergeCell ref="JI61:JJ61"/>
    <mergeCell ref="JI59:JJ59"/>
    <mergeCell ref="IW58:IX58"/>
    <mergeCell ref="IY58:IZ58"/>
    <mergeCell ref="IW57:IX57"/>
    <mergeCell ref="IY57:IZ57"/>
    <mergeCell ref="JG57:JH57"/>
    <mergeCell ref="JI57:JJ57"/>
    <mergeCell ref="IW56:IX56"/>
    <mergeCell ref="IY56:IZ56"/>
    <mergeCell ref="JG56:JH56"/>
    <mergeCell ref="JI56:JJ56"/>
    <mergeCell ref="IW55:IX55"/>
    <mergeCell ref="IY55:IZ55"/>
    <mergeCell ref="JG55:JH55"/>
    <mergeCell ref="JI55:JJ55"/>
    <mergeCell ref="IW60:IX60"/>
    <mergeCell ref="IY60:IZ60"/>
    <mergeCell ref="JG60:JH60"/>
    <mergeCell ref="JI60:JJ60"/>
    <mergeCell ref="JG54:JH54"/>
    <mergeCell ref="JI54:JJ54"/>
    <mergeCell ref="IW52:IX52"/>
    <mergeCell ref="IY52:IZ52"/>
    <mergeCell ref="JG52:JH52"/>
    <mergeCell ref="JI52:JJ52"/>
    <mergeCell ref="IW49:IX49"/>
    <mergeCell ref="IY49:IZ49"/>
    <mergeCell ref="IW51:IX51"/>
    <mergeCell ref="IY51:IZ51"/>
    <mergeCell ref="JG51:JH51"/>
    <mergeCell ref="JI51:JJ51"/>
    <mergeCell ref="IW50:IX50"/>
    <mergeCell ref="IY50:IZ50"/>
    <mergeCell ref="JG50:JH50"/>
    <mergeCell ref="JI50:JJ50"/>
    <mergeCell ref="JG49:JH49"/>
    <mergeCell ref="JI49:JJ49"/>
    <mergeCell ref="IW53:IX53"/>
    <mergeCell ref="IY53:IZ53"/>
    <mergeCell ref="JG53:JH53"/>
    <mergeCell ref="JI53:JJ53"/>
    <mergeCell ref="IM66:IN66"/>
    <mergeCell ref="IO66:IP66"/>
    <mergeCell ref="IM56:IN56"/>
    <mergeCell ref="IO56:IP56"/>
    <mergeCell ref="IO50:IP50"/>
    <mergeCell ref="IQ48:IQ52"/>
    <mergeCell ref="IW48:IX48"/>
    <mergeCell ref="IY48:IZ48"/>
    <mergeCell ref="JA48:JA52"/>
    <mergeCell ref="JG48:JH48"/>
    <mergeCell ref="JI48:JJ48"/>
    <mergeCell ref="JG58:JH58"/>
    <mergeCell ref="JI58:JJ58"/>
    <mergeCell ref="IW59:IX59"/>
    <mergeCell ref="IY59:IZ59"/>
    <mergeCell ref="JG59:JH59"/>
    <mergeCell ref="IC64:ID64"/>
    <mergeCell ref="IE64:IF64"/>
    <mergeCell ref="IM64:IN64"/>
    <mergeCell ref="IO64:IP64"/>
    <mergeCell ref="IQ54:IQ56"/>
    <mergeCell ref="IW54:IX54"/>
    <mergeCell ref="IY54:IZ54"/>
    <mergeCell ref="JA54:JA56"/>
    <mergeCell ref="IM62:IN62"/>
    <mergeCell ref="IO62:IP62"/>
    <mergeCell ref="IG54:IG56"/>
    <mergeCell ref="IM54:IN54"/>
    <mergeCell ref="IO54:IP54"/>
    <mergeCell ref="IC52:ID52"/>
    <mergeCell ref="IE52:IF52"/>
    <mergeCell ref="IM52:IN52"/>
    <mergeCell ref="IW47:IX47"/>
    <mergeCell ref="IY47:IZ47"/>
    <mergeCell ref="JG47:JH47"/>
    <mergeCell ref="JI47:JJ47"/>
    <mergeCell ref="IW45:IX45"/>
    <mergeCell ref="IY45:IZ45"/>
    <mergeCell ref="JG45:JH45"/>
    <mergeCell ref="JI45:JJ45"/>
    <mergeCell ref="IW44:IX44"/>
    <mergeCell ref="IY44:IZ44"/>
    <mergeCell ref="JG44:JH44"/>
    <mergeCell ref="JI44:JJ44"/>
    <mergeCell ref="IW46:IX46"/>
    <mergeCell ref="IY46:IZ46"/>
    <mergeCell ref="JG46:JH46"/>
    <mergeCell ref="JI46:JJ46"/>
    <mergeCell ref="IQ43:IQ46"/>
    <mergeCell ref="IW43:IX43"/>
    <mergeCell ref="IY43:IZ43"/>
    <mergeCell ref="JA43:JA46"/>
    <mergeCell ref="JG43:JH43"/>
    <mergeCell ref="JI43:JJ43"/>
    <mergeCell ref="GQ65:GR65"/>
    <mergeCell ref="GY65:GZ65"/>
    <mergeCell ref="HA65:HB65"/>
    <mergeCell ref="HI65:HJ65"/>
    <mergeCell ref="HK65:HL65"/>
    <mergeCell ref="HS65:HT65"/>
    <mergeCell ref="IW42:IX42"/>
    <mergeCell ref="IY42:IZ42"/>
    <mergeCell ref="JG42:JH42"/>
    <mergeCell ref="JI42:JJ42"/>
    <mergeCell ref="IM65:IN65"/>
    <mergeCell ref="IO65:IP65"/>
    <mergeCell ref="EQ66:ER66"/>
    <mergeCell ref="ES66:ET66"/>
    <mergeCell ref="FA66:FB66"/>
    <mergeCell ref="FC66:FD66"/>
    <mergeCell ref="FK66:FL66"/>
    <mergeCell ref="FM66:FN66"/>
    <mergeCell ref="FU66:FV66"/>
    <mergeCell ref="FW66:FX66"/>
    <mergeCell ref="GE66:GF66"/>
    <mergeCell ref="GG66:GH66"/>
    <mergeCell ref="GO66:GP66"/>
    <mergeCell ref="GQ66:GR66"/>
    <mergeCell ref="GY66:GZ66"/>
    <mergeCell ref="HA66:HB66"/>
    <mergeCell ref="HI66:HJ66"/>
    <mergeCell ref="HK66:HL66"/>
    <mergeCell ref="HS66:HT66"/>
    <mergeCell ref="HU66:HV66"/>
    <mergeCell ref="IC66:ID66"/>
    <mergeCell ref="IE66:IF66"/>
    <mergeCell ref="HU65:HV65"/>
    <mergeCell ref="IC65:ID65"/>
    <mergeCell ref="IE65:IF65"/>
    <mergeCell ref="GG64:GH64"/>
    <mergeCell ref="GO64:GP64"/>
    <mergeCell ref="GQ64:GR64"/>
    <mergeCell ref="GY64:GZ64"/>
    <mergeCell ref="HA64:HB64"/>
    <mergeCell ref="HI64:HJ64"/>
    <mergeCell ref="HK64:HL64"/>
    <mergeCell ref="HS64:HT64"/>
    <mergeCell ref="HU64:HV64"/>
    <mergeCell ref="EQ64:ER64"/>
    <mergeCell ref="ES64:ET64"/>
    <mergeCell ref="FA64:FB64"/>
    <mergeCell ref="FC64:FD64"/>
    <mergeCell ref="FK64:FL64"/>
    <mergeCell ref="FM64:FN64"/>
    <mergeCell ref="FU64:FV64"/>
    <mergeCell ref="FW64:FX64"/>
    <mergeCell ref="GE64:GF64"/>
    <mergeCell ref="EQ65:ER65"/>
    <mergeCell ref="ES65:ET65"/>
    <mergeCell ref="FA65:FB65"/>
    <mergeCell ref="FC65:FD65"/>
    <mergeCell ref="FK65:FL65"/>
    <mergeCell ref="FM65:FN65"/>
    <mergeCell ref="FU65:FV65"/>
    <mergeCell ref="FW65:FX65"/>
    <mergeCell ref="GE65:GF65"/>
    <mergeCell ref="GG65:GH65"/>
    <mergeCell ref="GO65:GP65"/>
    <mergeCell ref="EQ63:ER63"/>
    <mergeCell ref="ES63:ET63"/>
    <mergeCell ref="FA63:FB63"/>
    <mergeCell ref="FC63:FD63"/>
    <mergeCell ref="FK63:FL63"/>
    <mergeCell ref="FM63:FN63"/>
    <mergeCell ref="FU63:FV63"/>
    <mergeCell ref="FW63:FX63"/>
    <mergeCell ref="GE63:GF63"/>
    <mergeCell ref="GG63:GH63"/>
    <mergeCell ref="GO63:GP63"/>
    <mergeCell ref="GQ63:GR63"/>
    <mergeCell ref="GY63:GZ63"/>
    <mergeCell ref="HA63:HB63"/>
    <mergeCell ref="HI63:HJ63"/>
    <mergeCell ref="HK63:HL63"/>
    <mergeCell ref="HS63:HT63"/>
    <mergeCell ref="HU63:HV63"/>
    <mergeCell ref="IC63:ID63"/>
    <mergeCell ref="IE63:IF63"/>
    <mergeCell ref="IM63:IN63"/>
    <mergeCell ref="IO63:IP63"/>
    <mergeCell ref="IC61:ID61"/>
    <mergeCell ref="IE61:IF61"/>
    <mergeCell ref="IM61:IN61"/>
    <mergeCell ref="IO61:IP61"/>
    <mergeCell ref="EQ62:ER62"/>
    <mergeCell ref="ES62:ET62"/>
    <mergeCell ref="FA62:FB62"/>
    <mergeCell ref="FC62:FD62"/>
    <mergeCell ref="FK62:FL62"/>
    <mergeCell ref="FM62:FN62"/>
    <mergeCell ref="FU62:FV62"/>
    <mergeCell ref="FW62:FX62"/>
    <mergeCell ref="GE62:GF62"/>
    <mergeCell ref="GG62:GH62"/>
    <mergeCell ref="GO62:GP62"/>
    <mergeCell ref="GQ62:GR62"/>
    <mergeCell ref="GY62:GZ62"/>
    <mergeCell ref="HA62:HB62"/>
    <mergeCell ref="HI62:HJ62"/>
    <mergeCell ref="HK62:HL62"/>
    <mergeCell ref="HS62:HT62"/>
    <mergeCell ref="HU62:HV62"/>
    <mergeCell ref="IC62:ID62"/>
    <mergeCell ref="IE62:IF62"/>
    <mergeCell ref="GG61:GH61"/>
    <mergeCell ref="GO61:GP61"/>
    <mergeCell ref="GQ61:GR61"/>
    <mergeCell ref="GY61:GZ61"/>
    <mergeCell ref="HA61:HB61"/>
    <mergeCell ref="HI61:HJ61"/>
    <mergeCell ref="HK61:HL61"/>
    <mergeCell ref="HS61:HT61"/>
    <mergeCell ref="HU61:HV61"/>
    <mergeCell ref="EQ61:ER61"/>
    <mergeCell ref="ES61:ET61"/>
    <mergeCell ref="FA61:FB61"/>
    <mergeCell ref="FC61:FD61"/>
    <mergeCell ref="FK61:FL61"/>
    <mergeCell ref="FM61:FN61"/>
    <mergeCell ref="FU61:FV61"/>
    <mergeCell ref="FW61:FX61"/>
    <mergeCell ref="GE61:GF61"/>
    <mergeCell ref="IM59:IN59"/>
    <mergeCell ref="IO59:IP59"/>
    <mergeCell ref="EQ60:ER60"/>
    <mergeCell ref="ES60:ET60"/>
    <mergeCell ref="FA60:FB60"/>
    <mergeCell ref="FC60:FD60"/>
    <mergeCell ref="FK60:FL60"/>
    <mergeCell ref="FM60:FN60"/>
    <mergeCell ref="FU60:FV60"/>
    <mergeCell ref="FW60:FX60"/>
    <mergeCell ref="GE60:GF60"/>
    <mergeCell ref="GG60:GH60"/>
    <mergeCell ref="GO60:GP60"/>
    <mergeCell ref="GQ60:GR60"/>
    <mergeCell ref="GY60:GZ60"/>
    <mergeCell ref="HA60:HB60"/>
    <mergeCell ref="HI60:HJ60"/>
    <mergeCell ref="HK60:HL60"/>
    <mergeCell ref="HS60:HT60"/>
    <mergeCell ref="HU60:HV60"/>
    <mergeCell ref="IC60:ID60"/>
    <mergeCell ref="IE60:IF60"/>
    <mergeCell ref="IM60:IN60"/>
    <mergeCell ref="IO60:IP60"/>
    <mergeCell ref="IC58:ID58"/>
    <mergeCell ref="IE58:IF58"/>
    <mergeCell ref="IM58:IN58"/>
    <mergeCell ref="IO58:IP58"/>
    <mergeCell ref="EQ59:ER59"/>
    <mergeCell ref="ES59:ET59"/>
    <mergeCell ref="FA59:FB59"/>
    <mergeCell ref="FC59:FD59"/>
    <mergeCell ref="FK59:FL59"/>
    <mergeCell ref="FM59:FN59"/>
    <mergeCell ref="FU59:FV59"/>
    <mergeCell ref="FW59:FX59"/>
    <mergeCell ref="GE59:GF59"/>
    <mergeCell ref="GG59:GH59"/>
    <mergeCell ref="GO59:GP59"/>
    <mergeCell ref="GQ59:GR59"/>
    <mergeCell ref="GY59:GZ59"/>
    <mergeCell ref="HA59:HB59"/>
    <mergeCell ref="HI59:HJ59"/>
    <mergeCell ref="HK59:HL59"/>
    <mergeCell ref="HS59:HT59"/>
    <mergeCell ref="HU59:HV59"/>
    <mergeCell ref="IC59:ID59"/>
    <mergeCell ref="IE59:IF59"/>
    <mergeCell ref="GG58:GH58"/>
    <mergeCell ref="GO58:GP58"/>
    <mergeCell ref="GQ58:GR58"/>
    <mergeCell ref="GY58:GZ58"/>
    <mergeCell ref="HA58:HB58"/>
    <mergeCell ref="HI58:HJ58"/>
    <mergeCell ref="HK58:HL58"/>
    <mergeCell ref="HS58:HT58"/>
    <mergeCell ref="HU58:HV58"/>
    <mergeCell ref="EQ58:ER58"/>
    <mergeCell ref="ES58:ET58"/>
    <mergeCell ref="FA58:FB58"/>
    <mergeCell ref="FC58:FD58"/>
    <mergeCell ref="FK58:FL58"/>
    <mergeCell ref="FM58:FN58"/>
    <mergeCell ref="FU58:FV58"/>
    <mergeCell ref="FW58:FX58"/>
    <mergeCell ref="GE58:GF58"/>
    <mergeCell ref="EQ57:ER57"/>
    <mergeCell ref="ES57:ET57"/>
    <mergeCell ref="FA57:FB57"/>
    <mergeCell ref="FC57:FD57"/>
    <mergeCell ref="FK57:FL57"/>
    <mergeCell ref="FM57:FN57"/>
    <mergeCell ref="FU57:FV57"/>
    <mergeCell ref="FW57:FX57"/>
    <mergeCell ref="GE57:GF57"/>
    <mergeCell ref="GG57:GH57"/>
    <mergeCell ref="GO57:GP57"/>
    <mergeCell ref="GQ57:GR57"/>
    <mergeCell ref="GY57:GZ57"/>
    <mergeCell ref="HA57:HB57"/>
    <mergeCell ref="HI57:HJ57"/>
    <mergeCell ref="HK57:HL57"/>
    <mergeCell ref="HS57:HT57"/>
    <mergeCell ref="HU57:HV57"/>
    <mergeCell ref="IC57:ID57"/>
    <mergeCell ref="IE57:IF57"/>
    <mergeCell ref="IM57:IN57"/>
    <mergeCell ref="IO57:IP57"/>
    <mergeCell ref="IC55:ID55"/>
    <mergeCell ref="IE55:IF55"/>
    <mergeCell ref="IM55:IN55"/>
    <mergeCell ref="IO55:IP55"/>
    <mergeCell ref="EQ56:ER56"/>
    <mergeCell ref="ES56:ET56"/>
    <mergeCell ref="FA56:FB56"/>
    <mergeCell ref="FC56:FD56"/>
    <mergeCell ref="FK56:FL56"/>
    <mergeCell ref="FM56:FN56"/>
    <mergeCell ref="FU56:FV56"/>
    <mergeCell ref="FW56:FX56"/>
    <mergeCell ref="GE56:GF56"/>
    <mergeCell ref="GG56:GH56"/>
    <mergeCell ref="GO56:GP56"/>
    <mergeCell ref="GQ56:GR56"/>
    <mergeCell ref="GY56:GZ56"/>
    <mergeCell ref="HA56:HB56"/>
    <mergeCell ref="HI56:HJ56"/>
    <mergeCell ref="HK56:HL56"/>
    <mergeCell ref="HS56:HT56"/>
    <mergeCell ref="HU56:HV56"/>
    <mergeCell ref="IC56:ID56"/>
    <mergeCell ref="IE56:IF56"/>
    <mergeCell ref="HW54:HW56"/>
    <mergeCell ref="IC54:ID54"/>
    <mergeCell ref="IE54:IF54"/>
    <mergeCell ref="EQ55:ER55"/>
    <mergeCell ref="ES55:ET55"/>
    <mergeCell ref="FA55:FB55"/>
    <mergeCell ref="FC55:FD55"/>
    <mergeCell ref="FK55:FL55"/>
    <mergeCell ref="FM55:FN55"/>
    <mergeCell ref="FU55:FV55"/>
    <mergeCell ref="FW55:FX55"/>
    <mergeCell ref="GE55:GF55"/>
    <mergeCell ref="GG55:GH55"/>
    <mergeCell ref="GO55:GP55"/>
    <mergeCell ref="GQ55:GR55"/>
    <mergeCell ref="GY55:GZ55"/>
    <mergeCell ref="HA55:HB55"/>
    <mergeCell ref="HI55:HJ55"/>
    <mergeCell ref="HK55:HL55"/>
    <mergeCell ref="HS55:HT55"/>
    <mergeCell ref="HU55:HV55"/>
    <mergeCell ref="GS54:GS56"/>
    <mergeCell ref="GY54:GZ54"/>
    <mergeCell ref="HA54:HB54"/>
    <mergeCell ref="HC54:HC56"/>
    <mergeCell ref="HI54:HJ54"/>
    <mergeCell ref="HK54:HL54"/>
    <mergeCell ref="HM54:HM56"/>
    <mergeCell ref="HS54:HT54"/>
    <mergeCell ref="HU54:HV54"/>
    <mergeCell ref="FO54:FO56"/>
    <mergeCell ref="FU54:FV54"/>
    <mergeCell ref="FW54:FX54"/>
    <mergeCell ref="FY54:FY56"/>
    <mergeCell ref="GE54:GF54"/>
    <mergeCell ref="GG54:GH54"/>
    <mergeCell ref="GI54:GI56"/>
    <mergeCell ref="GO54:GP54"/>
    <mergeCell ref="GQ54:GR54"/>
    <mergeCell ref="EK54:EK56"/>
    <mergeCell ref="EQ54:ER54"/>
    <mergeCell ref="ES54:ET54"/>
    <mergeCell ref="EU54:EU56"/>
    <mergeCell ref="FA54:FB54"/>
    <mergeCell ref="FC54:FD54"/>
    <mergeCell ref="FE54:FE56"/>
    <mergeCell ref="FK54:FL54"/>
    <mergeCell ref="FM54:FN54"/>
    <mergeCell ref="IO52:IP52"/>
    <mergeCell ref="EQ53:ER53"/>
    <mergeCell ref="ES53:ET53"/>
    <mergeCell ref="FA53:FB53"/>
    <mergeCell ref="FC53:FD53"/>
    <mergeCell ref="FK53:FL53"/>
    <mergeCell ref="FM53:FN53"/>
    <mergeCell ref="FU53:FV53"/>
    <mergeCell ref="FW53:FX53"/>
    <mergeCell ref="GE53:GF53"/>
    <mergeCell ref="GG53:GH53"/>
    <mergeCell ref="GO53:GP53"/>
    <mergeCell ref="GQ53:GR53"/>
    <mergeCell ref="GY53:GZ53"/>
    <mergeCell ref="HA53:HB53"/>
    <mergeCell ref="HI53:HJ53"/>
    <mergeCell ref="HK53:HL53"/>
    <mergeCell ref="HS53:HT53"/>
    <mergeCell ref="HU53:HV53"/>
    <mergeCell ref="IC53:ID53"/>
    <mergeCell ref="IE53:IF53"/>
    <mergeCell ref="IM53:IN53"/>
    <mergeCell ref="IO53:IP53"/>
    <mergeCell ref="EQ50:ER50"/>
    <mergeCell ref="ES50:ET50"/>
    <mergeCell ref="FA50:FB50"/>
    <mergeCell ref="FC50:FD50"/>
    <mergeCell ref="FK50:FL50"/>
    <mergeCell ref="FM50:FN50"/>
    <mergeCell ref="FU50:FV50"/>
    <mergeCell ref="FW50:FX50"/>
    <mergeCell ref="GG52:GH52"/>
    <mergeCell ref="GO52:GP52"/>
    <mergeCell ref="GQ52:GR52"/>
    <mergeCell ref="GY52:GZ52"/>
    <mergeCell ref="HA52:HB52"/>
    <mergeCell ref="HI52:HJ52"/>
    <mergeCell ref="HK52:HL52"/>
    <mergeCell ref="HS52:HT52"/>
    <mergeCell ref="HU52:HV52"/>
    <mergeCell ref="EQ52:ER52"/>
    <mergeCell ref="ES52:ET52"/>
    <mergeCell ref="FA52:FB52"/>
    <mergeCell ref="FC52:FD52"/>
    <mergeCell ref="FK52:FL52"/>
    <mergeCell ref="FM52:FN52"/>
    <mergeCell ref="FU52:FV52"/>
    <mergeCell ref="FW52:FX52"/>
    <mergeCell ref="GE52:GF52"/>
    <mergeCell ref="EQ51:ER51"/>
    <mergeCell ref="ES51:ET51"/>
    <mergeCell ref="FA51:FB51"/>
    <mergeCell ref="FC51:FD51"/>
    <mergeCell ref="FK51:FL51"/>
    <mergeCell ref="FM51:FN51"/>
    <mergeCell ref="FU51:FV51"/>
    <mergeCell ref="FW51:FX51"/>
    <mergeCell ref="GE51:GF51"/>
    <mergeCell ref="GG51:GH51"/>
    <mergeCell ref="GO51:GP51"/>
    <mergeCell ref="GQ51:GR51"/>
    <mergeCell ref="GY51:GZ51"/>
    <mergeCell ref="HA51:HB51"/>
    <mergeCell ref="HI51:HJ51"/>
    <mergeCell ref="HK51:HL51"/>
    <mergeCell ref="HS51:HT51"/>
    <mergeCell ref="GE50:GF50"/>
    <mergeCell ref="IC50:ID50"/>
    <mergeCell ref="IE50:IF50"/>
    <mergeCell ref="FW49:FX49"/>
    <mergeCell ref="GE49:GF49"/>
    <mergeCell ref="GG49:GH49"/>
    <mergeCell ref="GO49:GP49"/>
    <mergeCell ref="GQ49:GR49"/>
    <mergeCell ref="GY49:GZ49"/>
    <mergeCell ref="HA49:HB49"/>
    <mergeCell ref="HI49:HJ49"/>
    <mergeCell ref="HK49:HL49"/>
    <mergeCell ref="HS49:HT49"/>
    <mergeCell ref="HU49:HV49"/>
    <mergeCell ref="IC49:ID49"/>
    <mergeCell ref="IE49:IF49"/>
    <mergeCell ref="GG50:GH50"/>
    <mergeCell ref="GO50:GP50"/>
    <mergeCell ref="GQ50:GR50"/>
    <mergeCell ref="IM49:IN49"/>
    <mergeCell ref="IM50:IN50"/>
    <mergeCell ref="GY50:GZ50"/>
    <mergeCell ref="HA50:HB50"/>
    <mergeCell ref="HI50:HJ50"/>
    <mergeCell ref="HK50:HL50"/>
    <mergeCell ref="HS50:HT50"/>
    <mergeCell ref="HU50:HV50"/>
    <mergeCell ref="IO49:IP49"/>
    <mergeCell ref="HK48:HL48"/>
    <mergeCell ref="HM48:HM52"/>
    <mergeCell ref="HS48:HT48"/>
    <mergeCell ref="HU48:HV48"/>
    <mergeCell ref="HW48:HW52"/>
    <mergeCell ref="IC48:ID48"/>
    <mergeCell ref="IE48:IF48"/>
    <mergeCell ref="IG48:IG52"/>
    <mergeCell ref="IM48:IN48"/>
    <mergeCell ref="HU51:HV51"/>
    <mergeCell ref="IC51:ID51"/>
    <mergeCell ref="IE51:IF51"/>
    <mergeCell ref="IM51:IN51"/>
    <mergeCell ref="IO51:IP51"/>
    <mergeCell ref="IO47:IP47"/>
    <mergeCell ref="EK48:EK52"/>
    <mergeCell ref="EQ48:ER48"/>
    <mergeCell ref="ES48:ET48"/>
    <mergeCell ref="EU48:EU52"/>
    <mergeCell ref="FA48:FB48"/>
    <mergeCell ref="FC48:FD48"/>
    <mergeCell ref="FE48:FE52"/>
    <mergeCell ref="FK48:FL48"/>
    <mergeCell ref="FM48:FN48"/>
    <mergeCell ref="FO48:FO52"/>
    <mergeCell ref="FU48:FV48"/>
    <mergeCell ref="FW48:FX48"/>
    <mergeCell ref="FY48:FY52"/>
    <mergeCell ref="GE48:GF48"/>
    <mergeCell ref="GG48:GH48"/>
    <mergeCell ref="GI48:GI52"/>
    <mergeCell ref="GO48:GP48"/>
    <mergeCell ref="GQ48:GR48"/>
    <mergeCell ref="GS48:GS52"/>
    <mergeCell ref="GY48:GZ48"/>
    <mergeCell ref="HA48:HB48"/>
    <mergeCell ref="HC48:HC52"/>
    <mergeCell ref="HI48:HJ48"/>
    <mergeCell ref="IO48:IP48"/>
    <mergeCell ref="EQ49:ER49"/>
    <mergeCell ref="ES49:ET49"/>
    <mergeCell ref="FA49:FB49"/>
    <mergeCell ref="FC49:FD49"/>
    <mergeCell ref="FK49:FL49"/>
    <mergeCell ref="FM49:FN49"/>
    <mergeCell ref="FU49:FV49"/>
    <mergeCell ref="IE46:IF46"/>
    <mergeCell ref="IM46:IN46"/>
    <mergeCell ref="IO46:IP46"/>
    <mergeCell ref="EQ47:ER47"/>
    <mergeCell ref="ES47:ET47"/>
    <mergeCell ref="FA47:FB47"/>
    <mergeCell ref="FC47:FD47"/>
    <mergeCell ref="FK47:FL47"/>
    <mergeCell ref="FM47:FN47"/>
    <mergeCell ref="FU47:FV47"/>
    <mergeCell ref="FW47:FX47"/>
    <mergeCell ref="GE47:GF47"/>
    <mergeCell ref="GG47:GH47"/>
    <mergeCell ref="GO47:GP47"/>
    <mergeCell ref="GQ47:GR47"/>
    <mergeCell ref="GY47:GZ47"/>
    <mergeCell ref="HA47:HB47"/>
    <mergeCell ref="HI47:HJ47"/>
    <mergeCell ref="HK47:HL47"/>
    <mergeCell ref="HS47:HT47"/>
    <mergeCell ref="HU47:HV47"/>
    <mergeCell ref="IC47:ID47"/>
    <mergeCell ref="IE47:IF47"/>
    <mergeCell ref="IM47:IN47"/>
    <mergeCell ref="GG46:GH46"/>
    <mergeCell ref="GO46:GP46"/>
    <mergeCell ref="GQ46:GR46"/>
    <mergeCell ref="GY46:GZ46"/>
    <mergeCell ref="HA46:HB46"/>
    <mergeCell ref="HI46:HJ46"/>
    <mergeCell ref="HK46:HL46"/>
    <mergeCell ref="HS46:HT46"/>
    <mergeCell ref="HU46:HV46"/>
    <mergeCell ref="EQ46:ER46"/>
    <mergeCell ref="ES46:ET46"/>
    <mergeCell ref="FA46:FB46"/>
    <mergeCell ref="FC46:FD46"/>
    <mergeCell ref="FK46:FL46"/>
    <mergeCell ref="FM46:FN46"/>
    <mergeCell ref="FU46:FV46"/>
    <mergeCell ref="FW46:FX46"/>
    <mergeCell ref="GE46:GF46"/>
    <mergeCell ref="IM44:IN44"/>
    <mergeCell ref="IO44:IP44"/>
    <mergeCell ref="EQ45:ER45"/>
    <mergeCell ref="ES45:ET45"/>
    <mergeCell ref="FA45:FB45"/>
    <mergeCell ref="FC45:FD45"/>
    <mergeCell ref="FK45:FL45"/>
    <mergeCell ref="FM45:FN45"/>
    <mergeCell ref="FU45:FV45"/>
    <mergeCell ref="FW45:FX45"/>
    <mergeCell ref="GE45:GF45"/>
    <mergeCell ref="GG45:GH45"/>
    <mergeCell ref="GO45:GP45"/>
    <mergeCell ref="GQ45:GR45"/>
    <mergeCell ref="GY45:GZ45"/>
    <mergeCell ref="HA45:HB45"/>
    <mergeCell ref="HI45:HJ45"/>
    <mergeCell ref="HK45:HL45"/>
    <mergeCell ref="HS45:HT45"/>
    <mergeCell ref="HU45:HV45"/>
    <mergeCell ref="IC45:ID45"/>
    <mergeCell ref="IE45:IF45"/>
    <mergeCell ref="IM45:IN45"/>
    <mergeCell ref="IO45:IP45"/>
    <mergeCell ref="IE43:IF43"/>
    <mergeCell ref="IG43:IG46"/>
    <mergeCell ref="IM43:IN43"/>
    <mergeCell ref="IO43:IP43"/>
    <mergeCell ref="EQ44:ER44"/>
    <mergeCell ref="ES44:ET44"/>
    <mergeCell ref="FA44:FB44"/>
    <mergeCell ref="FC44:FD44"/>
    <mergeCell ref="FK44:FL44"/>
    <mergeCell ref="FM44:FN44"/>
    <mergeCell ref="FU44:FV44"/>
    <mergeCell ref="FW44:FX44"/>
    <mergeCell ref="GE44:GF44"/>
    <mergeCell ref="GG44:GH44"/>
    <mergeCell ref="GO44:GP44"/>
    <mergeCell ref="GQ44:GR44"/>
    <mergeCell ref="GY44:GZ44"/>
    <mergeCell ref="HA44:HB44"/>
    <mergeCell ref="HI44:HJ44"/>
    <mergeCell ref="HK44:HL44"/>
    <mergeCell ref="HS44:HT44"/>
    <mergeCell ref="HU44:HV44"/>
    <mergeCell ref="IC44:ID44"/>
    <mergeCell ref="IE44:IF44"/>
    <mergeCell ref="HA43:HB43"/>
    <mergeCell ref="HC43:HC46"/>
    <mergeCell ref="HI43:HJ43"/>
    <mergeCell ref="HK43:HL43"/>
    <mergeCell ref="HM43:HM46"/>
    <mergeCell ref="HS43:HT43"/>
    <mergeCell ref="HU43:HV43"/>
    <mergeCell ref="HW43:HW46"/>
    <mergeCell ref="IC43:ID43"/>
    <mergeCell ref="IC46:ID46"/>
    <mergeCell ref="IC42:ID42"/>
    <mergeCell ref="IE42:IF42"/>
    <mergeCell ref="IM42:IN42"/>
    <mergeCell ref="IO42:IP42"/>
    <mergeCell ref="EK43:EK46"/>
    <mergeCell ref="EQ43:ER43"/>
    <mergeCell ref="ES43:ET43"/>
    <mergeCell ref="EU43:EU46"/>
    <mergeCell ref="FA43:FB43"/>
    <mergeCell ref="FC43:FD43"/>
    <mergeCell ref="FE43:FE46"/>
    <mergeCell ref="FK43:FL43"/>
    <mergeCell ref="FM43:FN43"/>
    <mergeCell ref="FO43:FO46"/>
    <mergeCell ref="FU43:FV43"/>
    <mergeCell ref="FW43:FX43"/>
    <mergeCell ref="FY43:FY46"/>
    <mergeCell ref="GE43:GF43"/>
    <mergeCell ref="GG43:GH43"/>
    <mergeCell ref="GI43:GI46"/>
    <mergeCell ref="GO43:GP43"/>
    <mergeCell ref="GQ43:GR43"/>
    <mergeCell ref="GS43:GS46"/>
    <mergeCell ref="GY43:GZ43"/>
    <mergeCell ref="GG42:GH42"/>
    <mergeCell ref="GO42:GP42"/>
    <mergeCell ref="GQ42:GR42"/>
    <mergeCell ref="GY42:GZ42"/>
    <mergeCell ref="HA42:HB42"/>
    <mergeCell ref="HI42:HJ42"/>
    <mergeCell ref="HK42:HL42"/>
    <mergeCell ref="HS42:HT42"/>
    <mergeCell ref="HU42:HV42"/>
    <mergeCell ref="EQ42:ER42"/>
    <mergeCell ref="ES42:ET42"/>
    <mergeCell ref="FA42:FB42"/>
    <mergeCell ref="FC42:FD42"/>
    <mergeCell ref="FK42:FL42"/>
    <mergeCell ref="FM42:FN42"/>
    <mergeCell ref="FU42:FV42"/>
    <mergeCell ref="FW42:FX42"/>
    <mergeCell ref="GE42:GF42"/>
    <mergeCell ref="AA66:AB66"/>
    <mergeCell ref="AC66:AD66"/>
    <mergeCell ref="AA63:AB63"/>
    <mergeCell ref="AC63:AD63"/>
    <mergeCell ref="AA64:AB64"/>
    <mergeCell ref="AC64:AD64"/>
    <mergeCell ref="AA65:AB65"/>
    <mergeCell ref="AC65:AD65"/>
    <mergeCell ref="AA60:AB60"/>
    <mergeCell ref="AC60:AD60"/>
    <mergeCell ref="AA61:AB61"/>
    <mergeCell ref="AC61:AD61"/>
    <mergeCell ref="AA62:AB62"/>
    <mergeCell ref="AC62:AD62"/>
    <mergeCell ref="AA57:AB57"/>
    <mergeCell ref="AC57:AD57"/>
    <mergeCell ref="AA58:AB58"/>
    <mergeCell ref="AC58:AD58"/>
    <mergeCell ref="AA59:AB59"/>
    <mergeCell ref="AC59:AD59"/>
    <mergeCell ref="AA53:AB53"/>
    <mergeCell ref="AC53:AD53"/>
    <mergeCell ref="U54:U56"/>
    <mergeCell ref="AA54:AB54"/>
    <mergeCell ref="AC54:AD54"/>
    <mergeCell ref="AA55:AB55"/>
    <mergeCell ref="AC55:AD55"/>
    <mergeCell ref="AA56:AB56"/>
    <mergeCell ref="AC56:AD56"/>
    <mergeCell ref="AA47:AB47"/>
    <mergeCell ref="AC47:AD47"/>
    <mergeCell ref="U48:U52"/>
    <mergeCell ref="AA48:AB48"/>
    <mergeCell ref="AC48:AD48"/>
    <mergeCell ref="AA49:AB49"/>
    <mergeCell ref="AC49:AD49"/>
    <mergeCell ref="AA50:AB50"/>
    <mergeCell ref="AC50:AD50"/>
    <mergeCell ref="AA51:AB51"/>
    <mergeCell ref="AC51:AD51"/>
    <mergeCell ref="AA52:AB52"/>
    <mergeCell ref="AC52:AD52"/>
    <mergeCell ref="AA42:AB42"/>
    <mergeCell ref="AC42:AD42"/>
    <mergeCell ref="U43:U46"/>
    <mergeCell ref="AA43:AB43"/>
    <mergeCell ref="AC43:AD43"/>
    <mergeCell ref="AA44:AB44"/>
    <mergeCell ref="AC44:AD44"/>
    <mergeCell ref="AA45:AB45"/>
    <mergeCell ref="AC45:AD45"/>
    <mergeCell ref="AA46:AB46"/>
    <mergeCell ref="AC46:AD46"/>
    <mergeCell ref="Q65:R65"/>
    <mergeCell ref="S65:T65"/>
    <mergeCell ref="Q66:R66"/>
    <mergeCell ref="S66:T66"/>
    <mergeCell ref="A48:A52"/>
    <mergeCell ref="A54:A56"/>
    <mergeCell ref="K48:K52"/>
    <mergeCell ref="K54:K56"/>
    <mergeCell ref="Q62:R62"/>
    <mergeCell ref="S62:T62"/>
    <mergeCell ref="Q63:R63"/>
    <mergeCell ref="S63:T63"/>
    <mergeCell ref="Q64:R64"/>
    <mergeCell ref="S64:T64"/>
    <mergeCell ref="Q59:R59"/>
    <mergeCell ref="S59:T59"/>
    <mergeCell ref="Q60:R60"/>
    <mergeCell ref="S60:T60"/>
    <mergeCell ref="Q61:R61"/>
    <mergeCell ref="S61:T61"/>
    <mergeCell ref="G64:H64"/>
    <mergeCell ref="G65:H65"/>
    <mergeCell ref="G66:H66"/>
    <mergeCell ref="I59:J59"/>
    <mergeCell ref="I60:J60"/>
    <mergeCell ref="I61:J61"/>
    <mergeCell ref="I62:J62"/>
    <mergeCell ref="I63:J63"/>
    <mergeCell ref="I64:J64"/>
    <mergeCell ref="I65:J65"/>
    <mergeCell ref="I66:J66"/>
    <mergeCell ref="G59:H59"/>
    <mergeCell ref="G60:H60"/>
    <mergeCell ref="G61:H61"/>
    <mergeCell ref="G62:H62"/>
    <mergeCell ref="G63:H63"/>
    <mergeCell ref="Q57:R57"/>
    <mergeCell ref="S57:T57"/>
    <mergeCell ref="Q42:R42"/>
    <mergeCell ref="S42:T42"/>
    <mergeCell ref="G58:H58"/>
    <mergeCell ref="I58:J58"/>
    <mergeCell ref="Q58:R58"/>
    <mergeCell ref="S58:T58"/>
    <mergeCell ref="Q52:R52"/>
    <mergeCell ref="S52:T52"/>
    <mergeCell ref="Q53:R53"/>
    <mergeCell ref="S53:T53"/>
    <mergeCell ref="Q54:R54"/>
    <mergeCell ref="S54:T54"/>
    <mergeCell ref="Q55:R55"/>
    <mergeCell ref="S55:T55"/>
    <mergeCell ref="Q56:R56"/>
    <mergeCell ref="S56:T56"/>
    <mergeCell ref="Q49:R49"/>
    <mergeCell ref="S49:T49"/>
    <mergeCell ref="Q50:R50"/>
    <mergeCell ref="S50:T50"/>
    <mergeCell ref="Q51:R51"/>
    <mergeCell ref="S51:T51"/>
    <mergeCell ref="G57:H57"/>
    <mergeCell ref="I57:J57"/>
    <mergeCell ref="K43:K46"/>
    <mergeCell ref="Q43:R43"/>
    <mergeCell ref="S43:T43"/>
    <mergeCell ref="Q44:R44"/>
    <mergeCell ref="S44:T44"/>
    <mergeCell ref="Q45:R45"/>
    <mergeCell ref="S45:T45"/>
    <mergeCell ref="Q46:R46"/>
    <mergeCell ref="S46:T46"/>
    <mergeCell ref="Q47:R47"/>
    <mergeCell ref="S47:T47"/>
    <mergeCell ref="Q48:R48"/>
    <mergeCell ref="S48:T48"/>
    <mergeCell ref="I52:J52"/>
    <mergeCell ref="G53:H53"/>
    <mergeCell ref="G54:H54"/>
    <mergeCell ref="G55:H55"/>
    <mergeCell ref="G56:H56"/>
    <mergeCell ref="I53:J53"/>
    <mergeCell ref="I54:J54"/>
    <mergeCell ref="I55:J55"/>
    <mergeCell ref="I56:J56"/>
    <mergeCell ref="G52:H52"/>
    <mergeCell ref="A43:A46"/>
    <mergeCell ref="G43:H43"/>
    <mergeCell ref="I43:J43"/>
    <mergeCell ref="G44:H44"/>
    <mergeCell ref="G45:H45"/>
    <mergeCell ref="G46:H46"/>
    <mergeCell ref="I44:J44"/>
    <mergeCell ref="I45:J45"/>
    <mergeCell ref="I46:J46"/>
    <mergeCell ref="I47:J47"/>
    <mergeCell ref="I48:J48"/>
    <mergeCell ref="I49:J49"/>
    <mergeCell ref="I50:J50"/>
    <mergeCell ref="I51:J51"/>
    <mergeCell ref="G47:H47"/>
    <mergeCell ref="G48:H48"/>
    <mergeCell ref="G49:H49"/>
    <mergeCell ref="G50:H50"/>
    <mergeCell ref="G51:H51"/>
    <mergeCell ref="I36:J36"/>
    <mergeCell ref="I37:J37"/>
    <mergeCell ref="I38:J38"/>
    <mergeCell ref="I39:J39"/>
    <mergeCell ref="I41:J41"/>
    <mergeCell ref="G36:H36"/>
    <mergeCell ref="G37:H37"/>
    <mergeCell ref="G38:H38"/>
    <mergeCell ref="G39:H39"/>
    <mergeCell ref="G41:H41"/>
    <mergeCell ref="G33:H33"/>
    <mergeCell ref="I33:J33"/>
    <mergeCell ref="G34:H34"/>
    <mergeCell ref="I34:J34"/>
    <mergeCell ref="G35:H35"/>
    <mergeCell ref="I35:J35"/>
    <mergeCell ref="I40:J40"/>
    <mergeCell ref="G6:H6"/>
    <mergeCell ref="I6:J6"/>
    <mergeCell ref="G9:H9"/>
    <mergeCell ref="I9:J9"/>
    <mergeCell ref="G30:H30"/>
    <mergeCell ref="I30:J30"/>
    <mergeCell ref="G10:H10"/>
    <mergeCell ref="I10:J10"/>
    <mergeCell ref="G11:H11"/>
    <mergeCell ref="I11:J11"/>
    <mergeCell ref="G16:H16"/>
    <mergeCell ref="I16:J16"/>
    <mergeCell ref="G21:H21"/>
    <mergeCell ref="I20:J20"/>
    <mergeCell ref="I21:J21"/>
    <mergeCell ref="G17:H17"/>
    <mergeCell ref="I17:J17"/>
    <mergeCell ref="I18:J18"/>
    <mergeCell ref="G19:H19"/>
    <mergeCell ref="I19:J19"/>
    <mergeCell ref="G20:H20"/>
    <mergeCell ref="I22:J22"/>
    <mergeCell ref="AK42:AL42"/>
    <mergeCell ref="AM42:AN42"/>
    <mergeCell ref="AU42:AV42"/>
    <mergeCell ref="AW42:AX42"/>
    <mergeCell ref="AE43:AE46"/>
    <mergeCell ref="AK43:AL43"/>
    <mergeCell ref="AM43:AN43"/>
    <mergeCell ref="AO43:AO46"/>
    <mergeCell ref="AU43:AV43"/>
    <mergeCell ref="AW43:AX43"/>
    <mergeCell ref="AK44:AL44"/>
    <mergeCell ref="AM44:AN44"/>
    <mergeCell ref="AU44:AV44"/>
    <mergeCell ref="AW44:AX44"/>
    <mergeCell ref="AK45:AL45"/>
    <mergeCell ref="AM45:AN45"/>
    <mergeCell ref="AU45:AV45"/>
    <mergeCell ref="AW45:AX45"/>
    <mergeCell ref="AK46:AL46"/>
    <mergeCell ref="AM46:AN46"/>
    <mergeCell ref="AU46:AV46"/>
    <mergeCell ref="AW46:AX46"/>
    <mergeCell ref="AK47:AL47"/>
    <mergeCell ref="AM47:AN47"/>
    <mergeCell ref="AU47:AV47"/>
    <mergeCell ref="AW47:AX47"/>
    <mergeCell ref="AE48:AE52"/>
    <mergeCell ref="AK48:AL48"/>
    <mergeCell ref="AM48:AN48"/>
    <mergeCell ref="AO48:AO52"/>
    <mergeCell ref="AU48:AV48"/>
    <mergeCell ref="AW48:AX48"/>
    <mergeCell ref="AK49:AL49"/>
    <mergeCell ref="AM49:AN49"/>
    <mergeCell ref="AU49:AV49"/>
    <mergeCell ref="AW49:AX49"/>
    <mergeCell ref="AK50:AL50"/>
    <mergeCell ref="AM50:AN50"/>
    <mergeCell ref="AU50:AV50"/>
    <mergeCell ref="AW50:AX50"/>
    <mergeCell ref="AK51:AL51"/>
    <mergeCell ref="AM51:AN51"/>
    <mergeCell ref="AU51:AV51"/>
    <mergeCell ref="AW51:AX51"/>
    <mergeCell ref="AK52:AL52"/>
    <mergeCell ref="AM52:AN52"/>
    <mergeCell ref="AU52:AV52"/>
    <mergeCell ref="AW52:AX52"/>
    <mergeCell ref="AK53:AL53"/>
    <mergeCell ref="AM53:AN53"/>
    <mergeCell ref="AU53:AV53"/>
    <mergeCell ref="AW53:AX53"/>
    <mergeCell ref="AE54:AE56"/>
    <mergeCell ref="AK54:AL54"/>
    <mergeCell ref="AM54:AN54"/>
    <mergeCell ref="AO54:AO56"/>
    <mergeCell ref="AU54:AV54"/>
    <mergeCell ref="AW54:AX54"/>
    <mergeCell ref="AK55:AL55"/>
    <mergeCell ref="AM55:AN55"/>
    <mergeCell ref="AU55:AV55"/>
    <mergeCell ref="AW55:AX55"/>
    <mergeCell ref="AK56:AL56"/>
    <mergeCell ref="AM56:AN56"/>
    <mergeCell ref="AU56:AV56"/>
    <mergeCell ref="AW56:AX56"/>
    <mergeCell ref="AK57:AL57"/>
    <mergeCell ref="AM57:AN57"/>
    <mergeCell ref="AU57:AV57"/>
    <mergeCell ref="AW57:AX57"/>
    <mergeCell ref="AK58:AL58"/>
    <mergeCell ref="AM58:AN58"/>
    <mergeCell ref="AU58:AV58"/>
    <mergeCell ref="AW58:AX58"/>
    <mergeCell ref="AK59:AL59"/>
    <mergeCell ref="AM59:AN59"/>
    <mergeCell ref="AU59:AV59"/>
    <mergeCell ref="AW59:AX59"/>
    <mergeCell ref="AK60:AL60"/>
    <mergeCell ref="AM60:AN60"/>
    <mergeCell ref="AU60:AV60"/>
    <mergeCell ref="AW60:AX60"/>
    <mergeCell ref="AK61:AL61"/>
    <mergeCell ref="AM61:AN61"/>
    <mergeCell ref="AU61:AV61"/>
    <mergeCell ref="AW61:AX61"/>
    <mergeCell ref="AK62:AL62"/>
    <mergeCell ref="AM62:AN62"/>
    <mergeCell ref="AU62:AV62"/>
    <mergeCell ref="AW62:AX62"/>
    <mergeCell ref="AK63:AL63"/>
    <mergeCell ref="AM63:AN63"/>
    <mergeCell ref="AU63:AV63"/>
    <mergeCell ref="AW63:AX63"/>
    <mergeCell ref="AK64:AL64"/>
    <mergeCell ref="AM64:AN64"/>
    <mergeCell ref="AU64:AV64"/>
    <mergeCell ref="AW64:AX64"/>
    <mergeCell ref="AK65:AL65"/>
    <mergeCell ref="AM65:AN65"/>
    <mergeCell ref="AU65:AV65"/>
    <mergeCell ref="AW65:AX65"/>
    <mergeCell ref="AK66:AL66"/>
    <mergeCell ref="AM66:AN66"/>
    <mergeCell ref="AU66:AV66"/>
    <mergeCell ref="AW66:AX66"/>
    <mergeCell ref="BE51:BF51"/>
    <mergeCell ref="BG51:BH51"/>
    <mergeCell ref="BO51:BP51"/>
    <mergeCell ref="BQ51:BR51"/>
    <mergeCell ref="BE52:BF52"/>
    <mergeCell ref="BG52:BH52"/>
    <mergeCell ref="BO52:BP52"/>
    <mergeCell ref="BQ52:BR52"/>
    <mergeCell ref="BE42:BF42"/>
    <mergeCell ref="BG42:BH42"/>
    <mergeCell ref="BO42:BP42"/>
    <mergeCell ref="BQ42:BR42"/>
    <mergeCell ref="AY43:AY46"/>
    <mergeCell ref="BE43:BF43"/>
    <mergeCell ref="BG43:BH43"/>
    <mergeCell ref="BI43:BI46"/>
    <mergeCell ref="BO43:BP43"/>
    <mergeCell ref="BQ43:BR43"/>
    <mergeCell ref="BE44:BF44"/>
    <mergeCell ref="BG44:BH44"/>
    <mergeCell ref="BO44:BP44"/>
    <mergeCell ref="BQ44:BR44"/>
    <mergeCell ref="BE45:BF45"/>
    <mergeCell ref="BG45:BH45"/>
    <mergeCell ref="BO45:BP45"/>
    <mergeCell ref="BQ45:BR45"/>
    <mergeCell ref="BE46:BF46"/>
    <mergeCell ref="BG46:BH46"/>
    <mergeCell ref="BO46:BP46"/>
    <mergeCell ref="BQ46:BR46"/>
    <mergeCell ref="AY54:AY56"/>
    <mergeCell ref="BE54:BF54"/>
    <mergeCell ref="BG54:BH54"/>
    <mergeCell ref="BI54:BI56"/>
    <mergeCell ref="BO54:BP54"/>
    <mergeCell ref="BQ54:BR54"/>
    <mergeCell ref="BE55:BF55"/>
    <mergeCell ref="BG55:BH55"/>
    <mergeCell ref="BO55:BP55"/>
    <mergeCell ref="BQ55:BR55"/>
    <mergeCell ref="BE56:BF56"/>
    <mergeCell ref="BG56:BH56"/>
    <mergeCell ref="BO56:BP56"/>
    <mergeCell ref="BQ56:BR56"/>
    <mergeCell ref="BE47:BF47"/>
    <mergeCell ref="BG47:BH47"/>
    <mergeCell ref="BO47:BP47"/>
    <mergeCell ref="BQ47:BR47"/>
    <mergeCell ref="AY48:AY52"/>
    <mergeCell ref="BE48:BF48"/>
    <mergeCell ref="BG48:BH48"/>
    <mergeCell ref="BI48:BI52"/>
    <mergeCell ref="BO48:BP48"/>
    <mergeCell ref="BQ48:BR48"/>
    <mergeCell ref="BE49:BF49"/>
    <mergeCell ref="BG49:BH49"/>
    <mergeCell ref="BO49:BP49"/>
    <mergeCell ref="BQ49:BR49"/>
    <mergeCell ref="BE50:BF50"/>
    <mergeCell ref="BG50:BH50"/>
    <mergeCell ref="BO50:BP50"/>
    <mergeCell ref="BQ50:BR50"/>
    <mergeCell ref="BY53:BZ53"/>
    <mergeCell ref="CA53:CB53"/>
    <mergeCell ref="BY54:BZ54"/>
    <mergeCell ref="CA54:CB54"/>
    <mergeCell ref="BY55:BZ55"/>
    <mergeCell ref="CA55:CB55"/>
    <mergeCell ref="BY56:BZ56"/>
    <mergeCell ref="CA56:CB56"/>
    <mergeCell ref="BE57:BF57"/>
    <mergeCell ref="BG57:BH57"/>
    <mergeCell ref="BO57:BP57"/>
    <mergeCell ref="BQ57:BR57"/>
    <mergeCell ref="BE58:BF58"/>
    <mergeCell ref="BG58:BH58"/>
    <mergeCell ref="BO58:BP58"/>
    <mergeCell ref="BQ58:BR58"/>
    <mergeCell ref="BE59:BF59"/>
    <mergeCell ref="BG59:BH59"/>
    <mergeCell ref="BO59:BP59"/>
    <mergeCell ref="BQ59:BR59"/>
    <mergeCell ref="BE53:BF53"/>
    <mergeCell ref="BG53:BH53"/>
    <mergeCell ref="BO53:BP53"/>
    <mergeCell ref="BQ53:BR53"/>
    <mergeCell ref="CA57:CB57"/>
    <mergeCell ref="CA58:CB58"/>
    <mergeCell ref="CA59:CB59"/>
    <mergeCell ref="BY47:BZ47"/>
    <mergeCell ref="CA47:CB47"/>
    <mergeCell ref="BY48:BZ48"/>
    <mergeCell ref="CA48:CB48"/>
    <mergeCell ref="BY49:BZ49"/>
    <mergeCell ref="CA49:CB49"/>
    <mergeCell ref="BY50:BZ50"/>
    <mergeCell ref="CA50:CB50"/>
    <mergeCell ref="BY51:BZ51"/>
    <mergeCell ref="CA51:CB51"/>
    <mergeCell ref="BY42:BZ42"/>
    <mergeCell ref="CA42:CB42"/>
    <mergeCell ref="BY43:BZ43"/>
    <mergeCell ref="CA43:CB43"/>
    <mergeCell ref="BY44:BZ44"/>
    <mergeCell ref="CA44:CB44"/>
    <mergeCell ref="BY45:BZ45"/>
    <mergeCell ref="CA45:CB45"/>
    <mergeCell ref="BY46:BZ46"/>
    <mergeCell ref="CA46:CB46"/>
    <mergeCell ref="BE66:BF66"/>
    <mergeCell ref="BG66:BH66"/>
    <mergeCell ref="BO66:BP66"/>
    <mergeCell ref="BQ66:BR66"/>
    <mergeCell ref="BE63:BF63"/>
    <mergeCell ref="BG63:BH63"/>
    <mergeCell ref="BO63:BP63"/>
    <mergeCell ref="BQ63:BR63"/>
    <mergeCell ref="BE64:BF64"/>
    <mergeCell ref="BG64:BH64"/>
    <mergeCell ref="BO64:BP64"/>
    <mergeCell ref="BQ64:BR64"/>
    <mergeCell ref="BE65:BF65"/>
    <mergeCell ref="BG65:BH65"/>
    <mergeCell ref="BO65:BP65"/>
    <mergeCell ref="BQ65:BR65"/>
    <mergeCell ref="BY57:BZ57"/>
    <mergeCell ref="BY66:BZ66"/>
    <mergeCell ref="BE62:BF62"/>
    <mergeCell ref="BG62:BH62"/>
    <mergeCell ref="BO62:BP62"/>
    <mergeCell ref="BQ62:BR62"/>
    <mergeCell ref="BE60:BF60"/>
    <mergeCell ref="BG60:BH60"/>
    <mergeCell ref="BO60:BP60"/>
    <mergeCell ref="BQ60:BR60"/>
    <mergeCell ref="BE61:BF61"/>
    <mergeCell ref="BG61:BH61"/>
    <mergeCell ref="BO61:BP61"/>
    <mergeCell ref="BQ61:BR61"/>
    <mergeCell ref="BY58:BZ58"/>
    <mergeCell ref="BY59:BZ59"/>
    <mergeCell ref="BY60:BZ60"/>
    <mergeCell ref="CA60:CB60"/>
    <mergeCell ref="BY61:BZ61"/>
    <mergeCell ref="CA61:CB61"/>
    <mergeCell ref="BY62:BZ62"/>
    <mergeCell ref="CA62:CB62"/>
    <mergeCell ref="BY63:BZ63"/>
    <mergeCell ref="CA63:CB63"/>
    <mergeCell ref="BY64:BZ64"/>
    <mergeCell ref="CA64:CB64"/>
    <mergeCell ref="BY65:BZ65"/>
    <mergeCell ref="CA65:CB65"/>
    <mergeCell ref="CA66:CB66"/>
    <mergeCell ref="DY42:DZ42"/>
    <mergeCell ref="EG42:EH42"/>
    <mergeCell ref="EI42:EJ42"/>
    <mergeCell ref="CI42:CJ42"/>
    <mergeCell ref="CK42:CL42"/>
    <mergeCell ref="CS42:CT42"/>
    <mergeCell ref="CU42:CV42"/>
    <mergeCell ref="DC42:DD42"/>
    <mergeCell ref="DE42:DF42"/>
    <mergeCell ref="DM42:DN42"/>
    <mergeCell ref="DO42:DP42"/>
    <mergeCell ref="DW42:DX42"/>
    <mergeCell ref="DY44:DZ44"/>
    <mergeCell ref="EG44:EH44"/>
    <mergeCell ref="EI44:EJ44"/>
    <mergeCell ref="EG46:EH46"/>
    <mergeCell ref="EI46:EJ46"/>
    <mergeCell ref="EG45:EH45"/>
    <mergeCell ref="EI45:EJ45"/>
    <mergeCell ref="BS43:BS46"/>
    <mergeCell ref="CC43:CC46"/>
    <mergeCell ref="CI43:CJ43"/>
    <mergeCell ref="CK43:CL43"/>
    <mergeCell ref="CM43:CM46"/>
    <mergeCell ref="CS43:CT43"/>
    <mergeCell ref="CU43:CV43"/>
    <mergeCell ref="CW43:CW46"/>
    <mergeCell ref="DC43:DD43"/>
    <mergeCell ref="DE43:DF43"/>
    <mergeCell ref="DG43:DG46"/>
    <mergeCell ref="DM43:DN43"/>
    <mergeCell ref="DO43:DP43"/>
    <mergeCell ref="DQ43:DQ46"/>
    <mergeCell ref="DW43:DX43"/>
    <mergeCell ref="DY43:DZ43"/>
    <mergeCell ref="DW44:DX44"/>
    <mergeCell ref="DY46:DZ46"/>
    <mergeCell ref="CI45:CJ45"/>
    <mergeCell ref="CK45:CL45"/>
    <mergeCell ref="CS45:CT45"/>
    <mergeCell ref="CU45:CV45"/>
    <mergeCell ref="DC45:DD45"/>
    <mergeCell ref="DE45:DF45"/>
    <mergeCell ref="DM45:DN45"/>
    <mergeCell ref="DO45:DP45"/>
    <mergeCell ref="DW45:DX45"/>
    <mergeCell ref="DY45:DZ45"/>
    <mergeCell ref="CI46:CJ46"/>
    <mergeCell ref="CK46:CL46"/>
    <mergeCell ref="CS46:CT46"/>
    <mergeCell ref="CU46:CV46"/>
    <mergeCell ref="DC46:DD46"/>
    <mergeCell ref="DE46:DF46"/>
    <mergeCell ref="DM46:DN46"/>
    <mergeCell ref="DO46:DP46"/>
    <mergeCell ref="DW46:DX46"/>
    <mergeCell ref="DY47:DZ47"/>
    <mergeCell ref="EG47:EH47"/>
    <mergeCell ref="EI47:EJ47"/>
    <mergeCell ref="CI47:CJ47"/>
    <mergeCell ref="CK47:CL47"/>
    <mergeCell ref="CS47:CT47"/>
    <mergeCell ref="CU47:CV47"/>
    <mergeCell ref="DC47:DD47"/>
    <mergeCell ref="DE47:DF47"/>
    <mergeCell ref="DM47:DN47"/>
    <mergeCell ref="DO47:DP47"/>
    <mergeCell ref="DW47:DX47"/>
    <mergeCell ref="DY49:DZ49"/>
    <mergeCell ref="EG49:EH49"/>
    <mergeCell ref="EI49:EJ49"/>
    <mergeCell ref="EG48:EH48"/>
    <mergeCell ref="EI48:EJ48"/>
    <mergeCell ref="EA43:EA46"/>
    <mergeCell ref="EG43:EH43"/>
    <mergeCell ref="EI43:EJ43"/>
    <mergeCell ref="CI44:CJ44"/>
    <mergeCell ref="CK44:CL44"/>
    <mergeCell ref="CS44:CT44"/>
    <mergeCell ref="CU44:CV44"/>
    <mergeCell ref="DC44:DD44"/>
    <mergeCell ref="DE44:DF44"/>
    <mergeCell ref="DM44:DN44"/>
    <mergeCell ref="DO44:DP44"/>
    <mergeCell ref="BS48:BS52"/>
    <mergeCell ref="CC48:CC52"/>
    <mergeCell ref="CI48:CJ48"/>
    <mergeCell ref="CK48:CL48"/>
    <mergeCell ref="CM48:CM52"/>
    <mergeCell ref="CS48:CT48"/>
    <mergeCell ref="CU48:CV48"/>
    <mergeCell ref="CW48:CW52"/>
    <mergeCell ref="DC48:DD48"/>
    <mergeCell ref="DE48:DF48"/>
    <mergeCell ref="DG48:DG52"/>
    <mergeCell ref="DM48:DN48"/>
    <mergeCell ref="DO48:DP48"/>
    <mergeCell ref="DQ48:DQ52"/>
    <mergeCell ref="DW48:DX48"/>
    <mergeCell ref="DY48:DZ48"/>
    <mergeCell ref="EA48:EA52"/>
    <mergeCell ref="BY52:BZ52"/>
    <mergeCell ref="CA52:CB52"/>
    <mergeCell ref="CI49:CJ49"/>
    <mergeCell ref="CK49:CL49"/>
    <mergeCell ref="CS49:CT49"/>
    <mergeCell ref="CU49:CV49"/>
    <mergeCell ref="DC49:DD49"/>
    <mergeCell ref="DE49:DF49"/>
    <mergeCell ref="DM49:DN49"/>
    <mergeCell ref="DO49:DP49"/>
    <mergeCell ref="DW49:DX49"/>
    <mergeCell ref="DY51:DZ51"/>
    <mergeCell ref="DY52:DZ52"/>
    <mergeCell ref="EG51:EH51"/>
    <mergeCell ref="EI51:EJ51"/>
    <mergeCell ref="CI50:CJ50"/>
    <mergeCell ref="CK50:CL50"/>
    <mergeCell ref="CS50:CT50"/>
    <mergeCell ref="CU50:CV50"/>
    <mergeCell ref="DC50:DD50"/>
    <mergeCell ref="DE50:DF50"/>
    <mergeCell ref="DM50:DN50"/>
    <mergeCell ref="DO50:DP50"/>
    <mergeCell ref="DW50:DX50"/>
    <mergeCell ref="DY50:DZ50"/>
    <mergeCell ref="EG50:EH50"/>
    <mergeCell ref="EI50:EJ50"/>
    <mergeCell ref="CI51:CJ51"/>
    <mergeCell ref="CK51:CL51"/>
    <mergeCell ref="CS51:CT51"/>
    <mergeCell ref="CU51:CV51"/>
    <mergeCell ref="DC51:DD51"/>
    <mergeCell ref="DE51:DF51"/>
    <mergeCell ref="DM51:DN51"/>
    <mergeCell ref="DO51:DP51"/>
    <mergeCell ref="DW51:DX51"/>
    <mergeCell ref="EG52:EH52"/>
    <mergeCell ref="EI52:EJ52"/>
    <mergeCell ref="CI52:CJ52"/>
    <mergeCell ref="CK52:CL52"/>
    <mergeCell ref="CS52:CT52"/>
    <mergeCell ref="CU52:CV52"/>
    <mergeCell ref="DC52:DD52"/>
    <mergeCell ref="DE52:DF52"/>
    <mergeCell ref="DM52:DN52"/>
    <mergeCell ref="DO52:DP52"/>
    <mergeCell ref="DW52:DX52"/>
    <mergeCell ref="EI54:EJ54"/>
    <mergeCell ref="CI53:CJ53"/>
    <mergeCell ref="CK53:CL53"/>
    <mergeCell ref="CS53:CT53"/>
    <mergeCell ref="CU53:CV53"/>
    <mergeCell ref="DC53:DD53"/>
    <mergeCell ref="DE53:DF53"/>
    <mergeCell ref="DM53:DN53"/>
    <mergeCell ref="DO53:DP53"/>
    <mergeCell ref="DW53:DX53"/>
    <mergeCell ref="DY53:DZ53"/>
    <mergeCell ref="EG53:EH53"/>
    <mergeCell ref="EI53:EJ53"/>
    <mergeCell ref="DE54:DF54"/>
    <mergeCell ref="DG54:DG56"/>
    <mergeCell ref="DM54:DN54"/>
    <mergeCell ref="DO54:DP54"/>
    <mergeCell ref="DQ54:DQ56"/>
    <mergeCell ref="DW54:DX54"/>
    <mergeCell ref="DY54:DZ54"/>
    <mergeCell ref="EA54:EA56"/>
    <mergeCell ref="EG54:EH54"/>
    <mergeCell ref="BS54:BS56"/>
    <mergeCell ref="CC54:CC56"/>
    <mergeCell ref="CI54:CJ54"/>
    <mergeCell ref="CK54:CL54"/>
    <mergeCell ref="CM54:CM56"/>
    <mergeCell ref="CS54:CT54"/>
    <mergeCell ref="CU54:CV54"/>
    <mergeCell ref="CW54:CW56"/>
    <mergeCell ref="DC54:DD54"/>
    <mergeCell ref="DY56:DZ56"/>
    <mergeCell ref="EG56:EH56"/>
    <mergeCell ref="EI56:EJ56"/>
    <mergeCell ref="CI55:CJ55"/>
    <mergeCell ref="CK55:CL55"/>
    <mergeCell ref="CS55:CT55"/>
    <mergeCell ref="CU55:CV55"/>
    <mergeCell ref="DC55:DD55"/>
    <mergeCell ref="DE55:DF55"/>
    <mergeCell ref="DM55:DN55"/>
    <mergeCell ref="DO55:DP55"/>
    <mergeCell ref="DW55:DX55"/>
    <mergeCell ref="DY55:DZ55"/>
    <mergeCell ref="EG55:EH55"/>
    <mergeCell ref="EI55:EJ55"/>
    <mergeCell ref="CI56:CJ56"/>
    <mergeCell ref="CK56:CL56"/>
    <mergeCell ref="CS56:CT56"/>
    <mergeCell ref="CU56:CV56"/>
    <mergeCell ref="DC56:DD56"/>
    <mergeCell ref="DE56:DF56"/>
    <mergeCell ref="DM56:DN56"/>
    <mergeCell ref="DO56:DP56"/>
    <mergeCell ref="DW56:DX56"/>
    <mergeCell ref="DY57:DZ57"/>
    <mergeCell ref="EG57:EH57"/>
    <mergeCell ref="EI57:EJ57"/>
    <mergeCell ref="CI57:CJ57"/>
    <mergeCell ref="CK57:CL57"/>
    <mergeCell ref="CS57:CT57"/>
    <mergeCell ref="CU57:CV57"/>
    <mergeCell ref="DC57:DD57"/>
    <mergeCell ref="DE57:DF57"/>
    <mergeCell ref="DM57:DN57"/>
    <mergeCell ref="DO57:DP57"/>
    <mergeCell ref="DW57:DX57"/>
    <mergeCell ref="DY59:DZ59"/>
    <mergeCell ref="EG59:EH59"/>
    <mergeCell ref="EI59:EJ59"/>
    <mergeCell ref="CI58:CJ58"/>
    <mergeCell ref="CK58:CL58"/>
    <mergeCell ref="CS58:CT58"/>
    <mergeCell ref="CU58:CV58"/>
    <mergeCell ref="DC58:DD58"/>
    <mergeCell ref="DE58:DF58"/>
    <mergeCell ref="DM58:DN58"/>
    <mergeCell ref="DO58:DP58"/>
    <mergeCell ref="DW58:DX58"/>
    <mergeCell ref="DY58:DZ58"/>
    <mergeCell ref="EG58:EH58"/>
    <mergeCell ref="EI58:EJ58"/>
    <mergeCell ref="CI59:CJ59"/>
    <mergeCell ref="CK59:CL59"/>
    <mergeCell ref="CS59:CT59"/>
    <mergeCell ref="CU59:CV59"/>
    <mergeCell ref="DC59:DD59"/>
    <mergeCell ref="DE59:DF59"/>
    <mergeCell ref="DM59:DN59"/>
    <mergeCell ref="DO59:DP59"/>
    <mergeCell ref="DW59:DX59"/>
    <mergeCell ref="DY60:DZ60"/>
    <mergeCell ref="EG60:EH60"/>
    <mergeCell ref="EI60:EJ60"/>
    <mergeCell ref="CI60:CJ60"/>
    <mergeCell ref="CK60:CL60"/>
    <mergeCell ref="CS60:CT60"/>
    <mergeCell ref="CU60:CV60"/>
    <mergeCell ref="DC60:DD60"/>
    <mergeCell ref="DE60:DF60"/>
    <mergeCell ref="DM60:DN60"/>
    <mergeCell ref="DO60:DP60"/>
    <mergeCell ref="DW60:DX60"/>
    <mergeCell ref="DY62:DZ62"/>
    <mergeCell ref="EG62:EH62"/>
    <mergeCell ref="EI62:EJ62"/>
    <mergeCell ref="CI61:CJ61"/>
    <mergeCell ref="CK61:CL61"/>
    <mergeCell ref="CS61:CT61"/>
    <mergeCell ref="CU61:CV61"/>
    <mergeCell ref="DC61:DD61"/>
    <mergeCell ref="DE61:DF61"/>
    <mergeCell ref="DM61:DN61"/>
    <mergeCell ref="DO61:DP61"/>
    <mergeCell ref="DW61:DX61"/>
    <mergeCell ref="DY61:DZ61"/>
    <mergeCell ref="EG61:EH61"/>
    <mergeCell ref="EI61:EJ61"/>
    <mergeCell ref="CI62:CJ62"/>
    <mergeCell ref="CK62:CL62"/>
    <mergeCell ref="CS62:CT62"/>
    <mergeCell ref="CU62:CV62"/>
    <mergeCell ref="DC62:DD62"/>
    <mergeCell ref="DE62:DF62"/>
    <mergeCell ref="DM62:DN62"/>
    <mergeCell ref="DO62:DP62"/>
    <mergeCell ref="DW62:DX62"/>
    <mergeCell ref="DE63:DF63"/>
    <mergeCell ref="DM63:DN63"/>
    <mergeCell ref="DO63:DP63"/>
    <mergeCell ref="DW63:DX63"/>
    <mergeCell ref="EI65:EJ65"/>
    <mergeCell ref="CI64:CJ64"/>
    <mergeCell ref="CK64:CL64"/>
    <mergeCell ref="CS64:CT64"/>
    <mergeCell ref="CU64:CV64"/>
    <mergeCell ref="DC64:DD64"/>
    <mergeCell ref="DE64:DF64"/>
    <mergeCell ref="DM64:DN64"/>
    <mergeCell ref="DO64:DP64"/>
    <mergeCell ref="DW64:DX64"/>
    <mergeCell ref="DY64:DZ64"/>
    <mergeCell ref="EG64:EH64"/>
    <mergeCell ref="EI64:EJ64"/>
    <mergeCell ref="DY63:DZ63"/>
    <mergeCell ref="EG63:EH63"/>
    <mergeCell ref="EI63:EJ63"/>
    <mergeCell ref="CI63:CJ63"/>
    <mergeCell ref="CK63:CL63"/>
    <mergeCell ref="CS63:CT63"/>
    <mergeCell ref="CU63:CV63"/>
    <mergeCell ref="DC63:DD63"/>
    <mergeCell ref="DY66:DZ66"/>
    <mergeCell ref="EG66:EH66"/>
    <mergeCell ref="EI66:EJ66"/>
    <mergeCell ref="CI66:CJ66"/>
    <mergeCell ref="CK66:CL66"/>
    <mergeCell ref="CS66:CT66"/>
    <mergeCell ref="CU66:CV66"/>
    <mergeCell ref="DC66:DD66"/>
    <mergeCell ref="DE66:DF66"/>
    <mergeCell ref="DM66:DN66"/>
    <mergeCell ref="DO66:DP66"/>
    <mergeCell ref="DW66:DX66"/>
    <mergeCell ref="CI65:CJ65"/>
    <mergeCell ref="CK65:CL65"/>
    <mergeCell ref="CS65:CT65"/>
    <mergeCell ref="CU65:CV65"/>
    <mergeCell ref="DC65:DD65"/>
    <mergeCell ref="DE65:DF65"/>
    <mergeCell ref="DM65:DN65"/>
    <mergeCell ref="DO65:DP65"/>
    <mergeCell ref="DW65:DX65"/>
    <mergeCell ref="DY65:DZ65"/>
    <mergeCell ref="EG65:EH65"/>
    <mergeCell ref="QO42:QP42"/>
    <mergeCell ref="QQ42:QR42"/>
    <mergeCell ref="QY42:QZ42"/>
    <mergeCell ref="RA42:RB42"/>
    <mergeCell ref="RI42:RJ42"/>
    <mergeCell ref="RK42:RL42"/>
    <mergeCell ref="RS42:RT42"/>
    <mergeCell ref="RU42:RV42"/>
    <mergeCell ref="SC42:SD42"/>
    <mergeCell ref="SE42:SF42"/>
    <mergeCell ref="SM42:SN42"/>
    <mergeCell ref="SO42:SP42"/>
    <mergeCell ref="QI43:QI46"/>
    <mergeCell ref="QO43:QP43"/>
    <mergeCell ref="QQ43:QR43"/>
    <mergeCell ref="QS43:QS46"/>
    <mergeCell ref="QY43:QZ43"/>
    <mergeCell ref="RA43:RB43"/>
    <mergeCell ref="RC43:RC46"/>
    <mergeCell ref="RI43:RJ43"/>
    <mergeCell ref="RK43:RL43"/>
    <mergeCell ref="RM43:RM46"/>
    <mergeCell ref="RS43:RT43"/>
    <mergeCell ref="RU43:RV43"/>
    <mergeCell ref="RW43:RW46"/>
    <mergeCell ref="SC43:SD43"/>
    <mergeCell ref="SE43:SF43"/>
    <mergeCell ref="SG43:SG46"/>
    <mergeCell ref="SM43:SN43"/>
    <mergeCell ref="SO43:SP43"/>
    <mergeCell ref="QO44:QP44"/>
    <mergeCell ref="QQ44:QR44"/>
    <mergeCell ref="QY44:QZ44"/>
    <mergeCell ref="RA44:RB44"/>
    <mergeCell ref="RI44:RJ44"/>
    <mergeCell ref="RK44:RL44"/>
    <mergeCell ref="RS44:RT44"/>
    <mergeCell ref="RU44:RV44"/>
    <mergeCell ref="SC44:SD44"/>
    <mergeCell ref="SE44:SF44"/>
    <mergeCell ref="SM44:SN44"/>
    <mergeCell ref="SO44:SP44"/>
    <mergeCell ref="QO45:QP45"/>
    <mergeCell ref="QQ45:QR45"/>
    <mergeCell ref="QY45:QZ45"/>
    <mergeCell ref="RA45:RB45"/>
    <mergeCell ref="RI45:RJ45"/>
    <mergeCell ref="RK45:RL45"/>
    <mergeCell ref="RS45:RT45"/>
    <mergeCell ref="RU45:RV45"/>
    <mergeCell ref="SC45:SD45"/>
    <mergeCell ref="SE45:SF45"/>
    <mergeCell ref="SM45:SN45"/>
    <mergeCell ref="SO45:SP45"/>
    <mergeCell ref="QO46:QP46"/>
    <mergeCell ref="QQ46:QR46"/>
    <mergeCell ref="QY46:QZ46"/>
    <mergeCell ref="RA46:RB46"/>
    <mergeCell ref="RI46:RJ46"/>
    <mergeCell ref="RK46:RL46"/>
    <mergeCell ref="RS46:RT46"/>
    <mergeCell ref="RU46:RV46"/>
    <mergeCell ref="SC46:SD46"/>
    <mergeCell ref="SE46:SF46"/>
    <mergeCell ref="SM46:SN46"/>
    <mergeCell ref="SO46:SP46"/>
    <mergeCell ref="QO47:QP47"/>
    <mergeCell ref="QQ47:QR47"/>
    <mergeCell ref="QY47:QZ47"/>
    <mergeCell ref="RA47:RB47"/>
    <mergeCell ref="RI47:RJ47"/>
    <mergeCell ref="RK47:RL47"/>
    <mergeCell ref="RS47:RT47"/>
    <mergeCell ref="RU47:RV47"/>
    <mergeCell ref="SC47:SD47"/>
    <mergeCell ref="SE47:SF47"/>
    <mergeCell ref="SM47:SN47"/>
    <mergeCell ref="SO47:SP47"/>
    <mergeCell ref="QI48:QI52"/>
    <mergeCell ref="QO48:QP48"/>
    <mergeCell ref="QQ48:QR48"/>
    <mergeCell ref="QS48:QS52"/>
    <mergeCell ref="QY48:QZ48"/>
    <mergeCell ref="RA48:RB48"/>
    <mergeCell ref="RC48:RC52"/>
    <mergeCell ref="RI48:RJ48"/>
    <mergeCell ref="RK48:RL48"/>
    <mergeCell ref="RM48:RM52"/>
    <mergeCell ref="RS48:RT48"/>
    <mergeCell ref="RU48:RV48"/>
    <mergeCell ref="RW48:RW52"/>
    <mergeCell ref="SC48:SD48"/>
    <mergeCell ref="SE48:SF48"/>
    <mergeCell ref="SG48:SG52"/>
    <mergeCell ref="SM48:SN48"/>
    <mergeCell ref="QO51:QP51"/>
    <mergeCell ref="QQ51:QR51"/>
    <mergeCell ref="QY51:QZ51"/>
    <mergeCell ref="RA51:RB51"/>
    <mergeCell ref="RI51:RJ51"/>
    <mergeCell ref="RK51:RL51"/>
    <mergeCell ref="RS51:RT51"/>
    <mergeCell ref="RU51:RV51"/>
    <mergeCell ref="SC51:SD51"/>
    <mergeCell ref="SE51:SF51"/>
    <mergeCell ref="SM51:SN51"/>
    <mergeCell ref="SO48:SP48"/>
    <mergeCell ref="QO49:QP49"/>
    <mergeCell ref="QQ49:QR49"/>
    <mergeCell ref="QY49:QZ49"/>
    <mergeCell ref="RA49:RB49"/>
    <mergeCell ref="RI49:RJ49"/>
    <mergeCell ref="RK49:RL49"/>
    <mergeCell ref="RS49:RT49"/>
    <mergeCell ref="RU49:RV49"/>
    <mergeCell ref="SC49:SD49"/>
    <mergeCell ref="SE49:SF49"/>
    <mergeCell ref="SM49:SN49"/>
    <mergeCell ref="SO49:SP49"/>
    <mergeCell ref="QO50:QP50"/>
    <mergeCell ref="QQ50:QR50"/>
    <mergeCell ref="QY50:QZ50"/>
    <mergeCell ref="RA50:RB50"/>
    <mergeCell ref="RI50:RJ50"/>
    <mergeCell ref="RK50:RL50"/>
    <mergeCell ref="RS50:RT50"/>
    <mergeCell ref="RU50:RV50"/>
    <mergeCell ref="SC50:SD50"/>
    <mergeCell ref="SE50:SF50"/>
    <mergeCell ref="SM50:SN50"/>
    <mergeCell ref="SO50:SP50"/>
    <mergeCell ref="SO51:SP51"/>
    <mergeCell ref="QO52:QP52"/>
    <mergeCell ref="QQ52:QR52"/>
    <mergeCell ref="QY52:QZ52"/>
    <mergeCell ref="RA52:RB52"/>
    <mergeCell ref="RI52:RJ52"/>
    <mergeCell ref="RK52:RL52"/>
    <mergeCell ref="RS52:RT52"/>
    <mergeCell ref="RU52:RV52"/>
    <mergeCell ref="SC52:SD52"/>
    <mergeCell ref="SE52:SF52"/>
    <mergeCell ref="SM52:SN52"/>
    <mergeCell ref="SO52:SP52"/>
    <mergeCell ref="QO53:QP53"/>
    <mergeCell ref="QQ53:QR53"/>
    <mergeCell ref="QY53:QZ53"/>
    <mergeCell ref="RA53:RB53"/>
    <mergeCell ref="RI53:RJ53"/>
    <mergeCell ref="RK53:RL53"/>
    <mergeCell ref="RS53:RT53"/>
    <mergeCell ref="RU53:RV53"/>
    <mergeCell ref="SC53:SD53"/>
    <mergeCell ref="SE53:SF53"/>
    <mergeCell ref="SM53:SN53"/>
    <mergeCell ref="SO53:SP53"/>
    <mergeCell ref="QI54:QI56"/>
    <mergeCell ref="QO54:QP54"/>
    <mergeCell ref="QQ54:QR54"/>
    <mergeCell ref="QS54:QS56"/>
    <mergeCell ref="QY54:QZ54"/>
    <mergeCell ref="RA54:RB54"/>
    <mergeCell ref="RC54:RC56"/>
    <mergeCell ref="RI54:RJ54"/>
    <mergeCell ref="RK54:RL54"/>
    <mergeCell ref="RM54:RM56"/>
    <mergeCell ref="RS54:RT54"/>
    <mergeCell ref="RU54:RV54"/>
    <mergeCell ref="RW54:RW56"/>
    <mergeCell ref="SC54:SD54"/>
    <mergeCell ref="SE54:SF54"/>
    <mergeCell ref="SG54:SG56"/>
    <mergeCell ref="SM54:SN54"/>
    <mergeCell ref="SO54:SP54"/>
    <mergeCell ref="QO55:QP55"/>
    <mergeCell ref="QQ55:QR55"/>
    <mergeCell ref="QY55:QZ55"/>
    <mergeCell ref="RA55:RB55"/>
    <mergeCell ref="RI55:RJ55"/>
    <mergeCell ref="RK55:RL55"/>
    <mergeCell ref="RS55:RT55"/>
    <mergeCell ref="RU55:RV55"/>
    <mergeCell ref="SC55:SD55"/>
    <mergeCell ref="SE55:SF55"/>
    <mergeCell ref="SM55:SN55"/>
    <mergeCell ref="SO55:SP55"/>
    <mergeCell ref="QO56:QP56"/>
    <mergeCell ref="QQ56:QR56"/>
    <mergeCell ref="QY56:QZ56"/>
    <mergeCell ref="RA56:RB56"/>
    <mergeCell ref="RI56:RJ56"/>
    <mergeCell ref="RK56:RL56"/>
    <mergeCell ref="RS56:RT56"/>
    <mergeCell ref="RU56:RV56"/>
    <mergeCell ref="SC56:SD56"/>
    <mergeCell ref="SE56:SF56"/>
    <mergeCell ref="SM56:SN56"/>
    <mergeCell ref="SO56:SP56"/>
    <mergeCell ref="QO57:QP57"/>
    <mergeCell ref="QQ57:QR57"/>
    <mergeCell ref="QY57:QZ57"/>
    <mergeCell ref="RA57:RB57"/>
    <mergeCell ref="RI57:RJ57"/>
    <mergeCell ref="RK57:RL57"/>
    <mergeCell ref="RS57:RT57"/>
    <mergeCell ref="RU57:RV57"/>
    <mergeCell ref="SC57:SD57"/>
    <mergeCell ref="SE57:SF57"/>
    <mergeCell ref="SM57:SN57"/>
    <mergeCell ref="SO57:SP57"/>
    <mergeCell ref="QO58:QP58"/>
    <mergeCell ref="QQ58:QR58"/>
    <mergeCell ref="QY58:QZ58"/>
    <mergeCell ref="RA58:RB58"/>
    <mergeCell ref="RI58:RJ58"/>
    <mergeCell ref="RK58:RL58"/>
    <mergeCell ref="RS58:RT58"/>
    <mergeCell ref="RU58:RV58"/>
    <mergeCell ref="SC58:SD58"/>
    <mergeCell ref="SE58:SF58"/>
    <mergeCell ref="SM58:SN58"/>
    <mergeCell ref="SO58:SP58"/>
    <mergeCell ref="QO59:QP59"/>
    <mergeCell ref="QQ59:QR59"/>
    <mergeCell ref="QY59:QZ59"/>
    <mergeCell ref="RA59:RB59"/>
    <mergeCell ref="RI59:RJ59"/>
    <mergeCell ref="RK59:RL59"/>
    <mergeCell ref="RS59:RT59"/>
    <mergeCell ref="RU59:RV59"/>
    <mergeCell ref="SC59:SD59"/>
    <mergeCell ref="SE59:SF59"/>
    <mergeCell ref="SM59:SN59"/>
    <mergeCell ref="SO59:SP59"/>
    <mergeCell ref="QO60:QP60"/>
    <mergeCell ref="QQ60:QR60"/>
    <mergeCell ref="QY60:QZ60"/>
    <mergeCell ref="RA60:RB60"/>
    <mergeCell ref="RI60:RJ60"/>
    <mergeCell ref="RK60:RL60"/>
    <mergeCell ref="RS60:RT60"/>
    <mergeCell ref="RU60:RV60"/>
    <mergeCell ref="SC60:SD60"/>
    <mergeCell ref="SE60:SF60"/>
    <mergeCell ref="SM60:SN60"/>
    <mergeCell ref="SO60:SP60"/>
    <mergeCell ref="QO61:QP61"/>
    <mergeCell ref="QQ61:QR61"/>
    <mergeCell ref="QY61:QZ61"/>
    <mergeCell ref="RA61:RB61"/>
    <mergeCell ref="RI61:RJ61"/>
    <mergeCell ref="RK61:RL61"/>
    <mergeCell ref="RS61:RT61"/>
    <mergeCell ref="RU61:RV61"/>
    <mergeCell ref="SC61:SD61"/>
    <mergeCell ref="SE61:SF61"/>
    <mergeCell ref="SM61:SN61"/>
    <mergeCell ref="SO61:SP61"/>
    <mergeCell ref="QO62:QP62"/>
    <mergeCell ref="QQ62:QR62"/>
    <mergeCell ref="QY62:QZ62"/>
    <mergeCell ref="RA62:RB62"/>
    <mergeCell ref="RI62:RJ62"/>
    <mergeCell ref="RK62:RL62"/>
    <mergeCell ref="RS62:RT62"/>
    <mergeCell ref="RU62:RV62"/>
    <mergeCell ref="SC62:SD62"/>
    <mergeCell ref="SE62:SF62"/>
    <mergeCell ref="SM62:SN62"/>
    <mergeCell ref="SO62:SP62"/>
    <mergeCell ref="QO63:QP63"/>
    <mergeCell ref="QQ63:QR63"/>
    <mergeCell ref="QY63:QZ63"/>
    <mergeCell ref="RA63:RB63"/>
    <mergeCell ref="RI63:RJ63"/>
    <mergeCell ref="RK63:RL63"/>
    <mergeCell ref="RS63:RT63"/>
    <mergeCell ref="RU63:RV63"/>
    <mergeCell ref="SC63:SD63"/>
    <mergeCell ref="SE63:SF63"/>
    <mergeCell ref="SM63:SN63"/>
    <mergeCell ref="SO63:SP63"/>
    <mergeCell ref="QO64:QP64"/>
    <mergeCell ref="QQ64:QR64"/>
    <mergeCell ref="QY64:QZ64"/>
    <mergeCell ref="RA64:RB64"/>
    <mergeCell ref="RI64:RJ64"/>
    <mergeCell ref="RK64:RL64"/>
    <mergeCell ref="RS64:RT64"/>
    <mergeCell ref="RU64:RV64"/>
    <mergeCell ref="SC64:SD64"/>
    <mergeCell ref="SE64:SF64"/>
    <mergeCell ref="SM64:SN64"/>
    <mergeCell ref="SO64:SP64"/>
    <mergeCell ref="QO65:QP65"/>
    <mergeCell ref="QQ65:QR65"/>
    <mergeCell ref="QY65:QZ65"/>
    <mergeCell ref="RA65:RB65"/>
    <mergeCell ref="RI65:RJ65"/>
    <mergeCell ref="RK65:RL65"/>
    <mergeCell ref="RS65:RT65"/>
    <mergeCell ref="RU65:RV65"/>
    <mergeCell ref="SC65:SD65"/>
    <mergeCell ref="SE65:SF65"/>
    <mergeCell ref="SM65:SN65"/>
    <mergeCell ref="SO65:SP65"/>
    <mergeCell ref="QO66:QP66"/>
    <mergeCell ref="QQ66:QR66"/>
    <mergeCell ref="QY66:QZ66"/>
    <mergeCell ref="RA66:RB66"/>
    <mergeCell ref="RI66:RJ66"/>
    <mergeCell ref="RK66:RL66"/>
    <mergeCell ref="RS66:RT66"/>
    <mergeCell ref="RU66:RV66"/>
    <mergeCell ref="SC66:SD66"/>
    <mergeCell ref="SE66:SF66"/>
    <mergeCell ref="SM66:SN66"/>
    <mergeCell ref="SO66:SP66"/>
  </mergeCells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olha16">
    <tabColor theme="9" tint="-0.249977111117893"/>
  </sheetPr>
  <dimension ref="A1:BF154"/>
  <sheetViews>
    <sheetView workbookViewId="0">
      <selection activeCell="C153" sqref="C153"/>
    </sheetView>
  </sheetViews>
  <sheetFormatPr defaultRowHeight="15"/>
  <cols>
    <col min="1" max="1" width="3.140625" customWidth="1"/>
    <col min="2" max="2" width="20.140625" customWidth="1"/>
    <col min="3" max="3" width="31" customWidth="1"/>
    <col min="4" max="6" width="4.7109375" customWidth="1"/>
    <col min="7" max="8" width="15.140625" customWidth="1"/>
    <col min="9" max="9" width="16.42578125" customWidth="1"/>
    <col min="10" max="10" width="24.85546875" bestFit="1" customWidth="1"/>
    <col min="11" max="11" width="21.140625" customWidth="1"/>
  </cols>
  <sheetData>
    <row r="1" spans="1:58">
      <c r="A1" s="20"/>
      <c r="B1" s="166" t="s">
        <v>0</v>
      </c>
      <c r="C1" s="20"/>
      <c r="D1" s="161" t="s">
        <v>1351</v>
      </c>
      <c r="E1" s="20"/>
      <c r="F1" s="20"/>
      <c r="G1" s="161"/>
      <c r="H1" s="20"/>
      <c r="I1" s="20"/>
      <c r="J1" s="20"/>
      <c r="K1" s="20"/>
      <c r="L1" s="372" t="s">
        <v>1352</v>
      </c>
      <c r="M1" s="277"/>
      <c r="N1" s="277"/>
      <c r="O1" s="278"/>
    </row>
    <row r="2" spans="1:58" ht="18.75">
      <c r="B2" s="14" t="s">
        <v>1353</v>
      </c>
      <c r="G2" s="89"/>
      <c r="H2" s="90" t="s">
        <v>1354</v>
      </c>
      <c r="K2" t="s">
        <v>1355</v>
      </c>
      <c r="L2" s="185" t="s">
        <v>1356</v>
      </c>
      <c r="M2" s="184" t="str">
        <f>C12</f>
        <v/>
      </c>
      <c r="N2" s="27"/>
      <c r="O2" s="27"/>
      <c r="P2" s="27"/>
      <c r="Q2" s="27"/>
      <c r="R2" s="27"/>
      <c r="S2" s="27"/>
      <c r="T2" s="27"/>
      <c r="U2" s="27"/>
      <c r="V2" s="27"/>
      <c r="W2" s="28"/>
    </row>
    <row r="3" spans="1:58">
      <c r="L3" s="185" t="s">
        <v>1357</v>
      </c>
      <c r="M3" s="183" t="str">
        <f>C17</f>
        <v/>
      </c>
      <c r="W3" s="30"/>
      <c r="AB3" s="187"/>
      <c r="AD3" s="186"/>
      <c r="AE3" s="186"/>
      <c r="AF3" s="186"/>
      <c r="AG3" s="186"/>
      <c r="AH3" s="186"/>
      <c r="AI3" s="186"/>
      <c r="AJ3" s="186"/>
      <c r="AK3" s="186"/>
      <c r="AL3" s="186"/>
      <c r="AM3" s="186"/>
      <c r="AN3" s="186"/>
      <c r="AO3" s="186"/>
      <c r="AP3" s="186"/>
      <c r="AQ3" s="186"/>
      <c r="AR3" s="186"/>
      <c r="AS3" s="186"/>
      <c r="AT3" s="186"/>
      <c r="AU3" s="186"/>
      <c r="AV3" s="186"/>
      <c r="AW3" s="186"/>
      <c r="AX3" s="186"/>
      <c r="AY3" s="186"/>
      <c r="AZ3" s="186"/>
      <c r="BA3" s="186"/>
      <c r="BB3" s="186"/>
      <c r="BC3" s="186"/>
      <c r="BD3" s="186"/>
      <c r="BE3" s="186"/>
      <c r="BF3" s="186"/>
    </row>
    <row r="4" spans="1:58">
      <c r="B4" s="70" t="s">
        <v>1358</v>
      </c>
      <c r="C4" s="91" t="str">
        <f>TRIM(CONCATENATE(C7," ",C14," ",C19," ",C24," ",C29," ",C34," ",C39," ",C44," ",C49," ",C54," ",C59," ",C64," ",C69," ",C74," ",C79," ",C84," ",C89," ",C94," ",C99," ",C104," ",C109," ",C114," ",C119," ",C124," ",C129," ",C134," ",C139," ",C144," ",C149," ",C154))</f>
        <v/>
      </c>
      <c r="D4" s="76"/>
      <c r="E4" s="76"/>
      <c r="F4" s="76"/>
      <c r="G4" s="76"/>
      <c r="H4" s="76"/>
      <c r="I4" s="76"/>
      <c r="J4" s="76"/>
      <c r="K4" s="76"/>
      <c r="L4" s="185" t="s">
        <v>1359</v>
      </c>
      <c r="M4" s="183" t="str">
        <f>C22</f>
        <v/>
      </c>
      <c r="W4" s="30"/>
      <c r="AB4" s="186"/>
    </row>
    <row r="5" spans="1:58">
      <c r="L5" s="185" t="s">
        <v>1360</v>
      </c>
      <c r="M5" s="183" t="str">
        <f>C27</f>
        <v/>
      </c>
      <c r="W5" s="30"/>
      <c r="AB5" s="186"/>
    </row>
    <row r="6" spans="1:58">
      <c r="B6" s="82" t="s">
        <v>1361</v>
      </c>
      <c r="C6" s="167"/>
      <c r="D6" s="27"/>
      <c r="E6" s="27"/>
      <c r="F6" s="27"/>
      <c r="G6" s="27"/>
      <c r="H6" s="27"/>
      <c r="I6" s="27"/>
      <c r="J6" s="27"/>
      <c r="K6" s="27"/>
      <c r="L6" s="185" t="s">
        <v>1362</v>
      </c>
      <c r="M6" s="183" t="str">
        <f>C32</f>
        <v/>
      </c>
      <c r="W6" s="30"/>
      <c r="AB6" s="186"/>
    </row>
    <row r="7" spans="1:58">
      <c r="B7" s="83" t="s">
        <v>1363</v>
      </c>
      <c r="C7" s="168"/>
      <c r="D7" s="32"/>
      <c r="E7" s="32"/>
      <c r="F7" s="32"/>
      <c r="G7" s="32"/>
      <c r="H7" s="32"/>
      <c r="I7" s="32"/>
      <c r="J7" s="32"/>
      <c r="K7" s="32"/>
      <c r="L7" s="185" t="s">
        <v>1364</v>
      </c>
      <c r="M7" s="183" t="str">
        <f>C37</f>
        <v/>
      </c>
      <c r="W7" s="30"/>
      <c r="AB7" s="186"/>
    </row>
    <row r="8" spans="1:58">
      <c r="B8" s="79"/>
      <c r="L8" s="185" t="s">
        <v>1365</v>
      </c>
      <c r="M8" s="183" t="str">
        <f>C42</f>
        <v/>
      </c>
      <c r="W8" s="30"/>
      <c r="AB8" s="186"/>
    </row>
    <row r="9" spans="1:58">
      <c r="B9" s="70" t="s">
        <v>1366</v>
      </c>
      <c r="C9" s="6">
        <f>IF(HEX2DEC(SUBSTITUTE(TRIM(MID($C$7,40,3))," ",""))&gt;30,"Aumentar o número de segmentos do documento!",HEX2DEC(SUBSTITUTE(TRIM(MID($C$7,40,3))," ","")))</f>
        <v>0</v>
      </c>
      <c r="G9" s="70" t="s">
        <v>1367</v>
      </c>
      <c r="H9" s="74" t="str">
        <f>TRIM(MID($C$7,(16-1)*3+1,8*3/2))</f>
        <v/>
      </c>
      <c r="I9" s="74" t="str">
        <f>TRIM(MID($C$7,(16+4-1)*3+1,8*3/2))</f>
        <v/>
      </c>
      <c r="J9" s="75">
        <f>(HEX2DEC(SUBSTITUTE(H9," ",""))*2^32+HEX2DEC(SUBSTITUTE(I9," ","")))</f>
        <v>0</v>
      </c>
      <c r="K9" s="73"/>
      <c r="L9" s="185" t="s">
        <v>1368</v>
      </c>
      <c r="M9" s="183" t="str">
        <f>C47</f>
        <v/>
      </c>
      <c r="W9" s="30"/>
      <c r="AB9" s="186"/>
    </row>
    <row r="10" spans="1:58">
      <c r="B10" s="79"/>
      <c r="L10" s="185" t="s">
        <v>1369</v>
      </c>
      <c r="M10" s="183" t="str">
        <f>C52</f>
        <v/>
      </c>
      <c r="W10" s="30"/>
      <c r="AB10" s="186"/>
    </row>
    <row r="11" spans="1:58">
      <c r="A11">
        <v>2</v>
      </c>
      <c r="B11" s="77" t="str">
        <f>"Request "&amp;A11&amp;" :"</f>
        <v>Request 2 :</v>
      </c>
      <c r="C11" s="84" t="str">
        <f>IF(OR($C$6="",$C$7=""),"",IF(A11&gt;$C$9,"",CONCATENATE(MID($C$6,1,18*3),DEC2HEX(A11,2),MID($C$6,19*3,8*3)," ",$H$9," ",$I$9)))</f>
        <v/>
      </c>
      <c r="D11" s="71"/>
      <c r="E11" s="71"/>
      <c r="F11" s="71"/>
      <c r="G11" s="71"/>
      <c r="H11" s="71"/>
      <c r="I11" s="71"/>
      <c r="J11" s="71"/>
      <c r="K11" s="71"/>
      <c r="L11" s="185" t="s">
        <v>1370</v>
      </c>
      <c r="M11" s="183" t="str">
        <f>C57</f>
        <v/>
      </c>
      <c r="W11" s="30"/>
      <c r="AB11" s="186"/>
    </row>
    <row r="12" spans="1:58">
      <c r="B12" s="80" t="s">
        <v>1371</v>
      </c>
      <c r="C12" s="87" t="str">
        <f>SUBSTITUTE(C11," ",";")</f>
        <v/>
      </c>
      <c r="D12" s="88"/>
      <c r="E12" s="88"/>
      <c r="F12" s="88"/>
      <c r="G12" s="88"/>
      <c r="H12" s="88"/>
      <c r="I12" s="88"/>
      <c r="J12" s="88"/>
      <c r="K12" s="88"/>
      <c r="L12" s="185" t="s">
        <v>1372</v>
      </c>
      <c r="M12" s="183" t="str">
        <f>C62</f>
        <v/>
      </c>
      <c r="W12" s="30"/>
      <c r="AB12" s="186"/>
    </row>
    <row r="13" spans="1:58">
      <c r="B13" s="81" t="str">
        <f>"Insert Response "&amp;A11&amp;":"</f>
        <v>Insert Response 2:</v>
      </c>
      <c r="C13" s="169"/>
      <c r="L13" s="185" t="s">
        <v>1373</v>
      </c>
      <c r="M13" s="183" t="str">
        <f>C67</f>
        <v/>
      </c>
      <c r="AB13" s="186"/>
    </row>
    <row r="14" spans="1:58">
      <c r="B14" s="78" t="str">
        <f>"Segment "&amp;A11&amp;":"</f>
        <v>Segment 2:</v>
      </c>
      <c r="C14" s="85" t="str">
        <f>IF(C13="","",MID(C13,70,695))</f>
        <v/>
      </c>
      <c r="D14" s="72"/>
      <c r="E14" s="72"/>
      <c r="F14" s="72"/>
      <c r="G14" s="72"/>
      <c r="H14" s="72"/>
      <c r="I14" s="72"/>
      <c r="J14" s="72"/>
      <c r="K14" s="72"/>
      <c r="L14" s="185" t="s">
        <v>1374</v>
      </c>
      <c r="M14" s="183" t="str">
        <f>C72</f>
        <v/>
      </c>
      <c r="AB14" s="186"/>
    </row>
    <row r="15" spans="1:58">
      <c r="B15" s="1"/>
      <c r="C15" s="86"/>
      <c r="L15" s="185" t="s">
        <v>1375</v>
      </c>
      <c r="M15" s="183" t="str">
        <f>C77</f>
        <v/>
      </c>
      <c r="AB15" s="186"/>
    </row>
    <row r="16" spans="1:58">
      <c r="A16">
        <v>3</v>
      </c>
      <c r="B16" s="77" t="str">
        <f>"Request "&amp;A16&amp;" :"</f>
        <v>Request 3 :</v>
      </c>
      <c r="C16" s="84" t="str">
        <f>IF(OR($C$6="",$C$7=""),"",IF(A16&gt;$C$9,"",CONCATENATE(MID($C$6,1,18*3),DEC2HEX(A16,2),MID($C$6,19*3,8*3)," ",$H$9," ",$I$9)))</f>
        <v/>
      </c>
      <c r="D16" s="71"/>
      <c r="E16" s="71"/>
      <c r="F16" s="71"/>
      <c r="G16" s="71"/>
      <c r="H16" s="71"/>
      <c r="I16" s="71"/>
      <c r="J16" s="71"/>
      <c r="K16" s="71"/>
      <c r="L16" s="185" t="s">
        <v>1376</v>
      </c>
      <c r="M16" s="183" t="str">
        <f>C82</f>
        <v/>
      </c>
      <c r="AB16" s="186"/>
    </row>
    <row r="17" spans="1:28">
      <c r="B17" s="80" t="s">
        <v>1371</v>
      </c>
      <c r="C17" s="87" t="str">
        <f>SUBSTITUTE(C16," ",";")</f>
        <v/>
      </c>
      <c r="D17" s="88"/>
      <c r="E17" s="88"/>
      <c r="F17" s="88"/>
      <c r="G17" s="88"/>
      <c r="H17" s="88"/>
      <c r="I17" s="88"/>
      <c r="J17" s="88"/>
      <c r="K17" s="88"/>
      <c r="L17" s="185" t="s">
        <v>1377</v>
      </c>
      <c r="M17" s="183" t="str">
        <f>C87</f>
        <v/>
      </c>
      <c r="AB17" s="186"/>
    </row>
    <row r="18" spans="1:28">
      <c r="B18" s="81" t="str">
        <f>"Insert Response "&amp;A16&amp;":"</f>
        <v>Insert Response 3:</v>
      </c>
      <c r="C18" s="169"/>
      <c r="L18" s="185" t="s">
        <v>1378</v>
      </c>
      <c r="M18" s="183" t="str">
        <f>C92</f>
        <v/>
      </c>
      <c r="AB18" s="186"/>
    </row>
    <row r="19" spans="1:28">
      <c r="B19" s="78" t="str">
        <f>"Segment "&amp;A16&amp;":"</f>
        <v>Segment 3:</v>
      </c>
      <c r="C19" s="85" t="str">
        <f>IF(C18="","",MID(C18,70,695))</f>
        <v/>
      </c>
      <c r="D19" s="72"/>
      <c r="E19" s="72"/>
      <c r="F19" s="72"/>
      <c r="G19" s="72"/>
      <c r="H19" s="72"/>
      <c r="I19" s="72"/>
      <c r="J19" s="72"/>
      <c r="K19" s="72"/>
      <c r="L19" s="185" t="s">
        <v>1379</v>
      </c>
      <c r="M19" s="183" t="str">
        <f>C97</f>
        <v/>
      </c>
      <c r="AB19" s="186"/>
    </row>
    <row r="20" spans="1:28">
      <c r="B20" s="1"/>
      <c r="C20" s="86"/>
      <c r="L20" s="185" t="s">
        <v>1380</v>
      </c>
      <c r="M20" s="183" t="str">
        <f>C102</f>
        <v/>
      </c>
      <c r="AB20" s="186"/>
    </row>
    <row r="21" spans="1:28">
      <c r="A21">
        <v>4</v>
      </c>
      <c r="B21" s="77" t="str">
        <f>"Request "&amp;A21&amp;" :"</f>
        <v>Request 4 :</v>
      </c>
      <c r="C21" s="84" t="str">
        <f>IF(OR($C$6="",$C$7=""),"",IF(A21&gt;$C$9,"",CONCATENATE(MID($C$6,1,18*3),DEC2HEX(A21,2),MID($C$6,19*3,8*3)," ",$H$9," ",$I$9)))</f>
        <v/>
      </c>
      <c r="D21" s="71"/>
      <c r="E21" s="71"/>
      <c r="F21" s="71"/>
      <c r="G21" s="71"/>
      <c r="H21" s="71"/>
      <c r="I21" s="71"/>
      <c r="J21" s="71"/>
      <c r="K21" s="71"/>
      <c r="L21" s="185" t="s">
        <v>1381</v>
      </c>
      <c r="M21" s="183" t="str">
        <f>C107</f>
        <v/>
      </c>
      <c r="AB21" s="186"/>
    </row>
    <row r="22" spans="1:28">
      <c r="B22" s="80" t="s">
        <v>1371</v>
      </c>
      <c r="C22" s="87" t="str">
        <f>SUBSTITUTE(C21," ",";")</f>
        <v/>
      </c>
      <c r="D22" s="88"/>
      <c r="E22" s="88"/>
      <c r="F22" s="88"/>
      <c r="G22" s="88"/>
      <c r="H22" s="88"/>
      <c r="I22" s="88"/>
      <c r="J22" s="88"/>
      <c r="K22" s="88"/>
      <c r="L22" s="185" t="s">
        <v>1382</v>
      </c>
      <c r="M22" s="183" t="str">
        <f>C112</f>
        <v/>
      </c>
      <c r="AB22" s="186"/>
    </row>
    <row r="23" spans="1:28">
      <c r="B23" s="81" t="str">
        <f>"Insert Response "&amp;A21&amp;":"</f>
        <v>Insert Response 4:</v>
      </c>
      <c r="C23" s="169"/>
      <c r="L23" s="185" t="s">
        <v>1383</v>
      </c>
      <c r="M23" t="str">
        <f>C117</f>
        <v/>
      </c>
      <c r="AB23" s="186"/>
    </row>
    <row r="24" spans="1:28">
      <c r="B24" s="78" t="str">
        <f>"Segment "&amp;A21&amp;":"</f>
        <v>Segment 4:</v>
      </c>
      <c r="C24" s="85" t="str">
        <f>IF(C23="","",MID(C23,70,695))</f>
        <v/>
      </c>
      <c r="D24" s="72"/>
      <c r="E24" s="72"/>
      <c r="F24" s="72"/>
      <c r="G24" s="72"/>
      <c r="H24" s="72"/>
      <c r="I24" s="72"/>
      <c r="J24" s="72"/>
      <c r="K24" s="72"/>
      <c r="L24" s="185" t="s">
        <v>1384</v>
      </c>
      <c r="M24" t="str">
        <f>C122</f>
        <v/>
      </c>
      <c r="AB24" s="186"/>
    </row>
    <row r="25" spans="1:28">
      <c r="B25" s="1"/>
      <c r="C25" s="86"/>
      <c r="L25" s="185" t="s">
        <v>1385</v>
      </c>
      <c r="M25" t="str">
        <f>C127</f>
        <v/>
      </c>
      <c r="AB25" s="186"/>
    </row>
    <row r="26" spans="1:28">
      <c r="A26">
        <v>5</v>
      </c>
      <c r="B26" s="77" t="str">
        <f>"Request "&amp;A26&amp;" :"</f>
        <v>Request 5 :</v>
      </c>
      <c r="C26" s="84" t="str">
        <f>IF(OR($C$6="",$C$7=""),"",IF(A26&gt;$C$9,"",CONCATENATE(MID($C$6,1,18*3),DEC2HEX(A26,2),MID($C$6,19*3,8*3)," ",$H$9," ",$I$9)))</f>
        <v/>
      </c>
      <c r="D26" s="71"/>
      <c r="E26" s="71"/>
      <c r="F26" s="71"/>
      <c r="G26" s="71"/>
      <c r="H26" s="71"/>
      <c r="I26" s="71"/>
      <c r="J26" s="71"/>
      <c r="K26" s="71"/>
      <c r="L26" s="185" t="s">
        <v>1386</v>
      </c>
      <c r="M26" t="str">
        <f>C132</f>
        <v/>
      </c>
      <c r="AB26" s="186"/>
    </row>
    <row r="27" spans="1:28">
      <c r="B27" s="80" t="s">
        <v>1371</v>
      </c>
      <c r="C27" s="87" t="str">
        <f>SUBSTITUTE(C26," ",";")</f>
        <v/>
      </c>
      <c r="D27" s="88"/>
      <c r="E27" s="88"/>
      <c r="F27" s="88"/>
      <c r="G27" s="88"/>
      <c r="H27" s="88"/>
      <c r="I27" s="88"/>
      <c r="J27" s="88"/>
      <c r="K27" s="88"/>
      <c r="L27" s="185" t="s">
        <v>1387</v>
      </c>
      <c r="M27" t="str">
        <f>C137</f>
        <v/>
      </c>
      <c r="AB27" s="186"/>
    </row>
    <row r="28" spans="1:28">
      <c r="B28" s="81" t="str">
        <f>"Insert Response "&amp;A26&amp;":"</f>
        <v>Insert Response 5:</v>
      </c>
      <c r="C28" s="169"/>
      <c r="L28" s="185" t="s">
        <v>1388</v>
      </c>
      <c r="M28" t="str">
        <f>C142</f>
        <v/>
      </c>
      <c r="AB28" s="186"/>
    </row>
    <row r="29" spans="1:28">
      <c r="B29" s="78" t="str">
        <f>"Segment "&amp;A26&amp;":"</f>
        <v>Segment 5:</v>
      </c>
      <c r="C29" s="85" t="str">
        <f>IF(C28="","",MID(C28,70,695))</f>
        <v/>
      </c>
      <c r="D29" s="72"/>
      <c r="E29" s="72"/>
      <c r="F29" s="72"/>
      <c r="G29" s="72"/>
      <c r="H29" s="72"/>
      <c r="I29" s="72"/>
      <c r="J29" s="72"/>
      <c r="K29" s="72"/>
      <c r="L29" s="185" t="s">
        <v>1389</v>
      </c>
      <c r="M29" t="str">
        <f>C147</f>
        <v/>
      </c>
      <c r="AB29" s="186"/>
    </row>
    <row r="30" spans="1:28">
      <c r="B30" s="1"/>
      <c r="C30" s="86"/>
      <c r="L30" s="185" t="s">
        <v>1390</v>
      </c>
      <c r="M30" t="str">
        <f>C152</f>
        <v/>
      </c>
      <c r="AB30" s="186"/>
    </row>
    <row r="31" spans="1:28">
      <c r="A31">
        <v>6</v>
      </c>
      <c r="B31" s="77" t="str">
        <f>"Request "&amp;A31&amp;" :"</f>
        <v>Request 6 :</v>
      </c>
      <c r="C31" s="84" t="str">
        <f>IF(OR($C$6="",$C$7=""),"",IF(A31&gt;$C$9,"",CONCATENATE(MID($C$6,1,18*3),DEC2HEX(A31,2),MID($C$6,19*3,8*3)," ",$H$9," ",$I$9)))</f>
        <v/>
      </c>
      <c r="D31" s="71"/>
      <c r="E31" s="71"/>
      <c r="F31" s="71"/>
      <c r="G31" s="71"/>
      <c r="H31" s="71"/>
      <c r="I31" s="71"/>
      <c r="J31" s="71"/>
      <c r="K31" s="71"/>
      <c r="AB31" s="186"/>
    </row>
    <row r="32" spans="1:28">
      <c r="B32" s="80" t="s">
        <v>1371</v>
      </c>
      <c r="C32" s="87" t="str">
        <f>SUBSTITUTE(C31," ",";")</f>
        <v/>
      </c>
      <c r="D32" s="88"/>
      <c r="E32" s="88"/>
      <c r="F32" s="88"/>
      <c r="G32" s="88"/>
      <c r="H32" s="88"/>
      <c r="I32" s="88"/>
      <c r="J32" s="88"/>
      <c r="K32" s="88"/>
    </row>
    <row r="33" spans="1:11">
      <c r="B33" s="81" t="str">
        <f>"Insert Response "&amp;A31&amp;":"</f>
        <v>Insert Response 6:</v>
      </c>
      <c r="C33" s="169"/>
    </row>
    <row r="34" spans="1:11">
      <c r="B34" s="78" t="str">
        <f>"Segment "&amp;A31&amp;":"</f>
        <v>Segment 6:</v>
      </c>
      <c r="C34" s="85" t="str">
        <f>IF(C33="","",MID(C33,70,695))</f>
        <v/>
      </c>
      <c r="D34" s="72"/>
      <c r="E34" s="72"/>
      <c r="F34" s="72"/>
      <c r="G34" s="72"/>
      <c r="H34" s="72"/>
      <c r="I34" s="72"/>
      <c r="J34" s="72"/>
      <c r="K34" s="72"/>
    </row>
    <row r="35" spans="1:11">
      <c r="B35" s="1"/>
      <c r="C35" s="86"/>
    </row>
    <row r="36" spans="1:11">
      <c r="A36">
        <v>7</v>
      </c>
      <c r="B36" s="77" t="str">
        <f>"Request "&amp;A36&amp;" :"</f>
        <v>Request 7 :</v>
      </c>
      <c r="C36" s="84" t="str">
        <f>IF(OR($C$6="",$C$7=""),"",IF(A36&gt;$C$9,"",CONCATENATE(MID($C$6,1,18*3),DEC2HEX(A36,2),MID($C$6,19*3,8*3)," ",$H$9," ",$I$9)))</f>
        <v/>
      </c>
      <c r="D36" s="71"/>
      <c r="E36" s="71"/>
      <c r="F36" s="71"/>
      <c r="G36" s="71"/>
      <c r="H36" s="71"/>
      <c r="I36" s="71"/>
      <c r="J36" s="71"/>
      <c r="K36" s="71"/>
    </row>
    <row r="37" spans="1:11">
      <c r="B37" s="80" t="s">
        <v>1371</v>
      </c>
      <c r="C37" s="87" t="str">
        <f>SUBSTITUTE(C36," ",";")</f>
        <v/>
      </c>
      <c r="D37" s="88"/>
      <c r="E37" s="88"/>
      <c r="F37" s="88"/>
      <c r="G37" s="88"/>
      <c r="H37" s="88"/>
      <c r="I37" s="88"/>
      <c r="J37" s="88"/>
      <c r="K37" s="88"/>
    </row>
    <row r="38" spans="1:11">
      <c r="B38" s="81" t="str">
        <f>"Insert Response "&amp;A36&amp;":"</f>
        <v>Insert Response 7:</v>
      </c>
      <c r="C38" s="169"/>
    </row>
    <row r="39" spans="1:11">
      <c r="B39" s="78" t="str">
        <f>"Segment "&amp;A36&amp;":"</f>
        <v>Segment 7:</v>
      </c>
      <c r="C39" s="85" t="str">
        <f>IF(C38="","",MID(C38,70,695))</f>
        <v/>
      </c>
      <c r="D39" s="72"/>
      <c r="E39" s="72"/>
      <c r="F39" s="72"/>
      <c r="G39" s="72"/>
      <c r="H39" s="72"/>
      <c r="I39" s="72"/>
      <c r="J39" s="72"/>
      <c r="K39" s="72"/>
    </row>
    <row r="41" spans="1:11">
      <c r="A41">
        <v>8</v>
      </c>
      <c r="B41" s="77" t="s">
        <v>1391</v>
      </c>
      <c r="C41" s="84" t="str">
        <f>IF(OR($C$6="",$C$7=""),"",IF(A41&gt;$C$9,"",CONCATENATE(MID($C$6,1,18*3),DEC2HEX(A41,2),MID($C$6,19*3,8*3)," ",$H$9," ",$I$9)))</f>
        <v/>
      </c>
      <c r="D41" s="71"/>
      <c r="E41" s="71"/>
      <c r="F41" s="71"/>
      <c r="G41" s="71"/>
      <c r="H41" s="71"/>
      <c r="I41" s="71"/>
      <c r="J41" s="71"/>
      <c r="K41" s="71"/>
    </row>
    <row r="42" spans="1:11">
      <c r="B42" s="80" t="s">
        <v>1371</v>
      </c>
      <c r="C42" s="87" t="str">
        <f>SUBSTITUTE(C41," ",";")</f>
        <v/>
      </c>
      <c r="D42" s="88"/>
      <c r="E42" s="88"/>
      <c r="F42" s="88"/>
      <c r="G42" s="88"/>
      <c r="H42" s="88"/>
      <c r="I42" s="88"/>
      <c r="J42" s="88"/>
      <c r="K42" s="88"/>
    </row>
    <row r="43" spans="1:11">
      <c r="B43" s="81" t="s">
        <v>1392</v>
      </c>
      <c r="C43" s="169"/>
    </row>
    <row r="44" spans="1:11">
      <c r="B44" s="78" t="s">
        <v>1393</v>
      </c>
      <c r="C44" s="85" t="str">
        <f>IF(C43="","",MID(C43,70,695))</f>
        <v/>
      </c>
      <c r="D44" s="72"/>
      <c r="E44" s="72"/>
      <c r="F44" s="72"/>
      <c r="G44" s="72"/>
      <c r="H44" s="72"/>
      <c r="I44" s="72"/>
      <c r="J44" s="72"/>
      <c r="K44" s="72"/>
    </row>
    <row r="46" spans="1:11">
      <c r="A46">
        <v>9</v>
      </c>
      <c r="B46" s="77" t="str">
        <f>"Request "&amp;A46&amp;" :"</f>
        <v>Request 9 :</v>
      </c>
      <c r="C46" s="84" t="str">
        <f>IF(OR($C$6="",$C$7=""),"",IF(A46&gt;$C$9,"",CONCATENATE(MID($C$6,1,18*3),DEC2HEX(A46,2),MID($C$6,19*3,8*3)," ",$H$9," ",$I$9)))</f>
        <v/>
      </c>
      <c r="D46" s="71"/>
      <c r="E46" s="71"/>
      <c r="F46" s="71"/>
      <c r="G46" s="71"/>
      <c r="H46" s="71"/>
      <c r="I46" s="71"/>
      <c r="J46" s="71"/>
      <c r="K46" s="71"/>
    </row>
    <row r="47" spans="1:11">
      <c r="B47" s="80" t="s">
        <v>1371</v>
      </c>
      <c r="C47" s="87" t="str">
        <f>SUBSTITUTE(C46," ",";")</f>
        <v/>
      </c>
      <c r="D47" s="88"/>
      <c r="E47" s="88"/>
      <c r="F47" s="88"/>
      <c r="G47" s="88"/>
      <c r="H47" s="88"/>
      <c r="I47" s="88"/>
      <c r="J47" s="88"/>
      <c r="K47" s="88"/>
    </row>
    <row r="48" spans="1:11">
      <c r="B48" s="81" t="str">
        <f>"Insert Response "&amp;A46&amp;":"</f>
        <v>Insert Response 9:</v>
      </c>
      <c r="C48" s="169"/>
    </row>
    <row r="49" spans="1:11">
      <c r="B49" s="78" t="str">
        <f>"Segment "&amp;A46&amp;":"</f>
        <v>Segment 9:</v>
      </c>
      <c r="C49" s="85" t="str">
        <f>IF(C48="","",MID(C48,70,695))</f>
        <v/>
      </c>
      <c r="D49" s="72"/>
      <c r="E49" s="72"/>
      <c r="F49" s="72"/>
      <c r="G49" s="72"/>
      <c r="H49" s="72"/>
      <c r="I49" s="72"/>
      <c r="J49" s="72"/>
      <c r="K49" s="72"/>
    </row>
    <row r="51" spans="1:11">
      <c r="A51">
        <v>10</v>
      </c>
      <c r="B51" s="77" t="str">
        <f>"Request "&amp;A51&amp;" :"</f>
        <v>Request 10 :</v>
      </c>
      <c r="C51" s="84" t="str">
        <f>IF(OR($C$6="",$C$7=""),"",IF(A51&gt;$C$9,"",CONCATENATE(MID($C$6,1,18*3),DEC2HEX(A51,2),MID($C$6,19*3,8*3)," ",$H$9," ",$I$9)))</f>
        <v/>
      </c>
      <c r="D51" s="71"/>
      <c r="E51" s="71"/>
      <c r="F51" s="71"/>
      <c r="G51" s="71"/>
      <c r="H51" s="71"/>
      <c r="I51" s="71"/>
      <c r="J51" s="71"/>
      <c r="K51" s="71"/>
    </row>
    <row r="52" spans="1:11">
      <c r="B52" s="80" t="s">
        <v>1371</v>
      </c>
      <c r="C52" s="87" t="str">
        <f>SUBSTITUTE(C51," ",";")</f>
        <v/>
      </c>
      <c r="D52" s="88"/>
      <c r="E52" s="88"/>
      <c r="F52" s="88"/>
      <c r="G52" s="88"/>
      <c r="H52" s="88"/>
      <c r="I52" s="88"/>
      <c r="J52" s="88"/>
      <c r="K52" s="88"/>
    </row>
    <row r="53" spans="1:11">
      <c r="B53" s="81" t="str">
        <f>"Insert Response "&amp;A51&amp;":"</f>
        <v>Insert Response 10:</v>
      </c>
      <c r="C53" s="169"/>
    </row>
    <row r="54" spans="1:11">
      <c r="B54" s="78" t="str">
        <f>"Segment "&amp;A51&amp;":"</f>
        <v>Segment 10:</v>
      </c>
      <c r="C54" s="85" t="str">
        <f>IF(C53="","",MID(C53,70,695))</f>
        <v/>
      </c>
      <c r="D54" s="72"/>
      <c r="E54" s="72"/>
      <c r="F54" s="72"/>
      <c r="G54" s="72"/>
      <c r="H54" s="72"/>
      <c r="I54" s="72"/>
      <c r="J54" s="72"/>
      <c r="K54" s="72"/>
    </row>
    <row r="56" spans="1:11">
      <c r="A56">
        <v>11</v>
      </c>
      <c r="B56" s="77" t="str">
        <f>"Request "&amp;A56&amp;" :"</f>
        <v>Request 11 :</v>
      </c>
      <c r="C56" s="84" t="str">
        <f>IF(OR($C$6="",$C$7=""),"",IF(A56&gt;$C$9,"",CONCATENATE(MID($C$6,1,18*3),DEC2HEX(A56,2),MID($C$6,19*3,8*3)," ",$H$9," ",$I$9)))</f>
        <v/>
      </c>
      <c r="D56" s="71"/>
      <c r="E56" s="71"/>
      <c r="F56" s="71"/>
      <c r="G56" s="71"/>
      <c r="H56" s="71"/>
      <c r="I56" s="71"/>
      <c r="J56" s="71"/>
      <c r="K56" s="71"/>
    </row>
    <row r="57" spans="1:11">
      <c r="B57" s="80" t="s">
        <v>1371</v>
      </c>
      <c r="C57" s="87" t="str">
        <f>SUBSTITUTE(C56," ",";")</f>
        <v/>
      </c>
      <c r="D57" s="88"/>
      <c r="E57" s="88"/>
      <c r="F57" s="88"/>
      <c r="G57" s="88"/>
      <c r="H57" s="88"/>
      <c r="I57" s="88"/>
      <c r="J57" s="88"/>
      <c r="K57" s="88"/>
    </row>
    <row r="58" spans="1:11">
      <c r="B58" s="81" t="str">
        <f>"Insert Response "&amp;A56&amp;":"</f>
        <v>Insert Response 11:</v>
      </c>
      <c r="C58" s="169"/>
    </row>
    <row r="59" spans="1:11">
      <c r="B59" s="78" t="str">
        <f>"Segment "&amp;A56&amp;":"</f>
        <v>Segment 11:</v>
      </c>
      <c r="C59" s="85" t="str">
        <f>IF(C58="","",MID(C58,70,695))</f>
        <v/>
      </c>
      <c r="D59" s="72"/>
      <c r="E59" s="72"/>
      <c r="F59" s="72"/>
      <c r="G59" s="72"/>
      <c r="H59" s="72"/>
      <c r="I59" s="72"/>
      <c r="J59" s="72"/>
      <c r="K59" s="72"/>
    </row>
    <row r="61" spans="1:11">
      <c r="A61">
        <v>12</v>
      </c>
      <c r="B61" s="77" t="str">
        <f>"Request "&amp;A61&amp;" :"</f>
        <v>Request 12 :</v>
      </c>
      <c r="C61" s="84" t="str">
        <f>IF(OR($C$6="",$C$7=""),"",IF(A61&gt;$C$9,"",CONCATENATE(MID($C$6,1,18*3),DEC2HEX(A61,2),MID($C$6,19*3,8*3)," ",$H$9," ",$I$9)))</f>
        <v/>
      </c>
      <c r="D61" s="71"/>
      <c r="E61" s="71"/>
      <c r="F61" s="71"/>
      <c r="G61" s="71"/>
      <c r="H61" s="71"/>
      <c r="I61" s="71"/>
      <c r="J61" s="71"/>
      <c r="K61" s="71"/>
    </row>
    <row r="62" spans="1:11">
      <c r="B62" s="80" t="s">
        <v>1371</v>
      </c>
      <c r="C62" s="87" t="str">
        <f>SUBSTITUTE(C61," ",";")</f>
        <v/>
      </c>
      <c r="D62" s="88"/>
      <c r="E62" s="88"/>
      <c r="F62" s="88"/>
      <c r="G62" s="88"/>
      <c r="H62" s="88"/>
      <c r="I62" s="88"/>
      <c r="J62" s="88"/>
      <c r="K62" s="88"/>
    </row>
    <row r="63" spans="1:11">
      <c r="B63" s="81" t="str">
        <f>"Insert Response "&amp;A61&amp;":"</f>
        <v>Insert Response 12:</v>
      </c>
      <c r="C63" s="169"/>
    </row>
    <row r="64" spans="1:11">
      <c r="B64" s="78" t="str">
        <f>"Segment "&amp;A61&amp;":"</f>
        <v>Segment 12:</v>
      </c>
      <c r="C64" s="85" t="str">
        <f>IF(C63="","",MID(C63,70,695))</f>
        <v/>
      </c>
      <c r="D64" s="72"/>
      <c r="E64" s="72"/>
      <c r="F64" s="72"/>
      <c r="G64" s="72"/>
      <c r="H64" s="72"/>
      <c r="I64" s="72"/>
      <c r="J64" s="72"/>
      <c r="K64" s="72"/>
    </row>
    <row r="66" spans="1:11">
      <c r="A66">
        <v>13</v>
      </c>
      <c r="B66" s="77" t="str">
        <f>"Request "&amp;A66&amp;" :"</f>
        <v>Request 13 :</v>
      </c>
      <c r="C66" s="84" t="str">
        <f>IF(OR($C$6="",$C$7=""),"",IF(A66&gt;$C$9,"",CONCATENATE(MID($C$6,1,18*3),DEC2HEX(A66,2),MID($C$6,19*3,8*3)," ",$H$9," ",$I$9)))</f>
        <v/>
      </c>
      <c r="D66" s="71"/>
      <c r="E66" s="71"/>
      <c r="F66" s="71"/>
      <c r="G66" s="71"/>
      <c r="H66" s="71"/>
      <c r="I66" s="71"/>
      <c r="J66" s="71"/>
      <c r="K66" s="71"/>
    </row>
    <row r="67" spans="1:11">
      <c r="B67" s="80" t="s">
        <v>1371</v>
      </c>
      <c r="C67" s="87" t="str">
        <f>SUBSTITUTE(C66," ",";")</f>
        <v/>
      </c>
      <c r="D67" s="88"/>
      <c r="E67" s="88"/>
      <c r="F67" s="88"/>
      <c r="G67" s="88"/>
      <c r="H67" s="88"/>
      <c r="I67" s="88"/>
      <c r="J67" s="88"/>
      <c r="K67" s="88"/>
    </row>
    <row r="68" spans="1:11">
      <c r="B68" s="81" t="str">
        <f>"Insert Response "&amp;A66&amp;":"</f>
        <v>Insert Response 13:</v>
      </c>
      <c r="C68" s="169"/>
    </row>
    <row r="69" spans="1:11">
      <c r="B69" s="78" t="str">
        <f>"Segment "&amp;A66&amp;":"</f>
        <v>Segment 13:</v>
      </c>
      <c r="C69" s="85" t="str">
        <f>IF(C68="","",MID(C68,70,695))</f>
        <v/>
      </c>
      <c r="D69" s="72"/>
      <c r="E69" s="72"/>
      <c r="F69" s="72"/>
      <c r="G69" s="72"/>
      <c r="H69" s="72"/>
      <c r="I69" s="72"/>
      <c r="J69" s="72"/>
      <c r="K69" s="72"/>
    </row>
    <row r="71" spans="1:11">
      <c r="A71">
        <v>14</v>
      </c>
      <c r="B71" s="77" t="str">
        <f>"Request "&amp;A71&amp;" :"</f>
        <v>Request 14 :</v>
      </c>
      <c r="C71" s="84" t="str">
        <f>IF(OR($C$6="",$C$7=""),"",IF(A71&gt;$C$9,"",CONCATENATE(MID($C$6,1,18*3),DEC2HEX(A71,2),MID($C$6,19*3,8*3)," ",$H$9," ",$I$9)))</f>
        <v/>
      </c>
      <c r="D71" s="71"/>
      <c r="E71" s="71"/>
      <c r="F71" s="71"/>
      <c r="G71" s="71"/>
      <c r="H71" s="71"/>
      <c r="I71" s="71"/>
      <c r="J71" s="71"/>
      <c r="K71" s="71"/>
    </row>
    <row r="72" spans="1:11">
      <c r="B72" s="80" t="s">
        <v>1371</v>
      </c>
      <c r="C72" s="87" t="str">
        <f>SUBSTITUTE(C71," ",";")</f>
        <v/>
      </c>
      <c r="D72" s="88"/>
      <c r="E72" s="88"/>
      <c r="F72" s="88"/>
      <c r="G72" s="88"/>
      <c r="H72" s="88"/>
      <c r="I72" s="88"/>
      <c r="J72" s="88"/>
      <c r="K72" s="88"/>
    </row>
    <row r="73" spans="1:11">
      <c r="B73" s="81" t="str">
        <f>"Insert Response "&amp;A71&amp;":"</f>
        <v>Insert Response 14:</v>
      </c>
      <c r="C73" s="169"/>
    </row>
    <row r="74" spans="1:11">
      <c r="B74" s="78" t="str">
        <f>"Segment "&amp;A71&amp;":"</f>
        <v>Segment 14:</v>
      </c>
      <c r="C74" s="85" t="str">
        <f>IF(C73="","",MID(C73,70,695))</f>
        <v/>
      </c>
      <c r="D74" s="72"/>
      <c r="E74" s="72"/>
      <c r="F74" s="72"/>
      <c r="G74" s="72"/>
      <c r="H74" s="72"/>
      <c r="I74" s="72"/>
      <c r="J74" s="72"/>
      <c r="K74" s="72"/>
    </row>
    <row r="76" spans="1:11">
      <c r="A76">
        <v>15</v>
      </c>
      <c r="B76" s="77" t="str">
        <f>"Request "&amp;A76&amp;" :"</f>
        <v>Request 15 :</v>
      </c>
      <c r="C76" s="84" t="str">
        <f>IF(OR($C$6="",$C$7=""),"",IF(A76&gt;$C$9,"",CONCATENATE(MID($C$6,1,18*3),DEC2HEX(A76,2),MID($C$6,19*3,8*3)," ",$H$9," ",$I$9)))</f>
        <v/>
      </c>
      <c r="D76" s="71"/>
      <c r="E76" s="71"/>
      <c r="F76" s="71"/>
      <c r="G76" s="71"/>
      <c r="H76" s="71"/>
      <c r="I76" s="71"/>
      <c r="J76" s="71"/>
      <c r="K76" s="71"/>
    </row>
    <row r="77" spans="1:11">
      <c r="B77" s="80" t="s">
        <v>1371</v>
      </c>
      <c r="C77" s="87" t="str">
        <f>SUBSTITUTE(C76," ",";")</f>
        <v/>
      </c>
      <c r="D77" s="88"/>
      <c r="E77" s="88"/>
      <c r="F77" s="88"/>
      <c r="G77" s="88"/>
      <c r="H77" s="88"/>
      <c r="I77" s="88"/>
      <c r="J77" s="88"/>
      <c r="K77" s="88"/>
    </row>
    <row r="78" spans="1:11">
      <c r="B78" s="81" t="str">
        <f>"Insert Response "&amp;A76&amp;":"</f>
        <v>Insert Response 15:</v>
      </c>
      <c r="C78" s="169"/>
    </row>
    <row r="79" spans="1:11">
      <c r="B79" s="78" t="str">
        <f>"Segment "&amp;A76&amp;":"</f>
        <v>Segment 15:</v>
      </c>
      <c r="C79" s="85" t="str">
        <f>IF(C78="","",MID(C78,70,695))</f>
        <v/>
      </c>
      <c r="D79" s="72"/>
      <c r="E79" s="72"/>
      <c r="F79" s="72"/>
      <c r="G79" s="72"/>
      <c r="H79" s="72"/>
      <c r="I79" s="72"/>
      <c r="J79" s="72"/>
      <c r="K79" s="72"/>
    </row>
    <row r="81" spans="1:11">
      <c r="A81">
        <v>16</v>
      </c>
      <c r="B81" s="77" t="str">
        <f>"Request "&amp;A81&amp;" :"</f>
        <v>Request 16 :</v>
      </c>
      <c r="C81" s="84" t="str">
        <f>IF(OR($C$6="",$C$7=""),"",IF(A81&gt;$C$9,"",CONCATENATE(MID($C$6,1,18*3),DEC2HEX(A81,2),MID($C$6,19*3,8*3)," ",$H$9," ",$I$9)))</f>
        <v/>
      </c>
      <c r="D81" s="71"/>
      <c r="E81" s="71"/>
      <c r="F81" s="71"/>
      <c r="G81" s="71"/>
      <c r="H81" s="71"/>
      <c r="I81" s="71"/>
      <c r="J81" s="71"/>
      <c r="K81" s="71"/>
    </row>
    <row r="82" spans="1:11">
      <c r="B82" s="80" t="s">
        <v>1371</v>
      </c>
      <c r="C82" s="87" t="str">
        <f>SUBSTITUTE(C81," ",";")</f>
        <v/>
      </c>
      <c r="D82" s="88"/>
      <c r="E82" s="88"/>
      <c r="F82" s="88"/>
      <c r="G82" s="88"/>
      <c r="H82" s="88"/>
      <c r="I82" s="88"/>
      <c r="J82" s="88"/>
      <c r="K82" s="88"/>
    </row>
    <row r="83" spans="1:11">
      <c r="B83" s="81" t="str">
        <f>"Insert Response "&amp;A81&amp;":"</f>
        <v>Insert Response 16:</v>
      </c>
      <c r="C83" s="169"/>
    </row>
    <row r="84" spans="1:11">
      <c r="B84" s="78" t="str">
        <f>"Segment "&amp;A81&amp;":"</f>
        <v>Segment 16:</v>
      </c>
      <c r="C84" s="85" t="str">
        <f>IF(C83="","",MID(C83,70,695))</f>
        <v/>
      </c>
      <c r="D84" s="72"/>
      <c r="E84" s="72"/>
      <c r="F84" s="72"/>
      <c r="G84" s="72"/>
      <c r="H84" s="72"/>
      <c r="I84" s="72"/>
      <c r="J84" s="72"/>
      <c r="K84" s="72"/>
    </row>
    <row r="86" spans="1:11">
      <c r="A86">
        <v>17</v>
      </c>
      <c r="B86" s="77" t="str">
        <f>"Request "&amp;A86&amp;" :"</f>
        <v>Request 17 :</v>
      </c>
      <c r="C86" s="84" t="str">
        <f>IF(OR($C$6="",$C$7=""),"",IF(A86&gt;$C$9,"",CONCATENATE(MID($C$6,1,18*3),DEC2HEX(A86,2),MID($C$6,19*3,8*3)," ",$H$9," ",$I$9)))</f>
        <v/>
      </c>
      <c r="D86" s="71"/>
      <c r="E86" s="71"/>
      <c r="F86" s="71"/>
      <c r="G86" s="71"/>
      <c r="H86" s="71"/>
      <c r="I86" s="71"/>
      <c r="J86" s="71"/>
      <c r="K86" s="71"/>
    </row>
    <row r="87" spans="1:11">
      <c r="B87" s="80" t="s">
        <v>1371</v>
      </c>
      <c r="C87" s="87" t="str">
        <f>SUBSTITUTE(C86," ",";")</f>
        <v/>
      </c>
      <c r="D87" s="88"/>
      <c r="E87" s="88"/>
      <c r="F87" s="88"/>
      <c r="G87" s="88"/>
      <c r="H87" s="88"/>
      <c r="I87" s="88"/>
      <c r="J87" s="88"/>
      <c r="K87" s="88"/>
    </row>
    <row r="88" spans="1:11">
      <c r="B88" s="81" t="str">
        <f>"Insert Response "&amp;A86&amp;":"</f>
        <v>Insert Response 17:</v>
      </c>
      <c r="C88" s="169"/>
    </row>
    <row r="89" spans="1:11">
      <c r="B89" s="78" t="str">
        <f>"Segment "&amp;A86&amp;":"</f>
        <v>Segment 17:</v>
      </c>
      <c r="C89" s="85" t="str">
        <f>IF(C88="","",MID(C88,70,695))</f>
        <v/>
      </c>
      <c r="D89" s="72"/>
      <c r="E89" s="72"/>
      <c r="F89" s="72"/>
      <c r="G89" s="72"/>
      <c r="H89" s="72"/>
      <c r="I89" s="72"/>
      <c r="J89" s="72"/>
      <c r="K89" s="72"/>
    </row>
    <row r="91" spans="1:11">
      <c r="A91">
        <v>18</v>
      </c>
      <c r="B91" s="77" t="str">
        <f>"Request "&amp;A91&amp;" :"</f>
        <v>Request 18 :</v>
      </c>
      <c r="C91" s="84" t="str">
        <f>IF(OR($C$6="",$C$7=""),"",IF(A91&gt;$C$9,"",CONCATENATE(MID($C$6,1,18*3),DEC2HEX(A91,2),MID($C$6,19*3,8*3)," ",$H$9," ",$I$9)))</f>
        <v/>
      </c>
      <c r="D91" s="71"/>
      <c r="E91" s="71"/>
      <c r="F91" s="71"/>
      <c r="G91" s="71"/>
      <c r="H91" s="71"/>
      <c r="I91" s="71"/>
      <c r="J91" s="71"/>
      <c r="K91" s="71"/>
    </row>
    <row r="92" spans="1:11">
      <c r="B92" s="80" t="s">
        <v>1371</v>
      </c>
      <c r="C92" s="87" t="str">
        <f>SUBSTITUTE(C91," ",";")</f>
        <v/>
      </c>
      <c r="D92" s="88"/>
      <c r="E92" s="88"/>
      <c r="F92" s="88"/>
      <c r="G92" s="88"/>
      <c r="H92" s="88"/>
      <c r="I92" s="88"/>
      <c r="J92" s="88"/>
      <c r="K92" s="88"/>
    </row>
    <row r="93" spans="1:11">
      <c r="B93" s="81" t="str">
        <f>"Insert Response "&amp;A91&amp;":"</f>
        <v>Insert Response 18:</v>
      </c>
      <c r="C93" s="169"/>
    </row>
    <row r="94" spans="1:11">
      <c r="B94" s="78" t="str">
        <f>"Segment "&amp;A91&amp;":"</f>
        <v>Segment 18:</v>
      </c>
      <c r="C94" s="85" t="str">
        <f>IF(C93="","",MID(C93,70,695))</f>
        <v/>
      </c>
      <c r="D94" s="72"/>
      <c r="E94" s="72"/>
      <c r="F94" s="72"/>
      <c r="G94" s="72"/>
      <c r="H94" s="72"/>
      <c r="I94" s="72"/>
      <c r="J94" s="72"/>
      <c r="K94" s="72"/>
    </row>
    <row r="96" spans="1:11">
      <c r="A96">
        <v>19</v>
      </c>
      <c r="B96" s="77" t="str">
        <f>"Request "&amp;A96&amp;" :"</f>
        <v>Request 19 :</v>
      </c>
      <c r="C96" s="84" t="str">
        <f>IF(OR($C$6="",$C$7=""),"",IF(A96&gt;$C$9,"",CONCATENATE(MID($C$6,1,18*3),DEC2HEX(A96,2),MID($C$6,19*3,8*3)," ",$H$9," ",$I$9)))</f>
        <v/>
      </c>
      <c r="D96" s="71"/>
      <c r="E96" s="71"/>
      <c r="F96" s="71"/>
      <c r="G96" s="71"/>
      <c r="H96" s="71"/>
      <c r="I96" s="71"/>
      <c r="J96" s="71"/>
      <c r="K96" s="71"/>
    </row>
    <row r="97" spans="1:11">
      <c r="B97" s="80" t="s">
        <v>1371</v>
      </c>
      <c r="C97" s="87" t="str">
        <f>SUBSTITUTE(C96," ",";")</f>
        <v/>
      </c>
      <c r="D97" s="88"/>
      <c r="E97" s="88"/>
      <c r="F97" s="88"/>
      <c r="G97" s="88"/>
      <c r="H97" s="88"/>
      <c r="I97" s="88"/>
      <c r="J97" s="88"/>
      <c r="K97" s="88"/>
    </row>
    <row r="98" spans="1:11">
      <c r="B98" s="81" t="str">
        <f>"Insert Response "&amp;A96&amp;":"</f>
        <v>Insert Response 19:</v>
      </c>
      <c r="C98" s="169"/>
    </row>
    <row r="99" spans="1:11">
      <c r="B99" s="78" t="str">
        <f>"Segment "&amp;A96&amp;":"</f>
        <v>Segment 19:</v>
      </c>
      <c r="C99" s="85" t="str">
        <f>IF(C98="","",MID(C98,70,695))</f>
        <v/>
      </c>
      <c r="D99" s="72"/>
      <c r="E99" s="72"/>
      <c r="F99" s="72"/>
      <c r="G99" s="72"/>
      <c r="H99" s="72"/>
      <c r="I99" s="72"/>
      <c r="J99" s="72"/>
      <c r="K99" s="72"/>
    </row>
    <row r="101" spans="1:11">
      <c r="A101">
        <v>20</v>
      </c>
      <c r="B101" s="77" t="str">
        <f>"Request "&amp;A101&amp;" :"</f>
        <v>Request 20 :</v>
      </c>
      <c r="C101" s="84" t="str">
        <f>IF(OR($C$6="",$C$7=""),"",IF(A101&gt;$C$9,"",CONCATENATE(MID($C$6,1,18*3),DEC2HEX(A101,2),MID($C$6,19*3,8*3)," ",$H$9," ",$I$9)))</f>
        <v/>
      </c>
      <c r="D101" s="71"/>
      <c r="E101" s="71"/>
      <c r="F101" s="71"/>
      <c r="G101" s="71"/>
      <c r="H101" s="71"/>
      <c r="I101" s="71"/>
      <c r="J101" s="71"/>
      <c r="K101" s="71"/>
    </row>
    <row r="102" spans="1:11">
      <c r="B102" s="80" t="s">
        <v>1371</v>
      </c>
      <c r="C102" s="87" t="str">
        <f>SUBSTITUTE(C101," ",";")</f>
        <v/>
      </c>
      <c r="D102" s="88"/>
      <c r="E102" s="88"/>
      <c r="F102" s="88"/>
      <c r="G102" s="88"/>
      <c r="H102" s="88"/>
      <c r="I102" s="88"/>
      <c r="J102" s="88"/>
      <c r="K102" s="88"/>
    </row>
    <row r="103" spans="1:11">
      <c r="B103" s="81" t="str">
        <f>"Insert Response "&amp;A101&amp;":"</f>
        <v>Insert Response 20:</v>
      </c>
      <c r="C103" s="169"/>
    </row>
    <row r="104" spans="1:11">
      <c r="B104" s="78" t="str">
        <f>"Segment "&amp;A101&amp;":"</f>
        <v>Segment 20:</v>
      </c>
      <c r="C104" s="85" t="str">
        <f>IF(C103="","",MID(C103,70,695))</f>
        <v/>
      </c>
      <c r="D104" s="72"/>
      <c r="E104" s="72"/>
      <c r="F104" s="72"/>
      <c r="G104" s="72"/>
      <c r="H104" s="72"/>
      <c r="I104" s="72"/>
      <c r="J104" s="72"/>
      <c r="K104" s="72"/>
    </row>
    <row r="106" spans="1:11">
      <c r="A106">
        <v>21</v>
      </c>
      <c r="B106" s="77" t="str">
        <f>"Request "&amp;A106&amp;" :"</f>
        <v>Request 21 :</v>
      </c>
      <c r="C106" s="84" t="str">
        <f>IF(OR($C$6="",$C$7=""),"",IF(A106&gt;$C$9,"",CONCATENATE(MID($C$6,1,18*3),DEC2HEX(A106,2),MID($C$6,19*3,8*3)," ",$H$9," ",$I$9)))</f>
        <v/>
      </c>
      <c r="D106" s="71"/>
      <c r="E106" s="71"/>
      <c r="F106" s="71"/>
      <c r="G106" s="71"/>
      <c r="H106" s="71"/>
      <c r="I106" s="71"/>
      <c r="J106" s="71"/>
      <c r="K106" s="71"/>
    </row>
    <row r="107" spans="1:11">
      <c r="B107" s="80" t="s">
        <v>1371</v>
      </c>
      <c r="C107" s="87" t="str">
        <f>SUBSTITUTE(C106," ",";")</f>
        <v/>
      </c>
      <c r="D107" s="88"/>
      <c r="E107" s="88"/>
      <c r="F107" s="88"/>
      <c r="G107" s="88"/>
      <c r="H107" s="88"/>
      <c r="I107" s="88"/>
      <c r="J107" s="88"/>
      <c r="K107" s="88"/>
    </row>
    <row r="108" spans="1:11">
      <c r="B108" s="81" t="str">
        <f>"Insert Response "&amp;A106&amp;":"</f>
        <v>Insert Response 21:</v>
      </c>
      <c r="C108" s="169"/>
    </row>
    <row r="109" spans="1:11">
      <c r="B109" s="78" t="str">
        <f>"Segment "&amp;A106&amp;":"</f>
        <v>Segment 21:</v>
      </c>
      <c r="C109" s="85" t="str">
        <f>IF(C108="","",MID(C108,70,695))</f>
        <v/>
      </c>
      <c r="D109" s="72"/>
      <c r="E109" s="72"/>
      <c r="F109" s="72"/>
      <c r="G109" s="72"/>
      <c r="H109" s="72"/>
      <c r="I109" s="72"/>
      <c r="J109" s="72"/>
      <c r="K109" s="72"/>
    </row>
    <row r="111" spans="1:11">
      <c r="A111">
        <v>22</v>
      </c>
      <c r="B111" s="77" t="str">
        <f>"Request "&amp;A111&amp;" :"</f>
        <v>Request 22 :</v>
      </c>
      <c r="C111" s="84" t="str">
        <f>IF(OR($C$6="",$C$7=""),"",IF(A111&gt;$C$9,"",CONCATENATE(MID($C$6,1,18*3),DEC2HEX(A111,2),MID($C$6,19*3,8*3)," ",$H$9," ",$I$9)))</f>
        <v/>
      </c>
      <c r="D111" s="71"/>
      <c r="E111" s="71"/>
      <c r="F111" s="71"/>
      <c r="G111" s="71"/>
      <c r="H111" s="71"/>
      <c r="I111" s="71"/>
      <c r="J111" s="71"/>
      <c r="K111" s="71"/>
    </row>
    <row r="112" spans="1:11">
      <c r="B112" s="80" t="s">
        <v>1371</v>
      </c>
      <c r="C112" s="87" t="str">
        <f>SUBSTITUTE(C111," ",";")</f>
        <v/>
      </c>
      <c r="D112" s="88"/>
      <c r="E112" s="88"/>
      <c r="F112" s="88"/>
      <c r="G112" s="88"/>
      <c r="H112" s="88"/>
      <c r="I112" s="88"/>
      <c r="J112" s="88"/>
      <c r="K112" s="88"/>
    </row>
    <row r="113" spans="1:11">
      <c r="B113" s="81" t="str">
        <f>"Insert Response "&amp;A111&amp;":"</f>
        <v>Insert Response 22:</v>
      </c>
      <c r="C113" s="169"/>
    </row>
    <row r="114" spans="1:11">
      <c r="B114" s="78" t="str">
        <f>"Segment "&amp;A111&amp;":"</f>
        <v>Segment 22:</v>
      </c>
      <c r="C114" s="85" t="str">
        <f>IF(C113="","",MID(C113,70,695))</f>
        <v/>
      </c>
      <c r="D114" s="72"/>
      <c r="E114" s="72"/>
      <c r="F114" s="72"/>
      <c r="G114" s="72"/>
      <c r="H114" s="72"/>
      <c r="I114" s="72"/>
      <c r="J114" s="72"/>
      <c r="K114" s="72"/>
    </row>
    <row r="116" spans="1:11">
      <c r="A116">
        <v>23</v>
      </c>
      <c r="B116" s="77" t="str">
        <f>"Request "&amp;A116&amp;" :"</f>
        <v>Request 23 :</v>
      </c>
      <c r="C116" s="84" t="str">
        <f>IF(OR($C$6="",$C$7=""),"",IF(A116&gt;$C$9,"",CONCATENATE(MID($C$6,1,18*3),DEC2HEX(A116,2),MID($C$6,19*3,8*3)," ",$H$9," ",$I$9)))</f>
        <v/>
      </c>
      <c r="D116" s="71"/>
      <c r="E116" s="71"/>
      <c r="F116" s="71"/>
      <c r="G116" s="71"/>
      <c r="H116" s="71"/>
      <c r="I116" s="71"/>
      <c r="J116" s="71"/>
      <c r="K116" s="71"/>
    </row>
    <row r="117" spans="1:11">
      <c r="B117" s="80" t="s">
        <v>1371</v>
      </c>
      <c r="C117" s="87" t="str">
        <f>SUBSTITUTE(C116," ",";")</f>
        <v/>
      </c>
      <c r="D117" s="88"/>
      <c r="E117" s="88"/>
      <c r="F117" s="88"/>
      <c r="G117" s="88"/>
      <c r="H117" s="88"/>
      <c r="I117" s="88"/>
      <c r="J117" s="88"/>
      <c r="K117" s="88"/>
    </row>
    <row r="118" spans="1:11">
      <c r="B118" s="81" t="str">
        <f>"Insert Response "&amp;A116&amp;":"</f>
        <v>Insert Response 23:</v>
      </c>
      <c r="C118" s="169"/>
    </row>
    <row r="119" spans="1:11">
      <c r="B119" s="78" t="str">
        <f>"Segment "&amp;A116&amp;":"</f>
        <v>Segment 23:</v>
      </c>
      <c r="C119" s="85" t="str">
        <f>IF(C118="","",MID(C118,70,695))</f>
        <v/>
      </c>
      <c r="D119" s="72"/>
      <c r="E119" s="72"/>
      <c r="F119" s="72"/>
      <c r="G119" s="72"/>
      <c r="H119" s="72"/>
      <c r="I119" s="72"/>
      <c r="J119" s="72"/>
      <c r="K119" s="72"/>
    </row>
    <row r="121" spans="1:11">
      <c r="A121">
        <v>24</v>
      </c>
      <c r="B121" s="77" t="str">
        <f>"Request "&amp;A121&amp;" :"</f>
        <v>Request 24 :</v>
      </c>
      <c r="C121" s="84" t="str">
        <f>IF(OR($C$6="",$C$7=""),"",IF(A121&gt;$C$9,"",CONCATENATE(MID($C$6,1,18*3),DEC2HEX(A121,2),MID($C$6,19*3,8*3)," ",$H$9," ",$I$9)))</f>
        <v/>
      </c>
      <c r="D121" s="71"/>
      <c r="E121" s="71"/>
      <c r="F121" s="71"/>
      <c r="G121" s="71"/>
      <c r="H121" s="71"/>
      <c r="I121" s="71"/>
      <c r="J121" s="71"/>
      <c r="K121" s="71"/>
    </row>
    <row r="122" spans="1:11">
      <c r="B122" s="80" t="s">
        <v>1371</v>
      </c>
      <c r="C122" s="87" t="str">
        <f>SUBSTITUTE(C121," ",";")</f>
        <v/>
      </c>
      <c r="D122" s="88"/>
      <c r="E122" s="88"/>
      <c r="F122" s="88"/>
      <c r="G122" s="88"/>
      <c r="H122" s="88"/>
      <c r="I122" s="88"/>
      <c r="J122" s="88"/>
      <c r="K122" s="88"/>
    </row>
    <row r="123" spans="1:11">
      <c r="B123" s="81" t="str">
        <f>"Insert Response "&amp;A121&amp;":"</f>
        <v>Insert Response 24:</v>
      </c>
      <c r="C123" s="169"/>
    </row>
    <row r="124" spans="1:11">
      <c r="B124" s="78" t="str">
        <f>"Segment "&amp;A121&amp;":"</f>
        <v>Segment 24:</v>
      </c>
      <c r="C124" s="85" t="str">
        <f>IF(C123="","",MID(C123,70,695))</f>
        <v/>
      </c>
      <c r="D124" s="72"/>
      <c r="E124" s="72"/>
      <c r="F124" s="72"/>
      <c r="G124" s="72"/>
      <c r="H124" s="72"/>
      <c r="I124" s="72"/>
      <c r="J124" s="72"/>
      <c r="K124" s="72"/>
    </row>
    <row r="126" spans="1:11">
      <c r="A126">
        <v>25</v>
      </c>
      <c r="B126" s="77" t="str">
        <f>"Request "&amp;A126&amp;" :"</f>
        <v>Request 25 :</v>
      </c>
      <c r="C126" s="84" t="str">
        <f>IF(OR($C$6="",$C$7=""),"",IF(A126&gt;$C$9,"",CONCATENATE(MID($C$6,1,18*3),DEC2HEX(A126,2),MID($C$6,19*3,8*3)," ",$H$9," ",$I$9)))</f>
        <v/>
      </c>
      <c r="D126" s="71"/>
      <c r="E126" s="71"/>
      <c r="F126" s="71"/>
      <c r="G126" s="71"/>
      <c r="H126" s="71"/>
      <c r="I126" s="71"/>
      <c r="J126" s="71"/>
      <c r="K126" s="71"/>
    </row>
    <row r="127" spans="1:11">
      <c r="B127" s="80" t="s">
        <v>1371</v>
      </c>
      <c r="C127" s="87" t="str">
        <f>SUBSTITUTE(C126," ",";")</f>
        <v/>
      </c>
      <c r="D127" s="88"/>
      <c r="E127" s="88"/>
      <c r="F127" s="88"/>
      <c r="G127" s="88"/>
      <c r="H127" s="88"/>
      <c r="I127" s="88"/>
      <c r="J127" s="88"/>
      <c r="K127" s="88"/>
    </row>
    <row r="128" spans="1:11">
      <c r="B128" s="81" t="str">
        <f>"Insert Response "&amp;A126&amp;":"</f>
        <v>Insert Response 25:</v>
      </c>
      <c r="C128" s="169"/>
    </row>
    <row r="129" spans="1:11">
      <c r="B129" s="78" t="str">
        <f>"Segment "&amp;A126&amp;":"</f>
        <v>Segment 25:</v>
      </c>
      <c r="C129" s="85" t="str">
        <f>IF(C128="","",MID(C128,70,695))</f>
        <v/>
      </c>
      <c r="D129" s="72"/>
      <c r="E129" s="72"/>
      <c r="F129" s="72"/>
      <c r="G129" s="72"/>
      <c r="H129" s="72"/>
      <c r="I129" s="72"/>
      <c r="J129" s="72"/>
      <c r="K129" s="72"/>
    </row>
    <row r="131" spans="1:11">
      <c r="A131">
        <v>26</v>
      </c>
      <c r="B131" s="77" t="str">
        <f>"Request "&amp;A131&amp;" :"</f>
        <v>Request 26 :</v>
      </c>
      <c r="C131" s="84" t="str">
        <f>IF(OR($C$6="",$C$7=""),"",IF(A131&gt;$C$9,"",CONCATENATE(MID($C$6,1,18*3),DEC2HEX(A131,2),MID($C$6,19*3,8*3)," ",$H$9," ",$I$9)))</f>
        <v/>
      </c>
      <c r="D131" s="71"/>
      <c r="E131" s="71"/>
      <c r="F131" s="71"/>
      <c r="G131" s="71"/>
      <c r="H131" s="71"/>
      <c r="I131" s="71"/>
      <c r="J131" s="71"/>
      <c r="K131" s="71"/>
    </row>
    <row r="132" spans="1:11">
      <c r="B132" s="80" t="s">
        <v>1371</v>
      </c>
      <c r="C132" s="87" t="str">
        <f>SUBSTITUTE(C131," ",";")</f>
        <v/>
      </c>
      <c r="D132" s="88"/>
      <c r="E132" s="88"/>
      <c r="F132" s="88"/>
      <c r="G132" s="88"/>
      <c r="H132" s="88"/>
      <c r="I132" s="88"/>
      <c r="J132" s="88"/>
      <c r="K132" s="88"/>
    </row>
    <row r="133" spans="1:11">
      <c r="B133" s="81" t="str">
        <f>"Insert Response "&amp;A131&amp;":"</f>
        <v>Insert Response 26:</v>
      </c>
      <c r="C133" s="169"/>
    </row>
    <row r="134" spans="1:11">
      <c r="B134" s="78" t="str">
        <f>"Segment "&amp;A131&amp;":"</f>
        <v>Segment 26:</v>
      </c>
      <c r="C134" s="85" t="str">
        <f>IF(C133="","",MID(C133,70,695))</f>
        <v/>
      </c>
      <c r="D134" s="72"/>
      <c r="E134" s="72"/>
      <c r="F134" s="72"/>
      <c r="G134" s="72"/>
      <c r="H134" s="72"/>
      <c r="I134" s="72"/>
      <c r="J134" s="72"/>
      <c r="K134" s="72"/>
    </row>
    <row r="136" spans="1:11">
      <c r="A136">
        <v>27</v>
      </c>
      <c r="B136" s="77" t="str">
        <f>"Request "&amp;A136&amp;" :"</f>
        <v>Request 27 :</v>
      </c>
      <c r="C136" s="84" t="str">
        <f>IF(OR($C$6="",$C$7=""),"",IF(A136&gt;$C$9,"",CONCATENATE(MID($C$6,1,18*3),DEC2HEX(A136,2),MID($C$6,19*3,8*3)," ",$H$9," ",$I$9)))</f>
        <v/>
      </c>
      <c r="D136" s="71"/>
      <c r="E136" s="71"/>
      <c r="F136" s="71"/>
      <c r="G136" s="71"/>
      <c r="H136" s="71"/>
      <c r="I136" s="71"/>
      <c r="J136" s="71"/>
      <c r="K136" s="71"/>
    </row>
    <row r="137" spans="1:11">
      <c r="B137" s="80" t="s">
        <v>1371</v>
      </c>
      <c r="C137" s="87" t="str">
        <f>SUBSTITUTE(C136," ",";")</f>
        <v/>
      </c>
      <c r="D137" s="88"/>
      <c r="E137" s="88"/>
      <c r="F137" s="88"/>
      <c r="G137" s="88"/>
      <c r="H137" s="88"/>
      <c r="I137" s="88"/>
      <c r="J137" s="88"/>
      <c r="K137" s="88"/>
    </row>
    <row r="138" spans="1:11">
      <c r="B138" s="81" t="str">
        <f>"Insert Response "&amp;A136&amp;":"</f>
        <v>Insert Response 27:</v>
      </c>
      <c r="C138" s="169"/>
    </row>
    <row r="139" spans="1:11">
      <c r="B139" s="78" t="str">
        <f>"Segment "&amp;A136&amp;":"</f>
        <v>Segment 27:</v>
      </c>
      <c r="C139" s="85" t="str">
        <f>IF(C138="","",MID(C138,70,695))</f>
        <v/>
      </c>
      <c r="D139" s="72"/>
      <c r="E139" s="72"/>
      <c r="F139" s="72"/>
      <c r="G139" s="72"/>
      <c r="H139" s="72"/>
      <c r="I139" s="72"/>
      <c r="J139" s="72"/>
      <c r="K139" s="72"/>
    </row>
    <row r="141" spans="1:11">
      <c r="A141">
        <v>28</v>
      </c>
      <c r="B141" s="77" t="str">
        <f>"Request "&amp;A141&amp;" :"</f>
        <v>Request 28 :</v>
      </c>
      <c r="C141" s="84" t="str">
        <f>IF(OR($C$6="",$C$7=""),"",IF(A141&gt;$C$9,"",CONCATENATE(MID($C$6,1,18*3),DEC2HEX(A141,2),MID($C$6,19*3,8*3)," ",$H$9," ",$I$9)))</f>
        <v/>
      </c>
      <c r="D141" s="71"/>
      <c r="E141" s="71"/>
      <c r="F141" s="71"/>
      <c r="G141" s="71"/>
      <c r="H141" s="71"/>
      <c r="I141" s="71"/>
      <c r="J141" s="71"/>
      <c r="K141" s="71"/>
    </row>
    <row r="142" spans="1:11">
      <c r="B142" s="80" t="s">
        <v>1371</v>
      </c>
      <c r="C142" s="87" t="str">
        <f>SUBSTITUTE(C141," ",";")</f>
        <v/>
      </c>
      <c r="D142" s="88"/>
      <c r="E142" s="88"/>
      <c r="F142" s="88"/>
      <c r="G142" s="88"/>
      <c r="H142" s="88"/>
      <c r="I142" s="88"/>
      <c r="J142" s="88"/>
      <c r="K142" s="88"/>
    </row>
    <row r="143" spans="1:11">
      <c r="B143" s="81" t="str">
        <f>"Insert Response "&amp;A141&amp;":"</f>
        <v>Insert Response 28:</v>
      </c>
      <c r="C143" s="169"/>
    </row>
    <row r="144" spans="1:11">
      <c r="B144" s="78" t="str">
        <f>"Segment "&amp;A141&amp;":"</f>
        <v>Segment 28:</v>
      </c>
      <c r="C144" s="85" t="str">
        <f>IF(C143="","",MID(C143,70,695))</f>
        <v/>
      </c>
      <c r="D144" s="72"/>
      <c r="E144" s="72"/>
      <c r="F144" s="72"/>
      <c r="G144" s="72"/>
      <c r="H144" s="72"/>
      <c r="I144" s="72"/>
      <c r="J144" s="72"/>
      <c r="K144" s="72"/>
    </row>
    <row r="146" spans="1:11">
      <c r="A146">
        <v>29</v>
      </c>
      <c r="B146" s="77" t="str">
        <f>"Request "&amp;A146&amp;" :"</f>
        <v>Request 29 :</v>
      </c>
      <c r="C146" s="84" t="str">
        <f>IF(OR($C$6="",$C$7=""),"",IF(A146&gt;$C$9,"",CONCATENATE(MID($C$6,1,18*3),DEC2HEX(A146,2),MID($C$6,19*3,8*3)," ",$H$9," ",$I$9)))</f>
        <v/>
      </c>
      <c r="D146" s="71"/>
      <c r="E146" s="71"/>
      <c r="F146" s="71"/>
      <c r="G146" s="71"/>
      <c r="H146" s="71"/>
      <c r="I146" s="71"/>
      <c r="J146" s="71"/>
      <c r="K146" s="71"/>
    </row>
    <row r="147" spans="1:11">
      <c r="B147" s="80" t="s">
        <v>1371</v>
      </c>
      <c r="C147" s="87" t="str">
        <f>SUBSTITUTE(C146," ",";")</f>
        <v/>
      </c>
      <c r="D147" s="88"/>
      <c r="E147" s="88"/>
      <c r="F147" s="88"/>
      <c r="G147" s="88"/>
      <c r="H147" s="88"/>
      <c r="I147" s="88"/>
      <c r="J147" s="88"/>
      <c r="K147" s="88"/>
    </row>
    <row r="148" spans="1:11">
      <c r="B148" s="81" t="str">
        <f>"Insert Response "&amp;A146&amp;":"</f>
        <v>Insert Response 29:</v>
      </c>
      <c r="C148" s="169"/>
    </row>
    <row r="149" spans="1:11">
      <c r="B149" s="78" t="str">
        <f>"Segment "&amp;A146&amp;":"</f>
        <v>Segment 29:</v>
      </c>
      <c r="C149" s="85" t="str">
        <f>IF(C148="","",MID(C148,70,695))</f>
        <v/>
      </c>
      <c r="D149" s="72"/>
      <c r="E149" s="72"/>
      <c r="F149" s="72"/>
      <c r="G149" s="72"/>
      <c r="H149" s="72"/>
      <c r="I149" s="72"/>
      <c r="J149" s="72"/>
      <c r="K149" s="72"/>
    </row>
    <row r="151" spans="1:11">
      <c r="A151">
        <v>30</v>
      </c>
      <c r="B151" s="77" t="str">
        <f>"Request "&amp;A151&amp;" :"</f>
        <v>Request 30 :</v>
      </c>
      <c r="C151" s="84" t="str">
        <f>IF(OR($C$6="",$C$7=""),"",IF(A151&gt;$C$9,"",CONCATENATE(MID($C$6,1,18*3),DEC2HEX(A151,2),MID($C$6,19*3,8*3)," ",$H$9," ",$I$9)))</f>
        <v/>
      </c>
      <c r="D151" s="71"/>
      <c r="E151" s="71"/>
      <c r="F151" s="71"/>
      <c r="G151" s="71"/>
      <c r="H151" s="71"/>
      <c r="I151" s="71"/>
      <c r="J151" s="71"/>
      <c r="K151" s="71"/>
    </row>
    <row r="152" spans="1:11">
      <c r="B152" s="80" t="s">
        <v>1371</v>
      </c>
      <c r="C152" s="87" t="str">
        <f>SUBSTITUTE(C151," ",";")</f>
        <v/>
      </c>
      <c r="D152" s="88"/>
      <c r="E152" s="88"/>
      <c r="F152" s="88"/>
      <c r="G152" s="88"/>
      <c r="H152" s="88"/>
      <c r="I152" s="88"/>
      <c r="J152" s="88"/>
      <c r="K152" s="88"/>
    </row>
    <row r="153" spans="1:11">
      <c r="B153" s="81" t="str">
        <f>"Insert Response "&amp;A151&amp;":"</f>
        <v>Insert Response 30:</v>
      </c>
      <c r="C153" s="169"/>
    </row>
    <row r="154" spans="1:11">
      <c r="B154" s="78" t="str">
        <f>"Segment "&amp;A151&amp;":"</f>
        <v>Segment 30:</v>
      </c>
      <c r="C154" s="85" t="str">
        <f>IF(C153="","",MID(C153,70,695))</f>
        <v/>
      </c>
      <c r="D154" s="72"/>
      <c r="E154" s="72"/>
      <c r="F154" s="72"/>
      <c r="G154" s="72"/>
      <c r="H154" s="72"/>
      <c r="I154" s="72"/>
      <c r="J154" s="72"/>
      <c r="K154" s="72"/>
    </row>
  </sheetData>
  <mergeCells count="1">
    <mergeCell ref="L1:O1"/>
  </mergeCells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olha10">
    <tabColor rgb="FFFFFF00"/>
  </sheetPr>
  <dimension ref="A1:AA226"/>
  <sheetViews>
    <sheetView topLeftCell="A16" workbookViewId="0">
      <selection activeCell="N37" sqref="N37"/>
    </sheetView>
  </sheetViews>
  <sheetFormatPr defaultRowHeight="15"/>
  <cols>
    <col min="1" max="1" width="2.140625" customWidth="1"/>
    <col min="2" max="2" width="17.85546875" customWidth="1"/>
    <col min="3" max="3" width="31" customWidth="1"/>
    <col min="4" max="4" width="5.140625" bestFit="1" customWidth="1"/>
    <col min="5" max="5" width="4.28515625" bestFit="1" customWidth="1"/>
    <col min="6" max="6" width="4.5703125" bestFit="1" customWidth="1"/>
    <col min="7" max="8" width="15.140625" customWidth="1"/>
    <col min="9" max="10" width="21.42578125" customWidth="1"/>
    <col min="11" max="11" width="5.7109375" customWidth="1"/>
    <col min="12" max="12" width="10.85546875" style="29" customWidth="1"/>
  </cols>
  <sheetData>
    <row r="1" spans="1:27">
      <c r="A1" s="20"/>
      <c r="B1" s="161" t="s">
        <v>0</v>
      </c>
      <c r="C1" s="20"/>
      <c r="D1" s="20"/>
      <c r="E1" s="20"/>
      <c r="F1" s="20"/>
      <c r="G1" s="20"/>
      <c r="H1" s="20"/>
      <c r="I1" s="20"/>
      <c r="J1" s="20"/>
      <c r="K1" s="20"/>
    </row>
    <row r="2" spans="1:27" ht="18.75">
      <c r="B2" s="14" t="s">
        <v>1394</v>
      </c>
    </row>
    <row r="4" spans="1:27">
      <c r="B4" s="7" t="s">
        <v>1104</v>
      </c>
      <c r="C4" s="163"/>
    </row>
    <row r="6" spans="1:27">
      <c r="B6" s="15" t="s">
        <v>1105</v>
      </c>
      <c r="C6" s="15" t="s">
        <v>1106</v>
      </c>
      <c r="D6" s="15" t="s">
        <v>1107</v>
      </c>
      <c r="E6" s="15" t="s">
        <v>1108</v>
      </c>
      <c r="F6" s="15" t="s">
        <v>1109</v>
      </c>
      <c r="G6" s="307" t="s">
        <v>1110</v>
      </c>
      <c r="H6" s="307"/>
      <c r="I6" s="307" t="s">
        <v>1111</v>
      </c>
      <c r="J6" s="307"/>
      <c r="L6" s="293" t="s">
        <v>1112</v>
      </c>
      <c r="M6" s="294"/>
      <c r="N6" s="295"/>
      <c r="T6" s="377" t="s">
        <v>1395</v>
      </c>
      <c r="U6" s="378"/>
      <c r="V6" s="378"/>
      <c r="W6" s="378"/>
      <c r="X6" s="378"/>
      <c r="Y6" s="378"/>
      <c r="Z6" s="378"/>
      <c r="AA6" s="379"/>
    </row>
    <row r="7" spans="1:27">
      <c r="B7" s="2">
        <v>1</v>
      </c>
      <c r="C7" s="3" t="s">
        <v>1113</v>
      </c>
      <c r="D7" s="2">
        <v>1</v>
      </c>
      <c r="E7" s="2">
        <f t="shared" ref="E7:E15" si="0">D7+F7-1</f>
        <v>1</v>
      </c>
      <c r="F7" s="2">
        <v>1</v>
      </c>
      <c r="G7" s="2" t="str">
        <f>TRIM(MID($C$4,1,1))</f>
        <v/>
      </c>
      <c r="H7" s="2" t="str">
        <f>TRIM(MID($C$4,2,1))</f>
        <v/>
      </c>
      <c r="I7" s="2">
        <f>HEX2DEC(SUBSTITUTE(G7," ",""))</f>
        <v>0</v>
      </c>
      <c r="J7" s="2">
        <f>HEX2DEC(SUBSTITUTE(H7," ",""))</f>
        <v>0</v>
      </c>
      <c r="L7" s="69" t="str">
        <f>IF(MOD(INT(HEX2BIN(G7,4)/(2^(3-1))),2)=1,CONCATENATE("This is a Retry"),CONCATENATE("This is NOT a Retry"))</f>
        <v>This is NOT a Retry</v>
      </c>
      <c r="M7" s="68"/>
      <c r="N7" s="68"/>
      <c r="T7" s="29" t="s">
        <v>1396</v>
      </c>
      <c r="AA7" s="30"/>
    </row>
    <row r="8" spans="1:27">
      <c r="B8" s="2">
        <v>2</v>
      </c>
      <c r="C8" s="3" t="s">
        <v>1397</v>
      </c>
      <c r="D8" s="2">
        <f t="shared" ref="D8:D15" si="1">E7+1</f>
        <v>2</v>
      </c>
      <c r="E8" s="2">
        <f t="shared" si="0"/>
        <v>2</v>
      </c>
      <c r="F8" s="2">
        <v>1</v>
      </c>
      <c r="G8" s="2" t="str">
        <f>TRIM(MID($C$4,4,1))</f>
        <v/>
      </c>
      <c r="H8" s="2" t="str">
        <f>TRIM(MID($C$4,5,1))</f>
        <v/>
      </c>
      <c r="I8" s="2">
        <f>HEX2DEC(SUBSTITUTE(G8," ",""))</f>
        <v>0</v>
      </c>
      <c r="J8" s="2">
        <f>HEX2DEC(SUBSTITUTE(H8," ",""))</f>
        <v>0</v>
      </c>
      <c r="L8" s="69" t="str">
        <f>IF(ISNA(VLOOKUP(CONCATENATE(G8,H8),'IGS Configuration Values'!$B$127:$D$129,2,FALSE))=TRUE,"Invalid Type/Subtype",VLOOKUP(CONCATENATE(G8,H8),'IGS Configuration Values'!$B$127:$D$129,2,FALSE))</f>
        <v>Invalid Type/Subtype</v>
      </c>
      <c r="M8" s="68"/>
      <c r="N8" s="68"/>
      <c r="T8" s="29" t="s">
        <v>1398</v>
      </c>
      <c r="AA8" s="30"/>
    </row>
    <row r="9" spans="1:27">
      <c r="B9" s="2">
        <v>3</v>
      </c>
      <c r="C9" s="3" t="s">
        <v>1115</v>
      </c>
      <c r="D9" s="2">
        <f t="shared" si="1"/>
        <v>3</v>
      </c>
      <c r="E9" s="2">
        <f t="shared" si="0"/>
        <v>4</v>
      </c>
      <c r="F9" s="2">
        <v>2</v>
      </c>
      <c r="G9" s="255" t="str">
        <f t="shared" ref="G9:G15" si="2">TRIM(MID($C$4,(D9-1)*3+1,F9*3))</f>
        <v/>
      </c>
      <c r="H9" s="255"/>
      <c r="I9" s="231">
        <f t="shared" ref="I9:I15" si="3">HEX2DEC(SUBSTITUTE(G9," ",""))</f>
        <v>0</v>
      </c>
      <c r="J9" s="231"/>
      <c r="T9" s="29" t="s">
        <v>1399</v>
      </c>
      <c r="AA9" s="30"/>
    </row>
    <row r="10" spans="1:27">
      <c r="B10" s="2">
        <v>4</v>
      </c>
      <c r="C10" s="3" t="s">
        <v>1400</v>
      </c>
      <c r="D10" s="2">
        <f t="shared" si="1"/>
        <v>5</v>
      </c>
      <c r="E10" s="2">
        <f t="shared" si="0"/>
        <v>5</v>
      </c>
      <c r="F10" s="2">
        <v>1</v>
      </c>
      <c r="G10" s="255" t="str">
        <f t="shared" si="2"/>
        <v/>
      </c>
      <c r="H10" s="255"/>
      <c r="I10" s="231">
        <f t="shared" si="3"/>
        <v>0</v>
      </c>
      <c r="J10" s="231"/>
      <c r="L10" s="69" t="str">
        <f>IF(ISNA(VLOOKUP(G10,'IGS Configuration Values'!$B$143:$D$146,2,FALSE))=TRUE,"Invalid Class",VLOOKUP(G10,'IGS Configuration Values'!$B$143:$D$146,2,FALSE))</f>
        <v>Invalid Class</v>
      </c>
      <c r="M10" s="68"/>
      <c r="N10" s="68"/>
      <c r="T10" s="29" t="s">
        <v>1401</v>
      </c>
      <c r="AA10" s="30"/>
    </row>
    <row r="11" spans="1:27">
      <c r="B11" s="2">
        <v>5</v>
      </c>
      <c r="C11" s="3" t="s">
        <v>1402</v>
      </c>
      <c r="D11" s="2">
        <f t="shared" si="1"/>
        <v>6</v>
      </c>
      <c r="E11" s="2">
        <f t="shared" si="0"/>
        <v>6</v>
      </c>
      <c r="F11" s="2">
        <v>1</v>
      </c>
      <c r="G11" s="255" t="str">
        <f t="shared" si="2"/>
        <v/>
      </c>
      <c r="H11" s="255"/>
      <c r="I11" s="231">
        <f t="shared" si="3"/>
        <v>0</v>
      </c>
      <c r="J11" s="231"/>
      <c r="L11" s="69" t="str">
        <f>IF(ISNA(VLOOKUP(G11,'IGS Configuration Values'!$B$150:$D$158,2,FALSE))=TRUE,"Invalid Subclass",VLOOKUP(G11,'IGS Configuration Values'!$B$150:$D$158,2,FALSE))</f>
        <v>Invalid Subclass</v>
      </c>
      <c r="M11" s="68"/>
      <c r="N11" s="68"/>
      <c r="T11" s="31" t="s">
        <v>1403</v>
      </c>
      <c r="U11" s="32"/>
      <c r="V11" s="32"/>
      <c r="W11" s="32"/>
      <c r="X11" s="32"/>
      <c r="Y11" s="32"/>
      <c r="Z11" s="32"/>
      <c r="AA11" s="33"/>
    </row>
    <row r="12" spans="1:27">
      <c r="B12" s="2">
        <v>6</v>
      </c>
      <c r="C12" s="3" t="s">
        <v>145</v>
      </c>
      <c r="D12" s="2">
        <f t="shared" si="1"/>
        <v>7</v>
      </c>
      <c r="E12" s="2">
        <f t="shared" si="0"/>
        <v>7</v>
      </c>
      <c r="F12" s="2">
        <v>1</v>
      </c>
      <c r="G12" s="255" t="str">
        <f t="shared" si="2"/>
        <v/>
      </c>
      <c r="H12" s="255"/>
      <c r="I12" s="231">
        <f t="shared" si="3"/>
        <v>0</v>
      </c>
      <c r="J12" s="231"/>
      <c r="L12" s="69" t="str">
        <f>IF(ISNA(VLOOKUP(G12,'IGS Configuration Values'!$B$134:$D$138,2,FALSE))=TRUE,"Invalid Report Type",VLOOKUP(G12,'IGS Configuration Values'!$B$134:$D$138,2,FALSE))</f>
        <v>Invalid Report Type</v>
      </c>
      <c r="M12" s="68"/>
      <c r="N12" s="68"/>
    </row>
    <row r="13" spans="1:27">
      <c r="B13" s="2">
        <v>7</v>
      </c>
      <c r="C13" s="3" t="s">
        <v>1404</v>
      </c>
      <c r="D13" s="2">
        <f t="shared" si="1"/>
        <v>8</v>
      </c>
      <c r="E13" s="2">
        <f t="shared" si="0"/>
        <v>9</v>
      </c>
      <c r="F13" s="2">
        <v>2</v>
      </c>
      <c r="G13" s="255" t="str">
        <f t="shared" si="2"/>
        <v/>
      </c>
      <c r="H13" s="255"/>
      <c r="I13" s="231">
        <f t="shared" si="3"/>
        <v>0</v>
      </c>
      <c r="J13" s="231"/>
    </row>
    <row r="14" spans="1:27">
      <c r="B14" s="2">
        <v>8</v>
      </c>
      <c r="C14" s="3" t="s">
        <v>1405</v>
      </c>
      <c r="D14" s="2">
        <f t="shared" si="1"/>
        <v>10</v>
      </c>
      <c r="E14" s="2">
        <f t="shared" si="0"/>
        <v>13</v>
      </c>
      <c r="F14" s="2">
        <v>4</v>
      </c>
      <c r="G14" s="255" t="str">
        <f t="shared" si="2"/>
        <v/>
      </c>
      <c r="H14" s="255"/>
      <c r="I14" s="231">
        <f t="shared" si="3"/>
        <v>0</v>
      </c>
      <c r="J14" s="231"/>
      <c r="K14" s="51" t="s">
        <v>46</v>
      </c>
      <c r="L14" s="29" t="s">
        <v>1406</v>
      </c>
    </row>
    <row r="15" spans="1:27">
      <c r="B15" s="2">
        <v>9</v>
      </c>
      <c r="C15" s="3" t="s">
        <v>1236</v>
      </c>
      <c r="D15" s="2">
        <f t="shared" si="1"/>
        <v>14</v>
      </c>
      <c r="E15" s="2">
        <f t="shared" si="0"/>
        <v>14</v>
      </c>
      <c r="F15" s="2">
        <v>1</v>
      </c>
      <c r="G15" s="255" t="str">
        <f t="shared" si="2"/>
        <v/>
      </c>
      <c r="H15" s="255"/>
      <c r="I15" s="231">
        <f t="shared" si="3"/>
        <v>0</v>
      </c>
      <c r="J15" s="231"/>
    </row>
    <row r="18" spans="1:23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</row>
    <row r="19" spans="1:23" ht="18.75">
      <c r="B19" s="14" t="s">
        <v>1407</v>
      </c>
    </row>
    <row r="21" spans="1:23">
      <c r="B21" s="7" t="s">
        <v>1104</v>
      </c>
      <c r="C21" s="163" t="s">
        <v>1408</v>
      </c>
    </row>
    <row r="23" spans="1:23">
      <c r="B23" s="15" t="s">
        <v>1105</v>
      </c>
      <c r="C23" s="15" t="s">
        <v>1106</v>
      </c>
      <c r="D23" s="15" t="s">
        <v>1107</v>
      </c>
      <c r="E23" s="15" t="s">
        <v>1108</v>
      </c>
      <c r="F23" s="15" t="s">
        <v>1109</v>
      </c>
      <c r="G23" s="307" t="s">
        <v>1110</v>
      </c>
      <c r="H23" s="307"/>
      <c r="I23" s="307" t="s">
        <v>1111</v>
      </c>
      <c r="J23" s="307"/>
      <c r="L23" s="293" t="s">
        <v>1112</v>
      </c>
      <c r="M23" s="294"/>
      <c r="N23" s="295"/>
      <c r="T23" s="377" t="s">
        <v>1409</v>
      </c>
      <c r="U23" s="378"/>
      <c r="V23" s="378"/>
      <c r="W23" s="379"/>
    </row>
    <row r="24" spans="1:23">
      <c r="B24" s="2">
        <v>1</v>
      </c>
      <c r="C24" s="3" t="s">
        <v>1113</v>
      </c>
      <c r="D24" s="2">
        <v>1</v>
      </c>
      <c r="E24" s="2">
        <f>D24+F24-1</f>
        <v>1</v>
      </c>
      <c r="F24" s="2">
        <v>1</v>
      </c>
      <c r="G24" s="2" t="str">
        <f>TRIM(MID($C$21,1,1))</f>
        <v>2</v>
      </c>
      <c r="H24" s="2" t="str">
        <f>TRIM(MID($C$21,2,1))</f>
        <v>C</v>
      </c>
      <c r="I24" s="2">
        <f>HEX2DEC(SUBSTITUTE(G24," ",""))</f>
        <v>2</v>
      </c>
      <c r="J24" s="2">
        <f>HEX2DEC(SUBSTITUTE(H24," ",""))</f>
        <v>12</v>
      </c>
      <c r="L24" s="69" t="str">
        <f>IF(MOD(INT(HEX2BIN(G24,4)/(2^(3-1))),2)=1,CONCATENATE("This is a Retry"),CONCATENATE("This is NOT a Retry"))</f>
        <v>This is NOT a Retry</v>
      </c>
      <c r="M24" s="68"/>
      <c r="N24" s="68"/>
      <c r="T24" s="26" t="s">
        <v>1410</v>
      </c>
      <c r="U24" s="27"/>
      <c r="V24" s="27"/>
      <c r="W24" s="28"/>
    </row>
    <row r="25" spans="1:23">
      <c r="B25" s="2">
        <v>2</v>
      </c>
      <c r="C25" s="3" t="s">
        <v>1397</v>
      </c>
      <c r="D25" s="2">
        <f>E24+1</f>
        <v>2</v>
      </c>
      <c r="E25" s="2">
        <f>D25+F25-1</f>
        <v>2</v>
      </c>
      <c r="F25" s="2">
        <v>1</v>
      </c>
      <c r="G25" s="2" t="str">
        <f>TRIM(MID($C$21,4,1))</f>
        <v>6</v>
      </c>
      <c r="H25" s="2" t="str">
        <f>TRIM(MID($C$21,5,1))</f>
        <v>3</v>
      </c>
      <c r="I25" s="2">
        <f>HEX2DEC(SUBSTITUTE(G25," ",""))</f>
        <v>6</v>
      </c>
      <c r="J25" s="2">
        <f>HEX2DEC(SUBSTITUTE(H25," ",""))</f>
        <v>3</v>
      </c>
      <c r="L25" s="69" t="str">
        <f>IF(ISNA(VLOOKUP(CONCATENATE(G25,H25),'IGS Configuration Values'!$B$127:$D$129,2,FALSE))=TRUE,"Invalid Type/Subtype",VLOOKUP(CONCATENATE(G25,H25),'IGS Configuration Values'!$B$127:$D$129,2,FALSE))</f>
        <v>Financial Report</v>
      </c>
      <c r="M25" s="68"/>
      <c r="N25" s="68"/>
      <c r="T25" s="29" t="s">
        <v>1411</v>
      </c>
      <c r="W25" s="30"/>
    </row>
    <row r="26" spans="1:23">
      <c r="B26" s="2">
        <v>3</v>
      </c>
      <c r="C26" s="3" t="s">
        <v>1115</v>
      </c>
      <c r="D26" s="2">
        <f>E25+1</f>
        <v>3</v>
      </c>
      <c r="E26" s="2">
        <f>D26+F26-1</f>
        <v>4</v>
      </c>
      <c r="F26" s="2">
        <v>2</v>
      </c>
      <c r="G26" s="255" t="str">
        <f>TRIM(MID($C$21,(D26-1)*3+1,F26*3))</f>
        <v>9D B9</v>
      </c>
      <c r="H26" s="255"/>
      <c r="I26" s="231">
        <f t="shared" ref="I26:I31" si="4">HEX2DEC(SUBSTITUTE(G26," ",""))</f>
        <v>40377</v>
      </c>
      <c r="J26" s="231"/>
      <c r="T26" s="29" t="s">
        <v>1412</v>
      </c>
      <c r="W26" s="30"/>
    </row>
    <row r="27" spans="1:23">
      <c r="B27" s="2">
        <v>4</v>
      </c>
      <c r="C27" s="3" t="s">
        <v>1413</v>
      </c>
      <c r="D27" s="2">
        <f>E26+1</f>
        <v>5</v>
      </c>
      <c r="E27" s="2">
        <f>D27+F27-1</f>
        <v>7</v>
      </c>
      <c r="F27" s="2">
        <v>3</v>
      </c>
      <c r="G27" s="255" t="str">
        <f>TRIM(MID($C$21,(D27-1)*3+1,F27*3))</f>
        <v>12 30 21</v>
      </c>
      <c r="H27" s="255"/>
      <c r="I27" s="231" t="str">
        <f>CONCATENATE(TEXT(HEX2DEC(SUBSTITUTE(MID(G27,1,2)," ","")),"00"),":",TEXT(HEX2DEC(SUBSTITUTE(MID(G27,4,2)," ","")),"00"),":",TEXT(HEX2DEC(SUBSTITUTE(MID(G27,7,2)," ","")),"00"))</f>
        <v>18:48:33</v>
      </c>
      <c r="J27" s="231"/>
      <c r="T27" s="31" t="s">
        <v>1414</v>
      </c>
      <c r="U27" s="32"/>
      <c r="V27" s="32"/>
      <c r="W27" s="33"/>
    </row>
    <row r="28" spans="1:23">
      <c r="B28" s="2">
        <v>5</v>
      </c>
      <c r="C28" s="3" t="s">
        <v>1415</v>
      </c>
      <c r="D28" s="2">
        <f>E27+1</f>
        <v>8</v>
      </c>
      <c r="E28" s="2">
        <f>D28+F28-1</f>
        <v>8</v>
      </c>
      <c r="F28" s="2">
        <v>1</v>
      </c>
      <c r="G28" s="2" t="str">
        <f>TRIM(MID($C$21,22,1))</f>
        <v>1</v>
      </c>
      <c r="H28" s="2" t="str">
        <f>TRIM(MID($C$21,23,1))</f>
        <v>1</v>
      </c>
      <c r="I28" s="2">
        <f t="shared" si="4"/>
        <v>1</v>
      </c>
      <c r="J28" s="2">
        <f>HEX2DEC(SUBSTITUTE(H28," ",""))</f>
        <v>1</v>
      </c>
      <c r="L28" s="69" t="str">
        <f>CONCATENATE(IF(ISNA(VLOOKUP(G28,'IGS Configuration Values'!$B$163:$D$178,2,FALSE))=TRUE,"Invalid Sys Avb Flags",VLOOKUP(G28,'IGS Configuration Values'!$B$163:$D$178,2,FALSE))," | ",IF(ISNA(VLOOKUP(CONCATENATE("0",H28),'IGS Configuration Values'!$B$143:$D$146,2,FALSE))=TRUE,"Invalid Class",VLOOKUP(CONCATENATE("0",H28),'IGS Configuration Values'!$B$143:$D$146,2,FALSE)))</f>
        <v>LGS System Not Available | Total Summary Report</v>
      </c>
      <c r="M28" s="68"/>
      <c r="N28" s="68"/>
      <c r="O28" s="68"/>
      <c r="P28" s="68"/>
    </row>
    <row r="29" spans="1:23">
      <c r="B29" s="2">
        <v>6</v>
      </c>
      <c r="C29" s="3" t="s">
        <v>1416</v>
      </c>
      <c r="D29" s="2">
        <f t="shared" ref="D29:D50" si="5">E28+1</f>
        <v>9</v>
      </c>
      <c r="E29" s="2">
        <f t="shared" ref="E29:E50" si="6">D29+F29-1</f>
        <v>9</v>
      </c>
      <c r="F29" s="2">
        <v>1</v>
      </c>
      <c r="G29" s="255" t="str">
        <f>TRIM(MID($C$21,(D29-1)*3+1,F29*3))</f>
        <v>00</v>
      </c>
      <c r="H29" s="255"/>
      <c r="I29" s="231">
        <f t="shared" si="4"/>
        <v>0</v>
      </c>
      <c r="J29" s="231"/>
      <c r="L29" s="69" t="str">
        <f>IF(ISNA(VLOOKUP(G29,'IGS Configuration Values'!$B$150:$D$158,2,FALSE))=TRUE,"Invalid Subclass",VLOOKUP(G29,'IGS Configuration Values'!$B$150:$D$158,2,FALSE))</f>
        <v>Today</v>
      </c>
      <c r="M29" s="68"/>
      <c r="N29" s="68"/>
      <c r="T29" s="377" t="s">
        <v>1395</v>
      </c>
      <c r="U29" s="378"/>
      <c r="V29" s="378"/>
      <c r="W29" s="379"/>
    </row>
    <row r="30" spans="1:23">
      <c r="B30" s="2">
        <v>7</v>
      </c>
      <c r="C30" s="3" t="s">
        <v>145</v>
      </c>
      <c r="D30" s="2">
        <f t="shared" si="5"/>
        <v>10</v>
      </c>
      <c r="E30" s="2">
        <f t="shared" si="6"/>
        <v>10</v>
      </c>
      <c r="F30" s="2">
        <v>1</v>
      </c>
      <c r="G30" s="255" t="str">
        <f>TRIM(MID($C$21,(D30-1)*3+1,F30*3))</f>
        <v>00</v>
      </c>
      <c r="H30" s="255"/>
      <c r="I30" s="231">
        <f t="shared" si="4"/>
        <v>0</v>
      </c>
      <c r="J30" s="231"/>
      <c r="L30" s="69" t="str">
        <f>IF(ISNA(VLOOKUP(G30,'IGS Configuration Values'!$B$134:$D$138,2,FALSE))=TRUE,"Invalid Report Type",VLOOKUP(G30,'IGS Configuration Values'!$B$134:$D$138,2,FALSE))</f>
        <v>Regular</v>
      </c>
      <c r="M30" s="68"/>
      <c r="N30" s="68"/>
      <c r="T30" s="26" t="s">
        <v>1417</v>
      </c>
      <c r="U30" s="27"/>
      <c r="V30" s="27"/>
      <c r="W30" s="28"/>
    </row>
    <row r="31" spans="1:23">
      <c r="B31" s="2">
        <v>8</v>
      </c>
      <c r="C31" s="3" t="s">
        <v>1418</v>
      </c>
      <c r="D31" s="2">
        <f t="shared" si="5"/>
        <v>11</v>
      </c>
      <c r="E31" s="2">
        <f t="shared" si="6"/>
        <v>12</v>
      </c>
      <c r="F31" s="2">
        <v>2</v>
      </c>
      <c r="G31" s="255" t="str">
        <f>TRIM(MID($C$21,(D31-1)*3+1,F31*3))</f>
        <v>16 D1</v>
      </c>
      <c r="H31" s="255"/>
      <c r="I31" s="231">
        <f t="shared" si="4"/>
        <v>5841</v>
      </c>
      <c r="J31" s="231"/>
      <c r="T31" s="29" t="s">
        <v>1419</v>
      </c>
      <c r="W31" s="30"/>
    </row>
    <row r="32" spans="1:23">
      <c r="B32" s="2">
        <v>9</v>
      </c>
      <c r="C32" s="3" t="s">
        <v>1122</v>
      </c>
      <c r="D32" s="2">
        <f t="shared" si="5"/>
        <v>13</v>
      </c>
      <c r="E32" s="2">
        <f t="shared" si="6"/>
        <v>16</v>
      </c>
      <c r="F32" s="2">
        <v>4</v>
      </c>
      <c r="G32" s="255" t="str">
        <f t="shared" ref="G32:G49" si="7">TRIM(MID($C$21,(D32-1)*3+1,F32*3))</f>
        <v>00 2D C6 C8</v>
      </c>
      <c r="H32" s="255"/>
      <c r="I32" s="231">
        <f t="shared" ref="I32:I49" si="8">HEX2DEC(SUBSTITUTE(G32," ",""))</f>
        <v>3000008</v>
      </c>
      <c r="J32" s="231"/>
      <c r="T32" s="31" t="s">
        <v>1420</v>
      </c>
      <c r="U32" s="32"/>
      <c r="V32" s="32"/>
      <c r="W32" s="33"/>
    </row>
    <row r="33" spans="2:23">
      <c r="B33" s="2">
        <v>10</v>
      </c>
      <c r="C33" s="3" t="s">
        <v>1421</v>
      </c>
      <c r="D33" s="2">
        <f t="shared" si="5"/>
        <v>17</v>
      </c>
      <c r="E33" s="2">
        <f t="shared" si="6"/>
        <v>17</v>
      </c>
      <c r="F33" s="2">
        <v>1</v>
      </c>
      <c r="G33" s="255" t="str">
        <f t="shared" si="7"/>
        <v>01</v>
      </c>
      <c r="H33" s="255"/>
      <c r="I33" s="231">
        <f t="shared" si="8"/>
        <v>1</v>
      </c>
      <c r="J33" s="231"/>
    </row>
    <row r="34" spans="2:23">
      <c r="B34" s="2">
        <v>11</v>
      </c>
      <c r="C34" s="3" t="s">
        <v>1422</v>
      </c>
      <c r="D34" s="2">
        <f t="shared" si="5"/>
        <v>18</v>
      </c>
      <c r="E34" s="2">
        <f t="shared" si="6"/>
        <v>18</v>
      </c>
      <c r="F34" s="2">
        <v>1</v>
      </c>
      <c r="G34" s="255" t="str">
        <f t="shared" si="7"/>
        <v>00</v>
      </c>
      <c r="H34" s="255"/>
      <c r="I34" s="231">
        <f t="shared" si="8"/>
        <v>0</v>
      </c>
      <c r="J34" s="231"/>
      <c r="L34" s="69" t="str">
        <f>IF(ISNA(VLOOKUP(G34,'IGS Configuration Values'!$B$183:$D$185,2,FALSE))=TRUE,"Invalid Options Flag",VLOOKUP(G34,'IGS Configuration Values'!$B$183:$D$185,2,FALSE))</f>
        <v>Not Applicable</v>
      </c>
      <c r="M34" s="68"/>
      <c r="N34" s="68"/>
      <c r="T34" s="377" t="s">
        <v>1423</v>
      </c>
      <c r="U34" s="378"/>
      <c r="V34" s="378"/>
      <c r="W34" s="379"/>
    </row>
    <row r="35" spans="2:23">
      <c r="B35" s="2">
        <v>12</v>
      </c>
      <c r="C35" s="3" t="s">
        <v>1424</v>
      </c>
      <c r="D35" s="2">
        <f t="shared" si="5"/>
        <v>19</v>
      </c>
      <c r="E35" s="2">
        <f t="shared" si="6"/>
        <v>22</v>
      </c>
      <c r="F35" s="2">
        <v>4</v>
      </c>
      <c r="G35" s="255" t="str">
        <f t="shared" si="7"/>
        <v>00 00 00 00</v>
      </c>
      <c r="H35" s="255"/>
      <c r="I35" s="231">
        <f t="shared" si="8"/>
        <v>0</v>
      </c>
      <c r="J35" s="231"/>
      <c r="T35" s="26" t="s">
        <v>1425</v>
      </c>
      <c r="U35" s="27"/>
      <c r="V35" s="27"/>
      <c r="W35" s="28"/>
    </row>
    <row r="36" spans="2:23">
      <c r="B36" s="2">
        <v>13</v>
      </c>
      <c r="C36" s="3" t="s">
        <v>1426</v>
      </c>
      <c r="D36" s="2">
        <f t="shared" si="5"/>
        <v>23</v>
      </c>
      <c r="E36" s="2">
        <f t="shared" si="6"/>
        <v>26</v>
      </c>
      <c r="F36" s="2">
        <v>4</v>
      </c>
      <c r="G36" s="255" t="str">
        <f t="shared" si="7"/>
        <v>00 00 00 00</v>
      </c>
      <c r="H36" s="255"/>
      <c r="I36" s="231">
        <f t="shared" si="8"/>
        <v>0</v>
      </c>
      <c r="J36" s="231"/>
      <c r="T36" s="29" t="s">
        <v>1427</v>
      </c>
      <c r="W36" s="30"/>
    </row>
    <row r="37" spans="2:23">
      <c r="B37" s="2">
        <v>14</v>
      </c>
      <c r="C37" s="3" t="s">
        <v>1428</v>
      </c>
      <c r="D37" s="2">
        <f t="shared" si="5"/>
        <v>27</v>
      </c>
      <c r="E37" s="2">
        <f t="shared" si="6"/>
        <v>30</v>
      </c>
      <c r="F37" s="2">
        <v>4</v>
      </c>
      <c r="G37" s="255" t="str">
        <f t="shared" si="7"/>
        <v>00 00 00 04</v>
      </c>
      <c r="H37" s="255"/>
      <c r="I37" s="231">
        <f t="shared" si="8"/>
        <v>4</v>
      </c>
      <c r="J37" s="231"/>
      <c r="T37" s="31" t="s">
        <v>1429</v>
      </c>
      <c r="U37" s="32"/>
      <c r="V37" s="32"/>
      <c r="W37" s="33"/>
    </row>
    <row r="38" spans="2:23">
      <c r="B38" s="2">
        <v>15</v>
      </c>
      <c r="C38" s="3" t="s">
        <v>1430</v>
      </c>
      <c r="D38" s="2">
        <f t="shared" si="5"/>
        <v>31</v>
      </c>
      <c r="E38" s="2">
        <f t="shared" si="6"/>
        <v>34</v>
      </c>
      <c r="F38" s="2">
        <v>4</v>
      </c>
      <c r="G38" s="255" t="str">
        <f t="shared" si="7"/>
        <v>00 00 01 68</v>
      </c>
      <c r="H38" s="255"/>
      <c r="I38" s="231">
        <f t="shared" si="8"/>
        <v>360</v>
      </c>
      <c r="J38" s="231"/>
    </row>
    <row r="39" spans="2:23">
      <c r="B39" s="2">
        <v>16</v>
      </c>
      <c r="C39" s="3" t="s">
        <v>1431</v>
      </c>
      <c r="D39" s="2">
        <f t="shared" si="5"/>
        <v>35</v>
      </c>
      <c r="E39" s="2">
        <f t="shared" si="6"/>
        <v>38</v>
      </c>
      <c r="F39" s="2">
        <v>4</v>
      </c>
      <c r="G39" s="255" t="str">
        <f t="shared" si="7"/>
        <v>00 00 00 00</v>
      </c>
      <c r="H39" s="255"/>
      <c r="I39" s="231">
        <f t="shared" si="8"/>
        <v>0</v>
      </c>
      <c r="J39" s="231"/>
    </row>
    <row r="40" spans="2:23">
      <c r="B40" s="2">
        <v>17</v>
      </c>
      <c r="C40" s="3" t="s">
        <v>1432</v>
      </c>
      <c r="D40" s="2">
        <f t="shared" si="5"/>
        <v>39</v>
      </c>
      <c r="E40" s="2">
        <f t="shared" si="6"/>
        <v>42</v>
      </c>
      <c r="F40" s="2">
        <v>4</v>
      </c>
      <c r="G40" s="255" t="str">
        <f t="shared" si="7"/>
        <v>00 00 00 00</v>
      </c>
      <c r="H40" s="255"/>
      <c r="I40" s="231">
        <f t="shared" si="8"/>
        <v>0</v>
      </c>
      <c r="J40" s="231"/>
      <c r="K40" s="51" t="s">
        <v>46</v>
      </c>
      <c r="L40" s="29" t="s">
        <v>1433</v>
      </c>
    </row>
    <row r="41" spans="2:23">
      <c r="B41" s="2">
        <v>18</v>
      </c>
      <c r="C41" s="3" t="s">
        <v>1434</v>
      </c>
      <c r="D41" s="2">
        <f t="shared" si="5"/>
        <v>43</v>
      </c>
      <c r="E41" s="2">
        <f t="shared" si="6"/>
        <v>46</v>
      </c>
      <c r="F41" s="2">
        <v>4</v>
      </c>
      <c r="G41" s="255" t="str">
        <f t="shared" si="7"/>
        <v>00 00 00 00</v>
      </c>
      <c r="H41" s="255"/>
      <c r="I41" s="231">
        <f t="shared" si="8"/>
        <v>0</v>
      </c>
      <c r="J41" s="231"/>
    </row>
    <row r="42" spans="2:23">
      <c r="B42" s="2">
        <v>19</v>
      </c>
      <c r="C42" s="3" t="s">
        <v>1435</v>
      </c>
      <c r="D42" s="2">
        <f t="shared" si="5"/>
        <v>47</v>
      </c>
      <c r="E42" s="2">
        <f t="shared" si="6"/>
        <v>50</v>
      </c>
      <c r="F42" s="2">
        <v>4</v>
      </c>
      <c r="G42" s="255" t="str">
        <f t="shared" si="7"/>
        <v>00 00 00 00</v>
      </c>
      <c r="H42" s="255"/>
      <c r="I42" s="231">
        <f t="shared" si="8"/>
        <v>0</v>
      </c>
      <c r="J42" s="231"/>
      <c r="T42" s="377" t="s">
        <v>1436</v>
      </c>
      <c r="U42" s="378"/>
      <c r="V42" s="378"/>
      <c r="W42" s="379"/>
    </row>
    <row r="43" spans="2:23">
      <c r="B43" s="2">
        <v>20</v>
      </c>
      <c r="C43" s="3" t="s">
        <v>1437</v>
      </c>
      <c r="D43" s="2">
        <f t="shared" si="5"/>
        <v>51</v>
      </c>
      <c r="E43" s="2">
        <f t="shared" si="6"/>
        <v>54</v>
      </c>
      <c r="F43" s="2">
        <v>4</v>
      </c>
      <c r="G43" s="255" t="str">
        <f t="shared" si="7"/>
        <v>00 00 00 00</v>
      </c>
      <c r="H43" s="255"/>
      <c r="I43" s="231">
        <f t="shared" si="8"/>
        <v>0</v>
      </c>
      <c r="J43" s="231"/>
      <c r="T43" s="26" t="s">
        <v>1438</v>
      </c>
      <c r="U43" s="27"/>
      <c r="V43" s="27"/>
      <c r="W43" s="28"/>
    </row>
    <row r="44" spans="2:23">
      <c r="B44" s="2">
        <v>21</v>
      </c>
      <c r="C44" s="3" t="s">
        <v>1439</v>
      </c>
      <c r="D44" s="2">
        <f t="shared" si="5"/>
        <v>55</v>
      </c>
      <c r="E44" s="2">
        <f t="shared" si="6"/>
        <v>58</v>
      </c>
      <c r="F44" s="2">
        <v>4</v>
      </c>
      <c r="G44" s="255" t="str">
        <f t="shared" si="7"/>
        <v>00 00 00 00</v>
      </c>
      <c r="H44" s="255"/>
      <c r="I44" s="231">
        <f t="shared" si="8"/>
        <v>0</v>
      </c>
      <c r="J44" s="231"/>
      <c r="T44" s="31" t="s">
        <v>1440</v>
      </c>
      <c r="U44" s="32"/>
      <c r="V44" s="32"/>
      <c r="W44" s="33"/>
    </row>
    <row r="45" spans="2:23">
      <c r="B45" s="2">
        <v>22</v>
      </c>
      <c r="C45" s="3" t="s">
        <v>1441</v>
      </c>
      <c r="D45" s="2">
        <f t="shared" si="5"/>
        <v>59</v>
      </c>
      <c r="E45" s="2">
        <f t="shared" si="6"/>
        <v>62</v>
      </c>
      <c r="F45" s="2">
        <v>4</v>
      </c>
      <c r="G45" s="255" t="str">
        <f t="shared" si="7"/>
        <v>00 00 00 00</v>
      </c>
      <c r="H45" s="255"/>
      <c r="I45" s="231">
        <f t="shared" si="8"/>
        <v>0</v>
      </c>
      <c r="J45" s="231"/>
    </row>
    <row r="46" spans="2:23">
      <c r="B46" s="2">
        <v>23</v>
      </c>
      <c r="C46" s="3" t="s">
        <v>1442</v>
      </c>
      <c r="D46" s="2">
        <f t="shared" si="5"/>
        <v>63</v>
      </c>
      <c r="E46" s="2">
        <f t="shared" si="6"/>
        <v>66</v>
      </c>
      <c r="F46" s="2">
        <v>4</v>
      </c>
      <c r="G46" s="255" t="str">
        <f t="shared" si="7"/>
        <v>00 00 00 00</v>
      </c>
      <c r="H46" s="255"/>
      <c r="I46" s="231">
        <f t="shared" si="8"/>
        <v>0</v>
      </c>
      <c r="J46" s="231"/>
    </row>
    <row r="47" spans="2:23">
      <c r="B47" s="2">
        <v>24</v>
      </c>
      <c r="C47" s="3" t="s">
        <v>1443</v>
      </c>
      <c r="D47" s="2">
        <f t="shared" si="5"/>
        <v>67</v>
      </c>
      <c r="E47" s="2">
        <f t="shared" si="6"/>
        <v>70</v>
      </c>
      <c r="F47" s="2">
        <v>4</v>
      </c>
      <c r="G47" s="255" t="str">
        <f t="shared" si="7"/>
        <v>00 00 00 00</v>
      </c>
      <c r="H47" s="255"/>
      <c r="I47" s="231">
        <f t="shared" si="8"/>
        <v>0</v>
      </c>
      <c r="J47" s="231"/>
    </row>
    <row r="48" spans="2:23">
      <c r="B48" s="2">
        <v>25</v>
      </c>
      <c r="C48" s="3" t="s">
        <v>1444</v>
      </c>
      <c r="D48" s="2">
        <f t="shared" si="5"/>
        <v>71</v>
      </c>
      <c r="E48" s="2">
        <f t="shared" si="6"/>
        <v>74</v>
      </c>
      <c r="F48" s="2">
        <v>4</v>
      </c>
      <c r="G48" s="255" t="str">
        <f t="shared" si="7"/>
        <v>00 00 00 00</v>
      </c>
      <c r="H48" s="255"/>
      <c r="I48" s="231">
        <f t="shared" si="8"/>
        <v>0</v>
      </c>
      <c r="J48" s="231"/>
    </row>
    <row r="49" spans="1:15">
      <c r="B49" s="2">
        <v>26</v>
      </c>
      <c r="C49" s="3" t="s">
        <v>1445</v>
      </c>
      <c r="D49" s="2">
        <f t="shared" si="5"/>
        <v>75</v>
      </c>
      <c r="E49" s="2">
        <f t="shared" si="6"/>
        <v>78</v>
      </c>
      <c r="F49" s="2">
        <v>4</v>
      </c>
      <c r="G49" s="255" t="str">
        <f t="shared" si="7"/>
        <v>00 00 00 04</v>
      </c>
      <c r="H49" s="255"/>
      <c r="I49" s="231">
        <f t="shared" si="8"/>
        <v>4</v>
      </c>
      <c r="J49" s="231"/>
    </row>
    <row r="50" spans="1:15">
      <c r="B50" s="2">
        <v>27</v>
      </c>
      <c r="C50" s="3" t="s">
        <v>1446</v>
      </c>
      <c r="D50" s="2">
        <f t="shared" si="5"/>
        <v>79</v>
      </c>
      <c r="E50" s="2">
        <f t="shared" si="6"/>
        <v>86</v>
      </c>
      <c r="F50" s="2">
        <v>8</v>
      </c>
      <c r="G50" s="2" t="str">
        <f>TRIM(MID($C$21,(D50-1)*3+1,F50*3/2))</f>
        <v>00 00 00 00</v>
      </c>
      <c r="H50" s="2" t="str">
        <f>TRIM(MID($C$21,(D50+4-1)*3+1,F50*3/2))</f>
        <v>00 00 01 68</v>
      </c>
      <c r="I50" s="324">
        <f>IF(HEX2DEC(SUBSTITUTE(G50," ",""))=4294967295,HEX2DEC(CONCATENATE(MID(G50,10,2),SUBSTITUTE(H50," ",""))),IF(HEX2DEC(SUBSTITUTE(G50," ",""))=0,HEX2DEC(SUBSTITUTE(H50," ","")),"Descodificar Manualmente"))</f>
        <v>360</v>
      </c>
      <c r="J50" s="325"/>
      <c r="L50" s="179"/>
    </row>
    <row r="51" spans="1:15">
      <c r="B51" s="54" t="s">
        <v>1447</v>
      </c>
    </row>
    <row r="52" spans="1:15">
      <c r="C52" s="52"/>
    </row>
    <row r="54" spans="1:15">
      <c r="A54" s="20"/>
      <c r="B54" s="20"/>
      <c r="C54" s="20"/>
      <c r="D54" s="20"/>
      <c r="E54" s="20"/>
      <c r="F54" s="20"/>
      <c r="G54" s="20"/>
      <c r="H54" s="20"/>
      <c r="I54" s="20"/>
      <c r="J54" s="20"/>
      <c r="K54" s="20"/>
    </row>
    <row r="55" spans="1:15" ht="18.75">
      <c r="B55" s="14" t="s">
        <v>1448</v>
      </c>
    </row>
    <row r="57" spans="1:15">
      <c r="B57" s="7" t="s">
        <v>1104</v>
      </c>
      <c r="C57" s="163" t="s">
        <v>1449</v>
      </c>
    </row>
    <row r="59" spans="1:15">
      <c r="B59" s="15" t="s">
        <v>1105</v>
      </c>
      <c r="C59" s="15" t="s">
        <v>1106</v>
      </c>
      <c r="D59" s="15" t="s">
        <v>1107</v>
      </c>
      <c r="E59" s="15" t="s">
        <v>1108</v>
      </c>
      <c r="F59" s="15" t="s">
        <v>1109</v>
      </c>
      <c r="G59" s="307" t="s">
        <v>1110</v>
      </c>
      <c r="H59" s="307"/>
      <c r="I59" s="307" t="s">
        <v>1111</v>
      </c>
      <c r="J59" s="307"/>
      <c r="L59" s="293" t="s">
        <v>1112</v>
      </c>
      <c r="M59" s="294"/>
      <c r="N59" s="295"/>
    </row>
    <row r="60" spans="1:15">
      <c r="B60" s="2">
        <v>1</v>
      </c>
      <c r="C60" s="3" t="s">
        <v>1113</v>
      </c>
      <c r="D60" s="2">
        <v>1</v>
      </c>
      <c r="E60" s="2">
        <f t="shared" ref="E60:E70" si="9">D60+F60-1</f>
        <v>1</v>
      </c>
      <c r="F60" s="2">
        <v>1</v>
      </c>
      <c r="G60" s="2" t="str">
        <f>TRIM(MID($C$57,1,1))</f>
        <v>2</v>
      </c>
      <c r="H60" s="2" t="str">
        <f>TRIM(MID($C$57,2,1))</f>
        <v>D</v>
      </c>
      <c r="I60" s="2">
        <f>HEX2DEC(SUBSTITUTE(G60," ",""))</f>
        <v>2</v>
      </c>
      <c r="J60" s="2">
        <f>HEX2DEC(SUBSTITUTE(H60," ",""))</f>
        <v>13</v>
      </c>
      <c r="L60" s="69" t="str">
        <f>IF(MOD(INT(HEX2BIN(G60,4)/(2^(3-1))),2)=1,CONCATENATE("This is a Retry"),CONCATENATE("This is NOT a Retry"))</f>
        <v>This is NOT a Retry</v>
      </c>
      <c r="M60" s="68"/>
      <c r="N60" s="68"/>
    </row>
    <row r="61" spans="1:15">
      <c r="B61" s="2">
        <v>2</v>
      </c>
      <c r="C61" s="3" t="s">
        <v>1397</v>
      </c>
      <c r="D61" s="2">
        <f t="shared" ref="D61:D70" si="10">E60+1</f>
        <v>2</v>
      </c>
      <c r="E61" s="2">
        <f t="shared" si="9"/>
        <v>2</v>
      </c>
      <c r="F61" s="2">
        <v>1</v>
      </c>
      <c r="G61" s="2" t="str">
        <f>TRIM(MID($C$57,4,1))</f>
        <v>6</v>
      </c>
      <c r="H61" s="2" t="str">
        <f>TRIM(MID($C$57,5,1))</f>
        <v>3</v>
      </c>
      <c r="I61" s="2">
        <f>HEX2DEC(SUBSTITUTE(G61," ",""))</f>
        <v>6</v>
      </c>
      <c r="J61" s="2">
        <f>HEX2DEC(SUBSTITUTE(H61," ",""))</f>
        <v>3</v>
      </c>
      <c r="L61" s="69" t="str">
        <f>IF(ISNA(VLOOKUP(CONCATENATE(G61,H61),'IGS Configuration Values'!$B$127:$D$129,2,FALSE))=TRUE,"Invalid Type/Subtype",VLOOKUP(CONCATENATE(G61,H61),'IGS Configuration Values'!$B$127:$D$129,2,FALSE))</f>
        <v>Financial Report</v>
      </c>
      <c r="M61" s="68"/>
      <c r="N61" s="68"/>
    </row>
    <row r="62" spans="1:15">
      <c r="B62" s="2">
        <v>3</v>
      </c>
      <c r="C62" s="3" t="s">
        <v>1115</v>
      </c>
      <c r="D62" s="2">
        <f t="shared" si="10"/>
        <v>3</v>
      </c>
      <c r="E62" s="2">
        <f t="shared" si="9"/>
        <v>4</v>
      </c>
      <c r="F62" s="2">
        <v>2</v>
      </c>
      <c r="G62" s="255" t="str">
        <f>TRIM(MID($C$57,(D62-1)*3+1,F62*3))</f>
        <v>AB 73</v>
      </c>
      <c r="H62" s="255"/>
      <c r="I62" s="231">
        <f t="shared" ref="I62:I70" si="11">HEX2DEC(SUBSTITUTE(G62," ",""))</f>
        <v>43891</v>
      </c>
      <c r="J62" s="231"/>
    </row>
    <row r="63" spans="1:15">
      <c r="B63" s="2">
        <v>4</v>
      </c>
      <c r="C63" s="3" t="s">
        <v>1413</v>
      </c>
      <c r="D63" s="2">
        <f t="shared" si="10"/>
        <v>5</v>
      </c>
      <c r="E63" s="2">
        <f t="shared" si="9"/>
        <v>7</v>
      </c>
      <c r="F63" s="2">
        <v>3</v>
      </c>
      <c r="G63" s="255" t="str">
        <f>TRIM(MID($C$57,(D63-1)*3+1,F63*3))</f>
        <v>12 30 2C</v>
      </c>
      <c r="H63" s="255"/>
      <c r="I63" s="231" t="str">
        <f>CONCATENATE(TEXT(HEX2DEC(SUBSTITUTE(MID(G63,1,2)," ","")),"00"),":",TEXT(HEX2DEC(SUBSTITUTE(MID(G63,4,2)," ","")),"00"),":",TEXT(HEX2DEC(SUBSTITUTE(MID(G63,7,2)," ","")),"00"))</f>
        <v>18:48:44</v>
      </c>
      <c r="J63" s="231"/>
    </row>
    <row r="64" spans="1:15">
      <c r="B64" s="2">
        <v>5</v>
      </c>
      <c r="C64" s="3" t="s">
        <v>1450</v>
      </c>
      <c r="D64" s="2">
        <f t="shared" si="10"/>
        <v>8</v>
      </c>
      <c r="E64" s="2">
        <f t="shared" si="9"/>
        <v>8</v>
      </c>
      <c r="F64" s="2">
        <v>1</v>
      </c>
      <c r="G64" s="255" t="str">
        <f>TRIM(MID($C$57,(D64-1)*3+1,F64*3))</f>
        <v>02</v>
      </c>
      <c r="H64" s="255"/>
      <c r="I64" s="207">
        <f t="shared" si="11"/>
        <v>2</v>
      </c>
      <c r="J64" s="208"/>
      <c r="L64" s="69" t="str">
        <f>IF(ISNA(VLOOKUP(G64,'IGS Configuration Values'!$B$143:$D$146,2,FALSE))=TRUE,"Invalid Class",VLOOKUP(G64,'IGS Configuration Values'!$B$143:$D$146,2,FALSE))</f>
        <v>Total On-Line Sales</v>
      </c>
      <c r="M64" s="68"/>
      <c r="N64" s="68"/>
      <c r="O64" s="68"/>
    </row>
    <row r="65" spans="2:14">
      <c r="B65" s="2">
        <v>6</v>
      </c>
      <c r="C65" s="3" t="s">
        <v>1416</v>
      </c>
      <c r="D65" s="2">
        <f t="shared" si="10"/>
        <v>9</v>
      </c>
      <c r="E65" s="2">
        <f t="shared" si="9"/>
        <v>9</v>
      </c>
      <c r="F65" s="2">
        <v>1</v>
      </c>
      <c r="G65" s="255" t="str">
        <f t="shared" ref="G65:G70" si="12">TRIM(MID($C$57,(D65-1)*3+1,F65*3))</f>
        <v>00</v>
      </c>
      <c r="H65" s="255"/>
      <c r="I65" s="231">
        <f t="shared" si="11"/>
        <v>0</v>
      </c>
      <c r="J65" s="231"/>
      <c r="L65" s="69" t="str">
        <f>IF(ISNA(VLOOKUP(G65,'IGS Configuration Values'!$B$150:$D$158,2,FALSE))=TRUE,"Invalid Subclass",VLOOKUP(G65,'IGS Configuration Values'!$B$150:$D$158,2,FALSE))</f>
        <v>Today</v>
      </c>
      <c r="M65" s="68"/>
      <c r="N65" s="68"/>
    </row>
    <row r="66" spans="2:14">
      <c r="B66" s="2">
        <v>7</v>
      </c>
      <c r="C66" s="3" t="s">
        <v>145</v>
      </c>
      <c r="D66" s="2">
        <f t="shared" si="10"/>
        <v>10</v>
      </c>
      <c r="E66" s="2">
        <f t="shared" si="9"/>
        <v>10</v>
      </c>
      <c r="F66" s="2">
        <v>1</v>
      </c>
      <c r="G66" s="255" t="str">
        <f t="shared" si="12"/>
        <v>00</v>
      </c>
      <c r="H66" s="255"/>
      <c r="I66" s="231">
        <f t="shared" si="11"/>
        <v>0</v>
      </c>
      <c r="J66" s="231"/>
      <c r="L66" s="69" t="str">
        <f>IF(ISNA(VLOOKUP(G66,'IGS Configuration Values'!$B$134:$D$138,2,FALSE))=TRUE,"Invalid Report Type",VLOOKUP(G66,'IGS Configuration Values'!$B$134:$D$138,2,FALSE))</f>
        <v>Regular</v>
      </c>
      <c r="M66" s="68"/>
      <c r="N66" s="68"/>
    </row>
    <row r="67" spans="2:14">
      <c r="B67" s="2">
        <v>8</v>
      </c>
      <c r="C67" s="3" t="s">
        <v>1418</v>
      </c>
      <c r="D67" s="2">
        <f t="shared" si="10"/>
        <v>11</v>
      </c>
      <c r="E67" s="2">
        <f t="shared" si="9"/>
        <v>12</v>
      </c>
      <c r="F67" s="2">
        <v>2</v>
      </c>
      <c r="G67" s="255" t="str">
        <f t="shared" si="12"/>
        <v>16 D1</v>
      </c>
      <c r="H67" s="255"/>
      <c r="I67" s="231">
        <f t="shared" si="11"/>
        <v>5841</v>
      </c>
      <c r="J67" s="231"/>
    </row>
    <row r="68" spans="2:14">
      <c r="B68" s="2">
        <v>9</v>
      </c>
      <c r="C68" s="3" t="s">
        <v>1122</v>
      </c>
      <c r="D68" s="2">
        <f t="shared" si="10"/>
        <v>13</v>
      </c>
      <c r="E68" s="2">
        <f t="shared" si="9"/>
        <v>16</v>
      </c>
      <c r="F68" s="2">
        <v>4</v>
      </c>
      <c r="G68" s="255" t="str">
        <f t="shared" si="12"/>
        <v>00 2D C6 C8</v>
      </c>
      <c r="H68" s="255"/>
      <c r="I68" s="231">
        <f t="shared" si="11"/>
        <v>3000008</v>
      </c>
      <c r="J68" s="231"/>
    </row>
    <row r="69" spans="2:14">
      <c r="B69" s="2">
        <v>10</v>
      </c>
      <c r="C69" s="3" t="s">
        <v>1451</v>
      </c>
      <c r="D69" s="2">
        <f t="shared" si="10"/>
        <v>17</v>
      </c>
      <c r="E69" s="2">
        <f t="shared" si="9"/>
        <v>17</v>
      </c>
      <c r="F69" s="2">
        <v>1</v>
      </c>
      <c r="G69" s="255" t="str">
        <f t="shared" si="12"/>
        <v>00</v>
      </c>
      <c r="H69" s="255"/>
      <c r="I69" s="231">
        <f t="shared" si="11"/>
        <v>0</v>
      </c>
      <c r="J69" s="231"/>
    </row>
    <row r="70" spans="2:14">
      <c r="B70" s="2">
        <v>11</v>
      </c>
      <c r="C70" s="3" t="s">
        <v>1452</v>
      </c>
      <c r="D70" s="2">
        <f t="shared" si="10"/>
        <v>18</v>
      </c>
      <c r="E70" s="2">
        <f t="shared" si="9"/>
        <v>18</v>
      </c>
      <c r="F70" s="2">
        <v>1</v>
      </c>
      <c r="G70" s="255" t="str">
        <f t="shared" si="12"/>
        <v>0C</v>
      </c>
      <c r="H70" s="255"/>
      <c r="I70" s="231">
        <f t="shared" si="11"/>
        <v>12</v>
      </c>
      <c r="J70" s="231"/>
    </row>
    <row r="71" spans="2:14">
      <c r="B71" s="16"/>
      <c r="C71" s="17"/>
      <c r="G71" s="16"/>
      <c r="H71" s="16"/>
      <c r="I71" s="17"/>
      <c r="J71" s="17"/>
    </row>
    <row r="72" spans="2:14">
      <c r="B72" s="2">
        <v>12</v>
      </c>
      <c r="C72" s="3" t="s">
        <v>1453</v>
      </c>
      <c r="D72" s="2">
        <f>E70+1</f>
        <v>19</v>
      </c>
      <c r="E72" s="2">
        <f>D72+F72-1</f>
        <v>20</v>
      </c>
      <c r="F72" s="2">
        <v>2</v>
      </c>
      <c r="G72" s="2" t="str">
        <f>TRIM(MID($C$57,(D72-1)*3+1,(F72-1)*3))</f>
        <v>11</v>
      </c>
      <c r="H72" s="2" t="str">
        <f>TRIM(MID($C$57,(D72-1)*3+1+3,(F72-1)*3))</f>
        <v>0F</v>
      </c>
      <c r="I72" s="2">
        <f>HEX2DEC(SUBSTITUTE(G72," ",""))</f>
        <v>17</v>
      </c>
      <c r="J72" s="2">
        <f>HEX2DEC(SUBSTITUTE(H72," ",""))</f>
        <v>15</v>
      </c>
      <c r="L72" s="69" t="str">
        <f>IF(ISNA(VLOOKUP(CONCATENATE(G72,H72),'IGS Configuration Values'!$B$501:$C$504,2,FALSE))=TRUE,IF(ISNA(VLOOKUP(CONCATENATE(G72,H72),'IGS Configuration Values'!$B$4:$C$17,2,FALSE))=TRUE,"Invalid Game Type/Index",VLOOKUP(CONCATENATE(G72,H72),'IGS Configuration Values'!$B$4:$C$17,2,FALSE)),VLOOKUP(CONCATENATE(G72,H72),'IGS Configuration Values'!$B$501:$C$504,2,FALSE))</f>
        <v>Euromilhões Não Disponível</v>
      </c>
      <c r="M72" s="68"/>
      <c r="N72" s="68"/>
    </row>
    <row r="73" spans="2:14">
      <c r="B73" s="2">
        <v>13</v>
      </c>
      <c r="C73" s="3" t="s">
        <v>1453</v>
      </c>
      <c r="D73" s="2">
        <f>E72+1</f>
        <v>21</v>
      </c>
      <c r="E73" s="2">
        <f>D73+F73-1</f>
        <v>22</v>
      </c>
      <c r="F73" s="2">
        <v>2</v>
      </c>
      <c r="G73" s="2" t="str">
        <f t="shared" ref="G73:G83" si="13">TRIM(MID($C$57,(D73-1)*3+1,(F73-1)*3))</f>
        <v>13</v>
      </c>
      <c r="H73" s="2" t="str">
        <f t="shared" ref="H73:H83" si="14">TRIM(MID($C$57,(D73-1)*3+1+3,(F73-1)*3))</f>
        <v>0F</v>
      </c>
      <c r="I73" s="2">
        <f t="shared" ref="I73:I83" si="15">HEX2DEC(SUBSTITUTE(G73," ",""))</f>
        <v>19</v>
      </c>
      <c r="J73" s="2">
        <f t="shared" ref="J73:J83" si="16">HEX2DEC(SUBSTITUTE(H73," ",""))</f>
        <v>15</v>
      </c>
      <c r="L73" s="69" t="str">
        <f>IF(ISNA(VLOOKUP(CONCATENATE(G73,H73),'IGS Configuration Values'!$B$501:$C$504,2,FALSE))=TRUE,IF(ISNA(VLOOKUP(CONCATENATE(G73,H73),'IGS Configuration Values'!$B$4:$C$17,2,FALSE))=TRUE,"Invalid Game Type/Index",VLOOKUP(CONCATENATE(G73,H73),'IGS Configuration Values'!$B$4:$C$17,2,FALSE)),VLOOKUP(CONCATENATE(G73,H73),'IGS Configuration Values'!$B$501:$C$504,2,FALSE))</f>
        <v>M1lhão Não Disponível</v>
      </c>
      <c r="M73" s="68"/>
      <c r="N73" s="68"/>
    </row>
    <row r="74" spans="2:14">
      <c r="B74" s="2">
        <v>14</v>
      </c>
      <c r="C74" s="3" t="s">
        <v>1453</v>
      </c>
      <c r="D74" s="2">
        <f t="shared" ref="D74:D81" si="17">E73+1</f>
        <v>23</v>
      </c>
      <c r="E74" s="2">
        <f t="shared" ref="E74:E81" si="18">D74+F74-1</f>
        <v>24</v>
      </c>
      <c r="F74" s="2">
        <v>2</v>
      </c>
      <c r="G74" s="2" t="str">
        <f t="shared" si="13"/>
        <v>12</v>
      </c>
      <c r="H74" s="2" t="str">
        <f t="shared" si="14"/>
        <v>01</v>
      </c>
      <c r="I74" s="2">
        <f t="shared" si="15"/>
        <v>18</v>
      </c>
      <c r="J74" s="2">
        <f t="shared" si="16"/>
        <v>1</v>
      </c>
      <c r="L74" s="69" t="str">
        <f>IF(ISNA(VLOOKUP(CONCATENATE(G74,H74),'IGS Configuration Values'!$B$501:$C$504,2,FALSE))=TRUE,IF(ISNA(VLOOKUP(CONCATENATE(G74,H74),'IGS Configuration Values'!$B$4:$C$17,2,FALSE))=TRUE,"Invalid Game Type/Index",VLOOKUP(CONCATENATE(G74,H74),'IGS Configuration Values'!$B$4:$C$17,2,FALSE)),VLOOKUP(CONCATENATE(G74,H74),'IGS Configuration Values'!$B$501:$C$504,2,FALSE))</f>
        <v>PLACARD</v>
      </c>
      <c r="M74" s="68"/>
      <c r="N74" s="68"/>
    </row>
    <row r="75" spans="2:14">
      <c r="B75" s="2">
        <v>15</v>
      </c>
      <c r="C75" s="3" t="s">
        <v>1453</v>
      </c>
      <c r="D75" s="2">
        <f t="shared" si="17"/>
        <v>25</v>
      </c>
      <c r="E75" s="2">
        <f t="shared" si="18"/>
        <v>26</v>
      </c>
      <c r="F75" s="2">
        <v>2</v>
      </c>
      <c r="G75" s="2" t="str">
        <f t="shared" si="13"/>
        <v>02</v>
      </c>
      <c r="H75" s="2" t="str">
        <f t="shared" si="14"/>
        <v>01</v>
      </c>
      <c r="I75" s="2">
        <f t="shared" si="15"/>
        <v>2</v>
      </c>
      <c r="J75" s="2">
        <f t="shared" si="16"/>
        <v>1</v>
      </c>
      <c r="L75" s="69" t="str">
        <f>IF(ISNA(VLOOKUP(CONCATENATE(G75,H75),'IGS Configuration Values'!$B$501:$C$504,2,FALSE))=TRUE,IF(ISNA(VLOOKUP(CONCATENATE(G75,H75),'IGS Configuration Values'!$B$4:$C$17,2,FALSE))=TRUE,"Invalid Game Type/Index",VLOOKUP(CONCATENATE(G75,H75),'IGS Configuration Values'!$B$4:$C$17,2,FALSE)),VLOOKUP(CONCATENATE(G75,H75),'IGS Configuration Values'!$B$501:$C$504,2,FALSE))</f>
        <v>Totobola Normal</v>
      </c>
      <c r="M75" s="68"/>
      <c r="N75" s="68"/>
    </row>
    <row r="76" spans="2:14">
      <c r="B76" s="2">
        <v>16</v>
      </c>
      <c r="C76" s="3" t="s">
        <v>1453</v>
      </c>
      <c r="D76" s="2">
        <f t="shared" si="17"/>
        <v>27</v>
      </c>
      <c r="E76" s="2">
        <f t="shared" si="18"/>
        <v>28</v>
      </c>
      <c r="F76" s="2">
        <v>2</v>
      </c>
      <c r="G76" s="2" t="str">
        <f t="shared" si="13"/>
        <v>01</v>
      </c>
      <c r="H76" s="2" t="str">
        <f t="shared" si="14"/>
        <v>01</v>
      </c>
      <c r="I76" s="2">
        <f t="shared" si="15"/>
        <v>1</v>
      </c>
      <c r="J76" s="2">
        <f t="shared" si="16"/>
        <v>1</v>
      </c>
      <c r="L76" s="69" t="str">
        <f>IF(ISNA(VLOOKUP(CONCATENATE(G76,H76),'IGS Configuration Values'!$B$501:$C$504,2,FALSE))=TRUE,IF(ISNA(VLOOKUP(CONCATENATE(G76,H76),'IGS Configuration Values'!$B$4:$C$17,2,FALSE))=TRUE,"Invalid Game Type/Index",VLOOKUP(CONCATENATE(G76,H76),'IGS Configuration Values'!$B$4:$C$17,2,FALSE)),VLOOKUP(CONCATENATE(G76,H76),'IGS Configuration Values'!$B$501:$C$504,2,FALSE))</f>
        <v>Totoloto</v>
      </c>
      <c r="M76" s="68"/>
      <c r="N76" s="68"/>
    </row>
    <row r="77" spans="2:14">
      <c r="B77" s="2">
        <v>17</v>
      </c>
      <c r="C77" s="3" t="s">
        <v>1453</v>
      </c>
      <c r="D77" s="2">
        <f t="shared" si="17"/>
        <v>29</v>
      </c>
      <c r="E77" s="2">
        <f t="shared" si="18"/>
        <v>30</v>
      </c>
      <c r="F77" s="2">
        <v>2</v>
      </c>
      <c r="G77" s="2" t="str">
        <f t="shared" si="13"/>
        <v>02</v>
      </c>
      <c r="H77" s="2" t="str">
        <f t="shared" si="14"/>
        <v>02</v>
      </c>
      <c r="I77" s="2">
        <f t="shared" si="15"/>
        <v>2</v>
      </c>
      <c r="J77" s="2">
        <f t="shared" si="16"/>
        <v>2</v>
      </c>
      <c r="L77" s="69" t="str">
        <f>IF(ISNA(VLOOKUP(CONCATENATE(G77,H77),'IGS Configuration Values'!$B$501:$C$504,2,FALSE))=TRUE,IF(ISNA(VLOOKUP(CONCATENATE(G77,H77),'IGS Configuration Values'!$B$4:$C$17,2,FALSE))=TRUE,"Invalid Game Type/Index",VLOOKUP(CONCATENATE(G77,H77),'IGS Configuration Values'!$B$4:$C$17,2,FALSE)),VLOOKUP(CONCATENATE(G77,H77),'IGS Configuration Values'!$B$501:$C$504,2,FALSE))</f>
        <v>Totobola Extra 2</v>
      </c>
      <c r="M77" s="68"/>
      <c r="N77" s="68"/>
    </row>
    <row r="78" spans="2:14">
      <c r="B78" s="2">
        <v>18</v>
      </c>
      <c r="C78" s="3" t="s">
        <v>1453</v>
      </c>
      <c r="D78" s="2">
        <f t="shared" si="17"/>
        <v>31</v>
      </c>
      <c r="E78" s="2">
        <f t="shared" si="18"/>
        <v>32</v>
      </c>
      <c r="F78" s="2">
        <v>2</v>
      </c>
      <c r="G78" s="2" t="str">
        <f t="shared" si="13"/>
        <v>01</v>
      </c>
      <c r="H78" s="2" t="str">
        <f t="shared" si="14"/>
        <v>02</v>
      </c>
      <c r="I78" s="2">
        <f t="shared" si="15"/>
        <v>1</v>
      </c>
      <c r="J78" s="2">
        <f t="shared" si="16"/>
        <v>2</v>
      </c>
      <c r="L78" s="69" t="str">
        <f>IF(ISNA(VLOOKUP(CONCATENATE(G78,H78),'IGS Configuration Values'!$B$501:$C$504,2,FALSE))=TRUE,IF(ISNA(VLOOKUP(CONCATENATE(G78,H78),'IGS Configuration Values'!$B$4:$C$17,2,FALSE))=TRUE,"Invalid Game Type/Index",VLOOKUP(CONCATENATE(G78,H78),'IGS Configuration Values'!$B$4:$C$17,2,FALSE)),VLOOKUP(CONCATENATE(G78,H78),'IGS Configuration Values'!$B$501:$C$504,2,FALSE))</f>
        <v>Loto2</v>
      </c>
      <c r="M78" s="68"/>
      <c r="N78" s="68"/>
    </row>
    <row r="79" spans="2:14">
      <c r="B79" s="2">
        <v>19</v>
      </c>
      <c r="C79" s="3" t="s">
        <v>1453</v>
      </c>
      <c r="D79" s="2">
        <f t="shared" si="17"/>
        <v>33</v>
      </c>
      <c r="E79" s="2">
        <f t="shared" si="18"/>
        <v>34</v>
      </c>
      <c r="F79" s="2">
        <v>2</v>
      </c>
      <c r="G79" s="2" t="str">
        <f t="shared" si="13"/>
        <v>04</v>
      </c>
      <c r="H79" s="2" t="str">
        <f t="shared" si="14"/>
        <v>01</v>
      </c>
      <c r="I79" s="2">
        <f t="shared" si="15"/>
        <v>4</v>
      </c>
      <c r="J79" s="2">
        <f t="shared" si="16"/>
        <v>1</v>
      </c>
      <c r="L79" s="69" t="str">
        <f>IF(ISNA(VLOOKUP(CONCATENATE(G79,H79),'IGS Configuration Values'!$B$501:$C$504,2,FALSE))=TRUE,IF(ISNA(VLOOKUP(CONCATENATE(G79,H79),'IGS Configuration Values'!$B$4:$C$17,2,FALSE))=TRUE,"Invalid Game Type/Index",VLOOKUP(CONCATENATE(G79,H79),'IGS Configuration Values'!$B$4:$C$17,2,FALSE)),VLOOKUP(CONCATENATE(G79,H79),'IGS Configuration Values'!$B$501:$C$504,2,FALSE))</f>
        <v>Joker</v>
      </c>
      <c r="M79" s="68"/>
      <c r="N79" s="68"/>
    </row>
    <row r="80" spans="2:14">
      <c r="B80" s="2">
        <v>20</v>
      </c>
      <c r="C80" s="3" t="s">
        <v>1453</v>
      </c>
      <c r="D80" s="2">
        <f t="shared" si="17"/>
        <v>35</v>
      </c>
      <c r="E80" s="2">
        <f t="shared" si="18"/>
        <v>36</v>
      </c>
      <c r="F80" s="2">
        <v>2</v>
      </c>
      <c r="G80" s="2" t="str">
        <f t="shared" si="13"/>
        <v>01</v>
      </c>
      <c r="H80" s="2" t="str">
        <f t="shared" si="14"/>
        <v>03</v>
      </c>
      <c r="I80" s="2">
        <f t="shared" si="15"/>
        <v>1</v>
      </c>
      <c r="J80" s="2">
        <f t="shared" si="16"/>
        <v>3</v>
      </c>
      <c r="L80" s="69" t="str">
        <f>IF(ISNA(VLOOKUP(CONCATENATE(G80,H80),'IGS Configuration Values'!$B$501:$C$504,2,FALSE))=TRUE,IF(ISNA(VLOOKUP(CONCATENATE(G80,H80),'IGS Configuration Values'!$B$4:$C$17,2,FALSE))=TRUE,"Invalid Game Type/Index",VLOOKUP(CONCATENATE(G80,H80),'IGS Configuration Values'!$B$4:$C$17,2,FALSE)),VLOOKUP(CONCATENATE(G80,H80),'IGS Configuration Values'!$B$501:$C$504,2,FALSE))</f>
        <v>Totoloto Sábado (inclui Totoloto Quarta)</v>
      </c>
      <c r="M80" s="68"/>
      <c r="N80" s="68"/>
    </row>
    <row r="81" spans="2:14">
      <c r="B81" s="2">
        <v>21</v>
      </c>
      <c r="C81" s="3" t="s">
        <v>1453</v>
      </c>
      <c r="D81" s="2">
        <f t="shared" si="17"/>
        <v>37</v>
      </c>
      <c r="E81" s="2">
        <f t="shared" si="18"/>
        <v>38</v>
      </c>
      <c r="F81" s="2">
        <v>2</v>
      </c>
      <c r="G81" s="2" t="str">
        <f t="shared" si="13"/>
        <v>10</v>
      </c>
      <c r="H81" s="2" t="str">
        <f t="shared" si="14"/>
        <v>01</v>
      </c>
      <c r="I81" s="2">
        <f t="shared" si="15"/>
        <v>16</v>
      </c>
      <c r="J81" s="2">
        <f t="shared" si="16"/>
        <v>1</v>
      </c>
      <c r="L81" s="69" t="str">
        <f>IF(ISNA(VLOOKUP(CONCATENATE(G81,H81),'IGS Configuration Values'!$B$501:$C$504,2,FALSE))=TRUE,IF(ISNA(VLOOKUP(CONCATENATE(G81,H81),'IGS Configuration Values'!$B$4:$C$17,2,FALSE))=TRUE,"Invalid Game Type/Index",VLOOKUP(CONCATENATE(G81,H81),'IGS Configuration Values'!$B$4:$C$17,2,FALSE)),VLOOKUP(CONCATENATE(G81,H81),'IGS Configuration Values'!$B$501:$C$504,2,FALSE))</f>
        <v>Clássica</v>
      </c>
      <c r="M81" s="68"/>
      <c r="N81" s="68"/>
    </row>
    <row r="82" spans="2:14">
      <c r="B82" s="2">
        <v>22</v>
      </c>
      <c r="C82" s="3" t="s">
        <v>1453</v>
      </c>
      <c r="D82" s="2">
        <f t="shared" ref="D82:D83" si="19">E81+1</f>
        <v>39</v>
      </c>
      <c r="E82" s="2">
        <f t="shared" ref="E82:E83" si="20">D82+F82-1</f>
        <v>40</v>
      </c>
      <c r="F82" s="2">
        <v>2</v>
      </c>
      <c r="G82" s="2" t="str">
        <f t="shared" si="13"/>
        <v>10</v>
      </c>
      <c r="H82" s="2" t="str">
        <f t="shared" si="14"/>
        <v>02</v>
      </c>
      <c r="I82" s="2">
        <f t="shared" si="15"/>
        <v>16</v>
      </c>
      <c r="J82" s="2">
        <f t="shared" si="16"/>
        <v>2</v>
      </c>
      <c r="L82" s="69" t="str">
        <f>IF(ISNA(VLOOKUP(CONCATENATE(G82,H82),'IGS Configuration Values'!$B$501:$C$504,2,FALSE))=TRUE,IF(ISNA(VLOOKUP(CONCATENATE(G82,H82),'IGS Configuration Values'!$B$4:$C$17,2,FALSE))=TRUE,"Invalid Game Type/Index",VLOOKUP(CONCATENATE(G82,H82),'IGS Configuration Values'!$B$4:$C$17,2,FALSE)),VLOOKUP(CONCATENATE(G82,H82),'IGS Configuration Values'!$B$501:$C$504,2,FALSE))</f>
        <v>Popular</v>
      </c>
      <c r="M82" s="68"/>
      <c r="N82" s="68"/>
    </row>
    <row r="83" spans="2:14">
      <c r="B83" s="2">
        <v>23</v>
      </c>
      <c r="C83" s="3" t="s">
        <v>1453</v>
      </c>
      <c r="D83" s="2">
        <f t="shared" si="19"/>
        <v>41</v>
      </c>
      <c r="E83" s="2">
        <f t="shared" si="20"/>
        <v>42</v>
      </c>
      <c r="F83" s="2">
        <v>2</v>
      </c>
      <c r="G83" s="2" t="str">
        <f t="shared" si="13"/>
        <v>02</v>
      </c>
      <c r="H83" s="2" t="str">
        <f t="shared" si="14"/>
        <v>03</v>
      </c>
      <c r="I83" s="2">
        <f t="shared" si="15"/>
        <v>2</v>
      </c>
      <c r="J83" s="2">
        <f t="shared" si="16"/>
        <v>3</v>
      </c>
      <c r="L83" s="69" t="str">
        <f>IF(ISNA(VLOOKUP(CONCATENATE(G83,H83),'IGS Configuration Values'!$B$501:$C$504,2,FALSE))=TRUE,IF(ISNA(VLOOKUP(CONCATENATE(G83,H83),'IGS Configuration Values'!$B$4:$C$17,2,FALSE))=TRUE,"Invalid Game Type/Index",VLOOKUP(CONCATENATE(G83,H83),'IGS Configuration Values'!$B$4:$C$17,2,FALSE)),VLOOKUP(CONCATENATE(G83,H83),'IGS Configuration Values'!$B$501:$C$504,2,FALSE))</f>
        <v>Totobola Extra 1</v>
      </c>
      <c r="M83" s="68"/>
      <c r="N83" s="68"/>
    </row>
    <row r="85" spans="2:14">
      <c r="B85" s="18">
        <v>24</v>
      </c>
      <c r="C85" s="19" t="s">
        <v>1454</v>
      </c>
      <c r="D85" s="18">
        <f>E83+1</f>
        <v>43</v>
      </c>
      <c r="E85" s="18">
        <f>D85+F85-1</f>
        <v>46</v>
      </c>
      <c r="F85" s="18">
        <v>4</v>
      </c>
      <c r="G85" s="301" t="str">
        <f>TRIM(MID($C$57,(D85-1)*3+1,F85*3))</f>
        <v>00 00 00 00</v>
      </c>
      <c r="H85" s="301"/>
      <c r="I85" s="302">
        <f>HEX2DEC(SUBSTITUTE(G85," ",""))</f>
        <v>0</v>
      </c>
      <c r="J85" s="302"/>
      <c r="L85" s="373" t="str">
        <f>L72</f>
        <v>Euromilhões Não Disponível</v>
      </c>
      <c r="M85" s="374"/>
      <c r="N85" s="374"/>
    </row>
    <row r="86" spans="2:14">
      <c r="B86" s="18">
        <v>25</v>
      </c>
      <c r="C86" s="19" t="s">
        <v>1455</v>
      </c>
      <c r="D86" s="18">
        <f>E85+1</f>
        <v>47</v>
      </c>
      <c r="E86" s="18">
        <f>D86+F86-1</f>
        <v>50</v>
      </c>
      <c r="F86" s="18">
        <v>4</v>
      </c>
      <c r="G86" s="301" t="str">
        <f>TRIM(MID($C$57,(D86-1)*3+1,F86*3))</f>
        <v>00 00 00 00</v>
      </c>
      <c r="H86" s="301"/>
      <c r="I86" s="302">
        <f>HEX2DEC(SUBSTITUTE(G86," ",""))</f>
        <v>0</v>
      </c>
      <c r="J86" s="302"/>
      <c r="L86" s="373"/>
      <c r="M86" s="374"/>
      <c r="N86" s="374"/>
    </row>
    <row r="87" spans="2:14">
      <c r="B87" s="2">
        <v>26</v>
      </c>
      <c r="C87" s="3" t="s">
        <v>1456</v>
      </c>
      <c r="D87" s="2">
        <f>E86+1</f>
        <v>51</v>
      </c>
      <c r="E87" s="2">
        <f>D87+F87-1</f>
        <v>54</v>
      </c>
      <c r="F87" s="2">
        <v>4</v>
      </c>
      <c r="G87" s="255" t="str">
        <f>TRIM(MID($C$57,(D87-1)*3+1,F87*3))</f>
        <v>00 00 00 00</v>
      </c>
      <c r="H87" s="255"/>
      <c r="I87" s="231">
        <f>HEX2DEC(SUBSTITUTE(G87," ",""))</f>
        <v>0</v>
      </c>
      <c r="J87" s="231"/>
      <c r="L87" s="375" t="str">
        <f>L73</f>
        <v>M1lhão Não Disponível</v>
      </c>
      <c r="M87" s="376"/>
      <c r="N87" s="376"/>
    </row>
    <row r="88" spans="2:14">
      <c r="B88" s="2">
        <v>27</v>
      </c>
      <c r="C88" s="3" t="s">
        <v>1457</v>
      </c>
      <c r="D88" s="2">
        <f t="shared" ref="D88:D104" si="21">E87+1</f>
        <v>55</v>
      </c>
      <c r="E88" s="2">
        <f t="shared" ref="E88:E104" si="22">D88+F88-1</f>
        <v>58</v>
      </c>
      <c r="F88" s="2">
        <v>4</v>
      </c>
      <c r="G88" s="255" t="str">
        <f t="shared" ref="G88:G104" si="23">TRIM(MID($C$57,(D88-1)*3+1,F88*3))</f>
        <v>00 00 00 00</v>
      </c>
      <c r="H88" s="255"/>
      <c r="I88" s="231">
        <f t="shared" ref="I88:I104" si="24">HEX2DEC(SUBSTITUTE(G88," ",""))</f>
        <v>0</v>
      </c>
      <c r="J88" s="231"/>
      <c r="L88" s="375"/>
      <c r="M88" s="376"/>
      <c r="N88" s="376"/>
    </row>
    <row r="89" spans="2:14">
      <c r="B89" s="18">
        <v>28</v>
      </c>
      <c r="C89" s="19" t="s">
        <v>1458</v>
      </c>
      <c r="D89" s="18">
        <f t="shared" si="21"/>
        <v>59</v>
      </c>
      <c r="E89" s="18">
        <f t="shared" si="22"/>
        <v>62</v>
      </c>
      <c r="F89" s="18">
        <v>4</v>
      </c>
      <c r="G89" s="301" t="str">
        <f t="shared" si="23"/>
        <v>00 00 00 00</v>
      </c>
      <c r="H89" s="301"/>
      <c r="I89" s="302">
        <f t="shared" si="24"/>
        <v>0</v>
      </c>
      <c r="J89" s="302"/>
      <c r="L89" s="373" t="str">
        <f>L74</f>
        <v>PLACARD</v>
      </c>
      <c r="M89" s="374"/>
      <c r="N89" s="374"/>
    </row>
    <row r="90" spans="2:14">
      <c r="B90" s="18">
        <v>29</v>
      </c>
      <c r="C90" s="19" t="s">
        <v>1459</v>
      </c>
      <c r="D90" s="18">
        <f t="shared" si="21"/>
        <v>63</v>
      </c>
      <c r="E90" s="18">
        <f t="shared" si="22"/>
        <v>66</v>
      </c>
      <c r="F90" s="18">
        <v>4</v>
      </c>
      <c r="G90" s="301" t="str">
        <f t="shared" si="23"/>
        <v>00 00 00 00</v>
      </c>
      <c r="H90" s="301"/>
      <c r="I90" s="302">
        <f t="shared" si="24"/>
        <v>0</v>
      </c>
      <c r="J90" s="302"/>
      <c r="L90" s="373"/>
      <c r="M90" s="374"/>
      <c r="N90" s="374"/>
    </row>
    <row r="91" spans="2:14">
      <c r="B91" s="2">
        <v>30</v>
      </c>
      <c r="C91" s="3" t="s">
        <v>1460</v>
      </c>
      <c r="D91" s="2">
        <f t="shared" si="21"/>
        <v>67</v>
      </c>
      <c r="E91" s="2">
        <f t="shared" si="22"/>
        <v>70</v>
      </c>
      <c r="F91" s="2">
        <v>4</v>
      </c>
      <c r="G91" s="255" t="str">
        <f t="shared" si="23"/>
        <v>00 00 00 01</v>
      </c>
      <c r="H91" s="255"/>
      <c r="I91" s="231">
        <f t="shared" si="24"/>
        <v>1</v>
      </c>
      <c r="J91" s="231"/>
      <c r="L91" s="375" t="str">
        <f>L75</f>
        <v>Totobola Normal</v>
      </c>
      <c r="M91" s="376"/>
      <c r="N91" s="376"/>
    </row>
    <row r="92" spans="2:14">
      <c r="B92" s="2">
        <v>31</v>
      </c>
      <c r="C92" s="3" t="s">
        <v>1461</v>
      </c>
      <c r="D92" s="2">
        <f t="shared" si="21"/>
        <v>71</v>
      </c>
      <c r="E92" s="2">
        <f t="shared" si="22"/>
        <v>74</v>
      </c>
      <c r="F92" s="2">
        <v>4</v>
      </c>
      <c r="G92" s="255" t="str">
        <f t="shared" si="23"/>
        <v>00 00 00 50</v>
      </c>
      <c r="H92" s="255"/>
      <c r="I92" s="231">
        <f t="shared" si="24"/>
        <v>80</v>
      </c>
      <c r="J92" s="231"/>
      <c r="L92" s="375"/>
      <c r="M92" s="376"/>
      <c r="N92" s="376"/>
    </row>
    <row r="93" spans="2:14">
      <c r="B93" s="18">
        <v>32</v>
      </c>
      <c r="C93" s="19" t="s">
        <v>1462</v>
      </c>
      <c r="D93" s="18">
        <f t="shared" si="21"/>
        <v>75</v>
      </c>
      <c r="E93" s="18">
        <f t="shared" si="22"/>
        <v>78</v>
      </c>
      <c r="F93" s="18">
        <v>4</v>
      </c>
      <c r="G93" s="301" t="str">
        <f t="shared" si="23"/>
        <v>00 00 00 00</v>
      </c>
      <c r="H93" s="301"/>
      <c r="I93" s="302">
        <f t="shared" si="24"/>
        <v>0</v>
      </c>
      <c r="J93" s="302"/>
      <c r="L93" s="373" t="str">
        <f>L76</f>
        <v>Totoloto</v>
      </c>
      <c r="M93" s="374"/>
      <c r="N93" s="374"/>
    </row>
    <row r="94" spans="2:14">
      <c r="B94" s="18">
        <v>33</v>
      </c>
      <c r="C94" s="19" t="s">
        <v>1463</v>
      </c>
      <c r="D94" s="18">
        <f t="shared" si="21"/>
        <v>79</v>
      </c>
      <c r="E94" s="18">
        <f t="shared" si="22"/>
        <v>82</v>
      </c>
      <c r="F94" s="18">
        <v>4</v>
      </c>
      <c r="G94" s="301" t="str">
        <f t="shared" si="23"/>
        <v>00 00 00 00</v>
      </c>
      <c r="H94" s="301"/>
      <c r="I94" s="302">
        <f t="shared" si="24"/>
        <v>0</v>
      </c>
      <c r="J94" s="302"/>
      <c r="L94" s="373"/>
      <c r="M94" s="374"/>
      <c r="N94" s="374"/>
    </row>
    <row r="95" spans="2:14">
      <c r="B95" s="2">
        <v>34</v>
      </c>
      <c r="C95" s="3" t="s">
        <v>1464</v>
      </c>
      <c r="D95" s="2">
        <f t="shared" si="21"/>
        <v>83</v>
      </c>
      <c r="E95" s="2">
        <f t="shared" si="22"/>
        <v>86</v>
      </c>
      <c r="F95" s="2">
        <v>4</v>
      </c>
      <c r="G95" s="255" t="str">
        <f t="shared" si="23"/>
        <v>00 00 00 00</v>
      </c>
      <c r="H95" s="255"/>
      <c r="I95" s="231">
        <f t="shared" si="24"/>
        <v>0</v>
      </c>
      <c r="J95" s="231"/>
      <c r="L95" s="375" t="str">
        <f>L77</f>
        <v>Totobola Extra 2</v>
      </c>
      <c r="M95" s="376"/>
      <c r="N95" s="376"/>
    </row>
    <row r="96" spans="2:14">
      <c r="B96" s="2">
        <v>35</v>
      </c>
      <c r="C96" s="3" t="s">
        <v>1465</v>
      </c>
      <c r="D96" s="2">
        <f t="shared" si="21"/>
        <v>87</v>
      </c>
      <c r="E96" s="2">
        <f t="shared" si="22"/>
        <v>90</v>
      </c>
      <c r="F96" s="2">
        <v>4</v>
      </c>
      <c r="G96" s="255" t="str">
        <f t="shared" si="23"/>
        <v>00 00 00 00</v>
      </c>
      <c r="H96" s="255"/>
      <c r="I96" s="231">
        <f t="shared" si="24"/>
        <v>0</v>
      </c>
      <c r="J96" s="231"/>
      <c r="L96" s="375"/>
      <c r="M96" s="376"/>
      <c r="N96" s="376"/>
    </row>
    <row r="97" spans="2:14">
      <c r="B97" s="18">
        <v>36</v>
      </c>
      <c r="C97" s="19" t="s">
        <v>1466</v>
      </c>
      <c r="D97" s="18">
        <f t="shared" si="21"/>
        <v>91</v>
      </c>
      <c r="E97" s="18">
        <f t="shared" si="22"/>
        <v>94</v>
      </c>
      <c r="F97" s="18">
        <v>4</v>
      </c>
      <c r="G97" s="301" t="str">
        <f t="shared" si="23"/>
        <v>00 00 00 00</v>
      </c>
      <c r="H97" s="301"/>
      <c r="I97" s="302">
        <f t="shared" si="24"/>
        <v>0</v>
      </c>
      <c r="J97" s="302"/>
      <c r="L97" s="373" t="str">
        <f>L78</f>
        <v>Loto2</v>
      </c>
      <c r="M97" s="374"/>
      <c r="N97" s="374"/>
    </row>
    <row r="98" spans="2:14">
      <c r="B98" s="18">
        <v>37</v>
      </c>
      <c r="C98" s="19" t="s">
        <v>1467</v>
      </c>
      <c r="D98" s="18">
        <f t="shared" si="21"/>
        <v>95</v>
      </c>
      <c r="E98" s="18">
        <f t="shared" si="22"/>
        <v>98</v>
      </c>
      <c r="F98" s="18">
        <v>4</v>
      </c>
      <c r="G98" s="301" t="str">
        <f t="shared" si="23"/>
        <v>00 00 00 00</v>
      </c>
      <c r="H98" s="301"/>
      <c r="I98" s="302">
        <f t="shared" si="24"/>
        <v>0</v>
      </c>
      <c r="J98" s="302"/>
      <c r="L98" s="373"/>
      <c r="M98" s="374"/>
      <c r="N98" s="374"/>
    </row>
    <row r="99" spans="2:14">
      <c r="B99" s="2">
        <v>38</v>
      </c>
      <c r="C99" s="3" t="s">
        <v>1468</v>
      </c>
      <c r="D99" s="2">
        <f t="shared" si="21"/>
        <v>99</v>
      </c>
      <c r="E99" s="2">
        <f t="shared" si="22"/>
        <v>102</v>
      </c>
      <c r="F99" s="2">
        <v>4</v>
      </c>
      <c r="G99" s="255" t="str">
        <f t="shared" si="23"/>
        <v>00 00 00 01</v>
      </c>
      <c r="H99" s="255"/>
      <c r="I99" s="231">
        <f t="shared" si="24"/>
        <v>1</v>
      </c>
      <c r="J99" s="231"/>
      <c r="L99" s="375" t="str">
        <f>L79</f>
        <v>Joker</v>
      </c>
      <c r="M99" s="376"/>
      <c r="N99" s="376"/>
    </row>
    <row r="100" spans="2:14">
      <c r="B100" s="2">
        <v>39</v>
      </c>
      <c r="C100" s="3" t="s">
        <v>1469</v>
      </c>
      <c r="D100" s="2">
        <f t="shared" si="21"/>
        <v>103</v>
      </c>
      <c r="E100" s="2">
        <f t="shared" si="22"/>
        <v>106</v>
      </c>
      <c r="F100" s="2">
        <v>4</v>
      </c>
      <c r="G100" s="255" t="str">
        <f t="shared" si="23"/>
        <v>00 00 00 64</v>
      </c>
      <c r="H100" s="255"/>
      <c r="I100" s="231">
        <f t="shared" si="24"/>
        <v>100</v>
      </c>
      <c r="J100" s="231"/>
      <c r="L100" s="375"/>
      <c r="M100" s="376"/>
      <c r="N100" s="376"/>
    </row>
    <row r="101" spans="2:14">
      <c r="B101" s="18">
        <v>40</v>
      </c>
      <c r="C101" s="19" t="s">
        <v>1470</v>
      </c>
      <c r="D101" s="18">
        <f t="shared" si="21"/>
        <v>107</v>
      </c>
      <c r="E101" s="18">
        <f t="shared" si="22"/>
        <v>110</v>
      </c>
      <c r="F101" s="18">
        <v>4</v>
      </c>
      <c r="G101" s="303" t="str">
        <f t="shared" si="23"/>
        <v>00 00 00 02</v>
      </c>
      <c r="H101" s="304"/>
      <c r="I101" s="305">
        <f t="shared" si="24"/>
        <v>2</v>
      </c>
      <c r="J101" s="306"/>
      <c r="L101" s="373" t="str">
        <f>L80</f>
        <v>Totoloto Sábado (inclui Totoloto Quarta)</v>
      </c>
      <c r="M101" s="374"/>
      <c r="N101" s="374"/>
    </row>
    <row r="102" spans="2:14">
      <c r="B102" s="18">
        <v>41</v>
      </c>
      <c r="C102" s="19" t="s">
        <v>1471</v>
      </c>
      <c r="D102" s="18">
        <f t="shared" si="21"/>
        <v>111</v>
      </c>
      <c r="E102" s="18">
        <f t="shared" si="22"/>
        <v>114</v>
      </c>
      <c r="F102" s="18">
        <v>4</v>
      </c>
      <c r="G102" s="303" t="str">
        <f t="shared" si="23"/>
        <v>00 00 00 B4</v>
      </c>
      <c r="H102" s="304"/>
      <c r="I102" s="305">
        <f t="shared" si="24"/>
        <v>180</v>
      </c>
      <c r="J102" s="306"/>
      <c r="L102" s="373"/>
      <c r="M102" s="374"/>
      <c r="N102" s="374"/>
    </row>
    <row r="103" spans="2:14">
      <c r="B103" s="2">
        <v>42</v>
      </c>
      <c r="C103" s="3" t="s">
        <v>1472</v>
      </c>
      <c r="D103" s="2">
        <f t="shared" si="21"/>
        <v>115</v>
      </c>
      <c r="E103" s="2">
        <f t="shared" si="22"/>
        <v>118</v>
      </c>
      <c r="F103" s="2">
        <v>4</v>
      </c>
      <c r="G103" s="207" t="str">
        <f t="shared" si="23"/>
        <v>00 00 00 00</v>
      </c>
      <c r="H103" s="208"/>
      <c r="I103" s="205">
        <f t="shared" si="24"/>
        <v>0</v>
      </c>
      <c r="J103" s="206"/>
      <c r="L103" s="375" t="str">
        <f>L81</f>
        <v>Clássica</v>
      </c>
      <c r="M103" s="376"/>
      <c r="N103" s="376"/>
    </row>
    <row r="104" spans="2:14">
      <c r="B104" s="2">
        <v>43</v>
      </c>
      <c r="C104" s="3" t="s">
        <v>1473</v>
      </c>
      <c r="D104" s="2">
        <f t="shared" si="21"/>
        <v>119</v>
      </c>
      <c r="E104" s="2">
        <f t="shared" si="22"/>
        <v>122</v>
      </c>
      <c r="F104" s="2">
        <v>4</v>
      </c>
      <c r="G104" s="207" t="str">
        <f t="shared" si="23"/>
        <v>00 00 00 00</v>
      </c>
      <c r="H104" s="208"/>
      <c r="I104" s="205">
        <f t="shared" si="24"/>
        <v>0</v>
      </c>
      <c r="J104" s="206"/>
      <c r="L104" s="375"/>
      <c r="M104" s="376"/>
      <c r="N104" s="376"/>
    </row>
    <row r="105" spans="2:14">
      <c r="B105" s="18">
        <v>44</v>
      </c>
      <c r="C105" s="19" t="s">
        <v>1474</v>
      </c>
      <c r="D105" s="18">
        <f t="shared" ref="D105:D108" si="25">E104+1</f>
        <v>123</v>
      </c>
      <c r="E105" s="18">
        <f t="shared" ref="E105:E108" si="26">D105+F105-1</f>
        <v>126</v>
      </c>
      <c r="F105" s="18">
        <v>4</v>
      </c>
      <c r="G105" s="303" t="str">
        <f t="shared" ref="G105:G108" si="27">TRIM(MID($C$57,(D105-1)*3+1,F105*3))</f>
        <v>00 00 00 00</v>
      </c>
      <c r="H105" s="304"/>
      <c r="I105" s="305">
        <f t="shared" ref="I105:I108" si="28">HEX2DEC(SUBSTITUTE(G105," ",""))</f>
        <v>0</v>
      </c>
      <c r="J105" s="306"/>
      <c r="L105" s="373" t="str">
        <f>L82</f>
        <v>Popular</v>
      </c>
      <c r="M105" s="374"/>
      <c r="N105" s="374"/>
    </row>
    <row r="106" spans="2:14">
      <c r="B106" s="18">
        <v>45</v>
      </c>
      <c r="C106" s="19" t="s">
        <v>1475</v>
      </c>
      <c r="D106" s="18">
        <f t="shared" si="25"/>
        <v>127</v>
      </c>
      <c r="E106" s="18">
        <f t="shared" si="26"/>
        <v>130</v>
      </c>
      <c r="F106" s="18">
        <v>4</v>
      </c>
      <c r="G106" s="303" t="str">
        <f t="shared" si="27"/>
        <v>00 00 00 00</v>
      </c>
      <c r="H106" s="304"/>
      <c r="I106" s="305">
        <f t="shared" si="28"/>
        <v>0</v>
      </c>
      <c r="J106" s="306"/>
      <c r="L106" s="373"/>
      <c r="M106" s="374"/>
      <c r="N106" s="374"/>
    </row>
    <row r="107" spans="2:14">
      <c r="B107" s="2">
        <v>46</v>
      </c>
      <c r="C107" s="3" t="s">
        <v>1476</v>
      </c>
      <c r="D107" s="2">
        <f t="shared" si="25"/>
        <v>131</v>
      </c>
      <c r="E107" s="2">
        <f t="shared" si="26"/>
        <v>134</v>
      </c>
      <c r="F107" s="2">
        <v>4</v>
      </c>
      <c r="G107" s="207" t="str">
        <f t="shared" si="27"/>
        <v>00 00 00 00</v>
      </c>
      <c r="H107" s="208"/>
      <c r="I107" s="205">
        <f t="shared" si="28"/>
        <v>0</v>
      </c>
      <c r="J107" s="206"/>
      <c r="L107" s="375" t="str">
        <f>L83</f>
        <v>Totobola Extra 1</v>
      </c>
      <c r="M107" s="376"/>
      <c r="N107" s="376"/>
    </row>
    <row r="108" spans="2:14">
      <c r="B108" s="2">
        <v>47</v>
      </c>
      <c r="C108" s="3" t="s">
        <v>1477</v>
      </c>
      <c r="D108" s="2">
        <f t="shared" si="25"/>
        <v>135</v>
      </c>
      <c r="E108" s="2">
        <f t="shared" si="26"/>
        <v>138</v>
      </c>
      <c r="F108" s="2">
        <v>4</v>
      </c>
      <c r="G108" s="207" t="str">
        <f t="shared" si="27"/>
        <v>00 00 00 00</v>
      </c>
      <c r="H108" s="208"/>
      <c r="I108" s="205">
        <f t="shared" si="28"/>
        <v>0</v>
      </c>
      <c r="J108" s="206"/>
      <c r="L108" s="375"/>
      <c r="M108" s="376"/>
      <c r="N108" s="376"/>
    </row>
    <row r="110" spans="2:14">
      <c r="B110" s="2">
        <v>48</v>
      </c>
      <c r="C110" s="3" t="s">
        <v>1478</v>
      </c>
      <c r="D110" s="2">
        <f>E108+1</f>
        <v>139</v>
      </c>
      <c r="E110" s="2">
        <f>D110+F110-1</f>
        <v>142</v>
      </c>
      <c r="F110" s="2">
        <v>4</v>
      </c>
      <c r="G110" s="255" t="str">
        <f>TRIM(MID($C$57,(D110-1)*3+1,F110*3))</f>
        <v>00 00 00 04</v>
      </c>
      <c r="H110" s="255"/>
      <c r="I110" s="231">
        <f>HEX2DEC(SUBSTITUTE(G110," ",""))</f>
        <v>4</v>
      </c>
      <c r="J110" s="231"/>
    </row>
    <row r="111" spans="2:14">
      <c r="B111" s="2">
        <v>49</v>
      </c>
      <c r="C111" s="3" t="s">
        <v>1479</v>
      </c>
      <c r="D111" s="2">
        <f>E110+1</f>
        <v>143</v>
      </c>
      <c r="E111" s="2">
        <f>D111+F111-1</f>
        <v>150</v>
      </c>
      <c r="F111" s="2">
        <v>8</v>
      </c>
      <c r="G111" s="2" t="str">
        <f>TRIM(MID($C$57,(D111-1)*3+1,F111*3/2))</f>
        <v>00 00 00 00</v>
      </c>
      <c r="H111" s="2" t="str">
        <f>TRIM(MID($C$57,(D111+4-1)*3+1,F111*3/2))</f>
        <v>00 00 01 68</v>
      </c>
      <c r="I111" s="324">
        <f>IF(HEX2DEC(SUBSTITUTE(G111," ",""))=4294967295,HEX2DEC(CONCATENATE(MID(G111,10,2),SUBSTITUTE(H111," ",""))),IF(HEX2DEC(SUBSTITUTE(G111," ",""))=0,HEX2DEC(SUBSTITUTE(H111," ","")),"Descodificar Manualmente"))</f>
        <v>360</v>
      </c>
      <c r="J111" s="325"/>
    </row>
    <row r="113" spans="1:14">
      <c r="B113" s="2">
        <v>50</v>
      </c>
      <c r="C113" s="3" t="s">
        <v>1480</v>
      </c>
      <c r="D113" s="2">
        <f>E111+1</f>
        <v>151</v>
      </c>
      <c r="E113" s="2">
        <f t="shared" ref="E113:E118" si="29">D113+F113-1</f>
        <v>154</v>
      </c>
      <c r="F113" s="2">
        <v>4</v>
      </c>
      <c r="G113" s="255" t="str">
        <f t="shared" ref="G113:G118" si="30">TRIM(MID($C$57,(D113-1)*3+1,F113*3))</f>
        <v>00 00 00 00</v>
      </c>
      <c r="H113" s="255"/>
      <c r="I113" s="231">
        <f t="shared" ref="I113:I118" si="31">HEX2DEC(SUBSTITUTE(G113," ",""))</f>
        <v>0</v>
      </c>
      <c r="J113" s="231"/>
    </row>
    <row r="114" spans="1:14">
      <c r="B114" s="2">
        <v>51</v>
      </c>
      <c r="C114" s="3" t="s">
        <v>1481</v>
      </c>
      <c r="D114" s="2">
        <f>E113+1</f>
        <v>155</v>
      </c>
      <c r="E114" s="2">
        <f t="shared" si="29"/>
        <v>158</v>
      </c>
      <c r="F114" s="2">
        <v>4</v>
      </c>
      <c r="G114" s="255" t="str">
        <f t="shared" si="30"/>
        <v>00 00 00 00</v>
      </c>
      <c r="H114" s="255"/>
      <c r="I114" s="231">
        <f t="shared" si="31"/>
        <v>0</v>
      </c>
      <c r="J114" s="231"/>
    </row>
    <row r="115" spans="1:14">
      <c r="B115" s="2">
        <v>52</v>
      </c>
      <c r="C115" s="3" t="s">
        <v>1482</v>
      </c>
      <c r="D115" s="2">
        <f>E114+1</f>
        <v>159</v>
      </c>
      <c r="E115" s="2">
        <f t="shared" si="29"/>
        <v>162</v>
      </c>
      <c r="F115" s="2">
        <v>4</v>
      </c>
      <c r="G115" s="255" t="str">
        <f t="shared" si="30"/>
        <v>00 00 00 00</v>
      </c>
      <c r="H115" s="255"/>
      <c r="I115" s="231">
        <f t="shared" si="31"/>
        <v>0</v>
      </c>
      <c r="J115" s="231"/>
    </row>
    <row r="116" spans="1:14">
      <c r="B116" s="2">
        <v>53</v>
      </c>
      <c r="C116" s="3" t="s">
        <v>1483</v>
      </c>
      <c r="D116" s="2">
        <f>E115+1</f>
        <v>163</v>
      </c>
      <c r="E116" s="2">
        <f t="shared" si="29"/>
        <v>166</v>
      </c>
      <c r="F116" s="2">
        <v>4</v>
      </c>
      <c r="G116" s="255" t="str">
        <f t="shared" si="30"/>
        <v>00 00 00 00</v>
      </c>
      <c r="H116" s="255"/>
      <c r="I116" s="231">
        <f t="shared" si="31"/>
        <v>0</v>
      </c>
      <c r="J116" s="231"/>
    </row>
    <row r="117" spans="1:14">
      <c r="B117" s="2">
        <v>54</v>
      </c>
      <c r="C117" s="3" t="s">
        <v>1484</v>
      </c>
      <c r="D117" s="2">
        <f>E116+1</f>
        <v>167</v>
      </c>
      <c r="E117" s="2">
        <f t="shared" si="29"/>
        <v>170</v>
      </c>
      <c r="F117" s="2">
        <v>4</v>
      </c>
      <c r="G117" s="255" t="str">
        <f t="shared" si="30"/>
        <v>00 00 00 00</v>
      </c>
      <c r="H117" s="255"/>
      <c r="I117" s="231">
        <f t="shared" si="31"/>
        <v>0</v>
      </c>
      <c r="J117" s="231"/>
    </row>
    <row r="118" spans="1:14">
      <c r="B118" s="2">
        <v>55</v>
      </c>
      <c r="C118" s="3" t="s">
        <v>1485</v>
      </c>
      <c r="D118" s="2">
        <f>E117+1</f>
        <v>171</v>
      </c>
      <c r="E118" s="2">
        <f t="shared" si="29"/>
        <v>174</v>
      </c>
      <c r="F118" s="2">
        <v>4</v>
      </c>
      <c r="G118" s="255" t="str">
        <f t="shared" si="30"/>
        <v>00 00 00 00</v>
      </c>
      <c r="H118" s="255"/>
      <c r="I118" s="231">
        <f t="shared" si="31"/>
        <v>0</v>
      </c>
      <c r="J118" s="231"/>
    </row>
    <row r="120" spans="1:14">
      <c r="B120" s="52"/>
    </row>
    <row r="121" spans="1:14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</row>
    <row r="122" spans="1:14" ht="18.75">
      <c r="B122" s="14" t="s">
        <v>1486</v>
      </c>
    </row>
    <row r="124" spans="1:14">
      <c r="B124" s="7" t="s">
        <v>1104</v>
      </c>
      <c r="C124" s="163" t="s">
        <v>1487</v>
      </c>
    </row>
    <row r="126" spans="1:14">
      <c r="B126" s="15" t="s">
        <v>1105</v>
      </c>
      <c r="C126" s="15" t="s">
        <v>1106</v>
      </c>
      <c r="D126" s="15" t="s">
        <v>1107</v>
      </c>
      <c r="E126" s="15" t="s">
        <v>1108</v>
      </c>
      <c r="F126" s="15" t="s">
        <v>1109</v>
      </c>
      <c r="G126" s="307" t="s">
        <v>1110</v>
      </c>
      <c r="H126" s="307"/>
      <c r="I126" s="307" t="s">
        <v>1111</v>
      </c>
      <c r="J126" s="307"/>
      <c r="L126" s="293" t="s">
        <v>1112</v>
      </c>
      <c r="M126" s="294"/>
      <c r="N126" s="295"/>
    </row>
    <row r="127" spans="1:14">
      <c r="B127" s="2">
        <v>1</v>
      </c>
      <c r="C127" s="3" t="s">
        <v>1113</v>
      </c>
      <c r="D127" s="2">
        <v>1</v>
      </c>
      <c r="E127" s="2">
        <f>D127+F127-1</f>
        <v>1</v>
      </c>
      <c r="F127" s="2">
        <v>1</v>
      </c>
      <c r="G127" s="2" t="str">
        <f>TRIM(MID($C$124,1,1))</f>
        <v>2</v>
      </c>
      <c r="H127" s="2" t="str">
        <f>TRIM(MID($C$124,2,1))</f>
        <v>E</v>
      </c>
      <c r="I127" s="2">
        <f>HEX2DEC(SUBSTITUTE(G127," ",""))</f>
        <v>2</v>
      </c>
      <c r="J127" s="2">
        <f>HEX2DEC(SUBSTITUTE(H127," ",""))</f>
        <v>14</v>
      </c>
      <c r="L127" s="69" t="str">
        <f>IF(MOD(INT(HEX2BIN(G127,4)/(2^(3-1))),2)=1,CONCATENATE("This is a Retry"),CONCATENATE("This is NOT a Retry"))</f>
        <v>This is NOT a Retry</v>
      </c>
      <c r="M127" s="68"/>
      <c r="N127" s="68"/>
    </row>
    <row r="128" spans="1:14">
      <c r="B128" s="2">
        <v>2</v>
      </c>
      <c r="C128" s="3" t="s">
        <v>1397</v>
      </c>
      <c r="D128" s="2">
        <f>E127+1</f>
        <v>2</v>
      </c>
      <c r="E128" s="2">
        <f>D128+F128-1</f>
        <v>2</v>
      </c>
      <c r="F128" s="2">
        <v>1</v>
      </c>
      <c r="G128" s="2" t="str">
        <f>TRIM(MID($C$124,4,1))</f>
        <v>6</v>
      </c>
      <c r="H128" s="2" t="str">
        <f>TRIM(MID($C$124,5,1))</f>
        <v>3</v>
      </c>
      <c r="I128" s="2">
        <f>HEX2DEC(SUBSTITUTE(G128," ",""))</f>
        <v>6</v>
      </c>
      <c r="J128" s="2">
        <f>HEX2DEC(SUBSTITUTE(H128," ",""))</f>
        <v>3</v>
      </c>
      <c r="L128" s="69" t="str">
        <f>IF(ISNA(VLOOKUP(CONCATENATE(G128,H128),'IGS Configuration Values'!$B$127:$D$129,2,FALSE))=TRUE,"Invalid Type/Subtype",VLOOKUP(CONCATENATE(G128,H128),'IGS Configuration Values'!$B$127:$D$129,2,FALSE))</f>
        <v>Financial Report</v>
      </c>
      <c r="M128" s="68"/>
      <c r="N128" s="68"/>
    </row>
    <row r="129" spans="2:15">
      <c r="B129" s="2">
        <v>3</v>
      </c>
      <c r="C129" s="3" t="s">
        <v>1115</v>
      </c>
      <c r="D129" s="2">
        <f t="shared" ref="D129:D137" si="32">E128+1</f>
        <v>3</v>
      </c>
      <c r="E129" s="2">
        <f t="shared" ref="E129:E137" si="33">D129+F129-1</f>
        <v>4</v>
      </c>
      <c r="F129" s="2">
        <v>2</v>
      </c>
      <c r="G129" s="255" t="str">
        <f>TRIM(MID($C$124,(D129-1)*3+1,F129*3))</f>
        <v>78 28</v>
      </c>
      <c r="H129" s="255"/>
      <c r="I129" s="231">
        <f>HEX2DEC(SUBSTITUTE(G129," ",""))</f>
        <v>30760</v>
      </c>
      <c r="J129" s="231"/>
    </row>
    <row r="130" spans="2:15">
      <c r="B130" s="2">
        <v>4</v>
      </c>
      <c r="C130" s="3" t="s">
        <v>1413</v>
      </c>
      <c r="D130" s="2">
        <f t="shared" si="32"/>
        <v>5</v>
      </c>
      <c r="E130" s="2">
        <f t="shared" si="33"/>
        <v>7</v>
      </c>
      <c r="F130" s="2">
        <v>3</v>
      </c>
      <c r="G130" s="255" t="str">
        <f>TRIM(MID($C$124,(D130-1)*3+1,F130*3))</f>
        <v>12 30 36</v>
      </c>
      <c r="H130" s="255"/>
      <c r="I130" s="231" t="str">
        <f>CONCATENATE(TEXT(HEX2DEC(SUBSTITUTE(MID(G130,1,2)," ","")),"00"),":",TEXT(HEX2DEC(SUBSTITUTE(MID(G130,4,2)," ","")),"00"),":",TEXT(HEX2DEC(SUBSTITUTE(MID(G130,7,2)," ","")),"00"))</f>
        <v>18:48:54</v>
      </c>
      <c r="J130" s="231"/>
    </row>
    <row r="131" spans="2:15">
      <c r="B131" s="2">
        <v>5</v>
      </c>
      <c r="C131" s="3" t="s">
        <v>1488</v>
      </c>
      <c r="D131" s="2">
        <f t="shared" si="32"/>
        <v>8</v>
      </c>
      <c r="E131" s="2">
        <f t="shared" si="33"/>
        <v>8</v>
      </c>
      <c r="F131" s="2">
        <v>1</v>
      </c>
      <c r="G131" s="255" t="str">
        <f>TRIM(MID($C$124,(D131-1)*3+1,F131*3))</f>
        <v>04</v>
      </c>
      <c r="H131" s="255"/>
      <c r="I131" s="207">
        <f>HEX2DEC(SUBSTITUTE(G131," ",""))</f>
        <v>4</v>
      </c>
      <c r="J131" s="208"/>
      <c r="L131" s="69" t="str">
        <f>IF(ISNA(VLOOKUP(G131,'IGS Configuration Values'!$B$143:$D$146,2,FALSE))=TRUE,"Invalid Class",VLOOKUP(G131,'IGS Configuration Values'!$B$143:$D$146,2,FALSE))</f>
        <v>Total On-Line Validations</v>
      </c>
      <c r="M131" s="68"/>
      <c r="N131" s="68"/>
      <c r="O131" s="68"/>
    </row>
    <row r="132" spans="2:15">
      <c r="B132" s="2">
        <v>6</v>
      </c>
      <c r="C132" s="3" t="s">
        <v>1416</v>
      </c>
      <c r="D132" s="2">
        <f t="shared" si="32"/>
        <v>9</v>
      </c>
      <c r="E132" s="2">
        <f t="shared" si="33"/>
        <v>9</v>
      </c>
      <c r="F132" s="2">
        <v>1</v>
      </c>
      <c r="G132" s="255" t="str">
        <f t="shared" ref="G132:G137" si="34">TRIM(MID($C$124,(D132-1)*3+1,F132*3))</f>
        <v>00</v>
      </c>
      <c r="H132" s="255"/>
      <c r="I132" s="231">
        <f t="shared" ref="I132:I137" si="35">HEX2DEC(SUBSTITUTE(G132," ",""))</f>
        <v>0</v>
      </c>
      <c r="J132" s="231"/>
      <c r="L132" s="69" t="str">
        <f>IF(ISNA(VLOOKUP(G132,'IGS Configuration Values'!$B$150:$D$158,2,FALSE))=TRUE,"Invalid Subclass",VLOOKUP(G132,'IGS Configuration Values'!$B$150:$D$158,2,FALSE))</f>
        <v>Today</v>
      </c>
      <c r="M132" s="68"/>
      <c r="N132" s="68"/>
    </row>
    <row r="133" spans="2:15">
      <c r="B133" s="2">
        <v>7</v>
      </c>
      <c r="C133" s="3" t="s">
        <v>145</v>
      </c>
      <c r="D133" s="2">
        <f t="shared" si="32"/>
        <v>10</v>
      </c>
      <c r="E133" s="2">
        <f t="shared" si="33"/>
        <v>10</v>
      </c>
      <c r="F133" s="2">
        <v>1</v>
      </c>
      <c r="G133" s="255" t="str">
        <f t="shared" si="34"/>
        <v>00</v>
      </c>
      <c r="H133" s="255"/>
      <c r="I133" s="231">
        <f t="shared" si="35"/>
        <v>0</v>
      </c>
      <c r="J133" s="231"/>
      <c r="L133" s="69" t="str">
        <f>IF(ISNA(VLOOKUP(G133,'IGS Configuration Values'!$B$134:$D$138,2,FALSE))=TRUE,"Invalid Report Type",VLOOKUP(G133,'IGS Configuration Values'!$B$134:$D$138,2,FALSE))</f>
        <v>Regular</v>
      </c>
      <c r="M133" s="68"/>
      <c r="N133" s="68"/>
    </row>
    <row r="134" spans="2:15">
      <c r="B134" s="2">
        <v>8</v>
      </c>
      <c r="C134" s="3" t="s">
        <v>1418</v>
      </c>
      <c r="D134" s="2">
        <f t="shared" si="32"/>
        <v>11</v>
      </c>
      <c r="E134" s="2">
        <f t="shared" si="33"/>
        <v>12</v>
      </c>
      <c r="F134" s="2">
        <v>2</v>
      </c>
      <c r="G134" s="255" t="str">
        <f t="shared" si="34"/>
        <v>16 D1</v>
      </c>
      <c r="H134" s="255"/>
      <c r="I134" s="231">
        <f t="shared" si="35"/>
        <v>5841</v>
      </c>
      <c r="J134" s="231"/>
    </row>
    <row r="135" spans="2:15">
      <c r="B135" s="2">
        <v>9</v>
      </c>
      <c r="C135" s="3" t="s">
        <v>1122</v>
      </c>
      <c r="D135" s="2">
        <f t="shared" si="32"/>
        <v>13</v>
      </c>
      <c r="E135" s="2">
        <f t="shared" si="33"/>
        <v>16</v>
      </c>
      <c r="F135" s="2">
        <v>4</v>
      </c>
      <c r="G135" s="255" t="str">
        <f t="shared" si="34"/>
        <v>00 2D C6 C8</v>
      </c>
      <c r="H135" s="255"/>
      <c r="I135" s="231">
        <f t="shared" si="35"/>
        <v>3000008</v>
      </c>
      <c r="J135" s="231"/>
    </row>
    <row r="136" spans="2:15">
      <c r="B136" s="2">
        <v>10</v>
      </c>
      <c r="C136" s="3" t="s">
        <v>1451</v>
      </c>
      <c r="D136" s="2">
        <f t="shared" si="32"/>
        <v>17</v>
      </c>
      <c r="E136" s="2">
        <f t="shared" si="33"/>
        <v>17</v>
      </c>
      <c r="F136" s="2">
        <v>1</v>
      </c>
      <c r="G136" s="255" t="str">
        <f t="shared" si="34"/>
        <v>00</v>
      </c>
      <c r="H136" s="255"/>
      <c r="I136" s="231">
        <f t="shared" si="35"/>
        <v>0</v>
      </c>
      <c r="J136" s="231"/>
    </row>
    <row r="137" spans="2:15">
      <c r="B137" s="2">
        <v>11</v>
      </c>
      <c r="C137" s="3" t="s">
        <v>1452</v>
      </c>
      <c r="D137" s="2">
        <f t="shared" si="32"/>
        <v>18</v>
      </c>
      <c r="E137" s="2">
        <f t="shared" si="33"/>
        <v>18</v>
      </c>
      <c r="F137" s="2">
        <v>1</v>
      </c>
      <c r="G137" s="255" t="str">
        <f t="shared" si="34"/>
        <v>0C</v>
      </c>
      <c r="H137" s="255"/>
      <c r="I137" s="231">
        <f t="shared" si="35"/>
        <v>12</v>
      </c>
      <c r="J137" s="231"/>
    </row>
    <row r="139" spans="2:15">
      <c r="B139" s="2">
        <v>12</v>
      </c>
      <c r="C139" s="3" t="s">
        <v>1453</v>
      </c>
      <c r="D139" s="2">
        <f>E137+1</f>
        <v>19</v>
      </c>
      <c r="E139" s="2">
        <f t="shared" ref="E139:E148" si="36">D139+F139-1</f>
        <v>20</v>
      </c>
      <c r="F139" s="2">
        <v>2</v>
      </c>
      <c r="G139" s="2" t="str">
        <f t="shared" ref="G139:G148" si="37">TRIM(MID($C$124,(D139-1)*3+1,(F139-1)*3))</f>
        <v>11</v>
      </c>
      <c r="H139" s="2" t="str">
        <f t="shared" ref="H139:H148" si="38">TRIM(MID($C$124,(D139-1)*3+1+3,(F139-1)*3))</f>
        <v>0F</v>
      </c>
      <c r="I139" s="2">
        <f>HEX2DEC(SUBSTITUTE(G139," ",""))</f>
        <v>17</v>
      </c>
      <c r="J139" s="2">
        <f>HEX2DEC(SUBSTITUTE(H139," ",""))</f>
        <v>15</v>
      </c>
      <c r="L139" s="69" t="str">
        <f>IF(ISNA(VLOOKUP(CONCATENATE(G139,H139),'IGS Configuration Values'!$B$501:$C$504,2,FALSE))=TRUE,IF(ISNA(VLOOKUP(CONCATENATE(G139,H139),'IGS Configuration Values'!$B$4:$C$17,2,FALSE))=TRUE,"Invalid Game Type/Index",VLOOKUP(CONCATENATE(G139,H139),'IGS Configuration Values'!$B$4:$C$17,2,FALSE)),VLOOKUP(CONCATENATE(G139,H139),'IGS Configuration Values'!$B$501:$C$504,2,FALSE))</f>
        <v>Euromilhões Não Disponível</v>
      </c>
      <c r="M139" s="68"/>
      <c r="N139" s="68"/>
    </row>
    <row r="140" spans="2:15">
      <c r="B140" s="2">
        <v>13</v>
      </c>
      <c r="C140" s="3" t="s">
        <v>1453</v>
      </c>
      <c r="D140" s="2">
        <f>E139+1</f>
        <v>21</v>
      </c>
      <c r="E140" s="2">
        <f t="shared" si="36"/>
        <v>22</v>
      </c>
      <c r="F140" s="2">
        <v>2</v>
      </c>
      <c r="G140" s="2" t="str">
        <f t="shared" si="37"/>
        <v>13</v>
      </c>
      <c r="H140" s="2" t="str">
        <f t="shared" si="38"/>
        <v>0F</v>
      </c>
      <c r="I140" s="2">
        <f t="shared" ref="I140:I148" si="39">HEX2DEC(SUBSTITUTE(G140," ",""))</f>
        <v>19</v>
      </c>
      <c r="J140" s="2">
        <f t="shared" ref="J140:J148" si="40">HEX2DEC(SUBSTITUTE(H140," ",""))</f>
        <v>15</v>
      </c>
      <c r="L140" s="69" t="str">
        <f>IF(ISNA(VLOOKUP(CONCATENATE(G140,H140),'IGS Configuration Values'!$B$501:$C$504,2,FALSE))=TRUE,IF(ISNA(VLOOKUP(CONCATENATE(G140,H140),'IGS Configuration Values'!$B$4:$C$17,2,FALSE))=TRUE,"Invalid Game Type/Index",VLOOKUP(CONCATENATE(G140,H140),'IGS Configuration Values'!$B$4:$C$17,2,FALSE)),VLOOKUP(CONCATENATE(G140,H140),'IGS Configuration Values'!$B$501:$C$504,2,FALSE))</f>
        <v>M1lhão Não Disponível</v>
      </c>
      <c r="M140" s="68"/>
      <c r="N140" s="68"/>
    </row>
    <row r="141" spans="2:15">
      <c r="B141" s="2">
        <v>14</v>
      </c>
      <c r="C141" s="3" t="s">
        <v>1453</v>
      </c>
      <c r="D141" s="2">
        <f t="shared" ref="D141:D148" si="41">E140+1</f>
        <v>23</v>
      </c>
      <c r="E141" s="2">
        <f t="shared" si="36"/>
        <v>24</v>
      </c>
      <c r="F141" s="2">
        <v>2</v>
      </c>
      <c r="G141" s="2" t="str">
        <f t="shared" si="37"/>
        <v>12</v>
      </c>
      <c r="H141" s="2" t="str">
        <f t="shared" si="38"/>
        <v>01</v>
      </c>
      <c r="I141" s="2">
        <f t="shared" si="39"/>
        <v>18</v>
      </c>
      <c r="J141" s="2">
        <f t="shared" si="40"/>
        <v>1</v>
      </c>
      <c r="L141" s="69" t="str">
        <f>IF(ISNA(VLOOKUP(CONCATENATE(G141,H141),'IGS Configuration Values'!$B$501:$C$504,2,FALSE))=TRUE,IF(ISNA(VLOOKUP(CONCATENATE(G141,H141),'IGS Configuration Values'!$B$4:$C$17,2,FALSE))=TRUE,"Invalid Game Type/Index",VLOOKUP(CONCATENATE(G141,H141),'IGS Configuration Values'!$B$4:$C$17,2,FALSE)),VLOOKUP(CONCATENATE(G141,H141),'IGS Configuration Values'!$B$501:$C$504,2,FALSE))</f>
        <v>PLACARD</v>
      </c>
      <c r="M141" s="68"/>
      <c r="N141" s="68"/>
    </row>
    <row r="142" spans="2:15">
      <c r="B142" s="2">
        <v>15</v>
      </c>
      <c r="C142" s="3" t="s">
        <v>1453</v>
      </c>
      <c r="D142" s="2">
        <f t="shared" si="41"/>
        <v>25</v>
      </c>
      <c r="E142" s="2">
        <f t="shared" si="36"/>
        <v>26</v>
      </c>
      <c r="F142" s="2">
        <v>2</v>
      </c>
      <c r="G142" s="2" t="str">
        <f t="shared" si="37"/>
        <v>02</v>
      </c>
      <c r="H142" s="2" t="str">
        <f t="shared" si="38"/>
        <v>01</v>
      </c>
      <c r="I142" s="2">
        <f t="shared" si="39"/>
        <v>2</v>
      </c>
      <c r="J142" s="2">
        <f t="shared" si="40"/>
        <v>1</v>
      </c>
      <c r="L142" s="69" t="str">
        <f>IF(ISNA(VLOOKUP(CONCATENATE(G142,H142),'IGS Configuration Values'!$B$501:$C$504,2,FALSE))=TRUE,IF(ISNA(VLOOKUP(CONCATENATE(G142,H142),'IGS Configuration Values'!$B$4:$C$17,2,FALSE))=TRUE,"Invalid Game Type/Index",VLOOKUP(CONCATENATE(G142,H142),'IGS Configuration Values'!$B$4:$C$17,2,FALSE)),VLOOKUP(CONCATENATE(G142,H142),'IGS Configuration Values'!$B$501:$C$504,2,FALSE))</f>
        <v>Totobola Normal</v>
      </c>
      <c r="M142" s="68"/>
      <c r="N142" s="68"/>
    </row>
    <row r="143" spans="2:15">
      <c r="B143" s="2">
        <v>16</v>
      </c>
      <c r="C143" s="3" t="s">
        <v>1453</v>
      </c>
      <c r="D143" s="2">
        <f t="shared" si="41"/>
        <v>27</v>
      </c>
      <c r="E143" s="2">
        <f t="shared" si="36"/>
        <v>28</v>
      </c>
      <c r="F143" s="2">
        <v>2</v>
      </c>
      <c r="G143" s="2" t="str">
        <f t="shared" si="37"/>
        <v>01</v>
      </c>
      <c r="H143" s="2" t="str">
        <f t="shared" si="38"/>
        <v>01</v>
      </c>
      <c r="I143" s="2">
        <f t="shared" si="39"/>
        <v>1</v>
      </c>
      <c r="J143" s="2">
        <f t="shared" si="40"/>
        <v>1</v>
      </c>
      <c r="L143" s="69" t="str">
        <f>IF(ISNA(VLOOKUP(CONCATENATE(G143,H143),'IGS Configuration Values'!$B$501:$C$504,2,FALSE))=TRUE,IF(ISNA(VLOOKUP(CONCATENATE(G143,H143),'IGS Configuration Values'!$B$4:$C$17,2,FALSE))=TRUE,"Invalid Game Type/Index",VLOOKUP(CONCATENATE(G143,H143),'IGS Configuration Values'!$B$4:$C$17,2,FALSE)),VLOOKUP(CONCATENATE(G143,H143),'IGS Configuration Values'!$B$501:$C$504,2,FALSE))</f>
        <v>Totoloto</v>
      </c>
      <c r="M143" s="68"/>
      <c r="N143" s="68"/>
    </row>
    <row r="144" spans="2:15">
      <c r="B144" s="2">
        <v>17</v>
      </c>
      <c r="C144" s="3" t="s">
        <v>1453</v>
      </c>
      <c r="D144" s="2">
        <f t="shared" si="41"/>
        <v>29</v>
      </c>
      <c r="E144" s="2">
        <f t="shared" si="36"/>
        <v>30</v>
      </c>
      <c r="F144" s="2">
        <v>2</v>
      </c>
      <c r="G144" s="2" t="str">
        <f t="shared" si="37"/>
        <v>02</v>
      </c>
      <c r="H144" s="2" t="str">
        <f t="shared" si="38"/>
        <v>02</v>
      </c>
      <c r="I144" s="2">
        <f t="shared" si="39"/>
        <v>2</v>
      </c>
      <c r="J144" s="2">
        <f t="shared" si="40"/>
        <v>2</v>
      </c>
      <c r="L144" s="69" t="str">
        <f>IF(ISNA(VLOOKUP(CONCATENATE(G144,H144),'IGS Configuration Values'!$B$501:$C$504,2,FALSE))=TRUE,IF(ISNA(VLOOKUP(CONCATENATE(G144,H144),'IGS Configuration Values'!$B$4:$C$17,2,FALSE))=TRUE,"Invalid Game Type/Index",VLOOKUP(CONCATENATE(G144,H144),'IGS Configuration Values'!$B$4:$C$17,2,FALSE)),VLOOKUP(CONCATENATE(G144,H144),'IGS Configuration Values'!$B$501:$C$504,2,FALSE))</f>
        <v>Totobola Extra 2</v>
      </c>
      <c r="M144" s="68"/>
      <c r="N144" s="68"/>
    </row>
    <row r="145" spans="2:14">
      <c r="B145" s="2">
        <v>18</v>
      </c>
      <c r="C145" s="3" t="s">
        <v>1453</v>
      </c>
      <c r="D145" s="2">
        <f t="shared" si="41"/>
        <v>31</v>
      </c>
      <c r="E145" s="2">
        <f t="shared" si="36"/>
        <v>32</v>
      </c>
      <c r="F145" s="2">
        <v>2</v>
      </c>
      <c r="G145" s="2" t="str">
        <f t="shared" si="37"/>
        <v>01</v>
      </c>
      <c r="H145" s="2" t="str">
        <f t="shared" si="38"/>
        <v>02</v>
      </c>
      <c r="I145" s="2">
        <f t="shared" si="39"/>
        <v>1</v>
      </c>
      <c r="J145" s="2">
        <f t="shared" si="40"/>
        <v>2</v>
      </c>
      <c r="L145" s="69" t="str">
        <f>IF(ISNA(VLOOKUP(CONCATENATE(G145,H145),'IGS Configuration Values'!$B$501:$C$504,2,FALSE))=TRUE,IF(ISNA(VLOOKUP(CONCATENATE(G145,H145),'IGS Configuration Values'!$B$4:$C$17,2,FALSE))=TRUE,"Invalid Game Type/Index",VLOOKUP(CONCATENATE(G145,H145),'IGS Configuration Values'!$B$4:$C$17,2,FALSE)),VLOOKUP(CONCATENATE(G145,H145),'IGS Configuration Values'!$B$501:$C$504,2,FALSE))</f>
        <v>Loto2</v>
      </c>
      <c r="M145" s="68"/>
      <c r="N145" s="68"/>
    </row>
    <row r="146" spans="2:14">
      <c r="B146" s="2">
        <v>19</v>
      </c>
      <c r="C146" s="3" t="s">
        <v>1453</v>
      </c>
      <c r="D146" s="2">
        <f t="shared" si="41"/>
        <v>33</v>
      </c>
      <c r="E146" s="2">
        <f t="shared" si="36"/>
        <v>34</v>
      </c>
      <c r="F146" s="2">
        <v>2</v>
      </c>
      <c r="G146" s="2" t="str">
        <f t="shared" si="37"/>
        <v>04</v>
      </c>
      <c r="H146" s="2" t="str">
        <f t="shared" si="38"/>
        <v>01</v>
      </c>
      <c r="I146" s="2">
        <f t="shared" si="39"/>
        <v>4</v>
      </c>
      <c r="J146" s="2">
        <f t="shared" si="40"/>
        <v>1</v>
      </c>
      <c r="L146" s="69" t="str">
        <f>IF(ISNA(VLOOKUP(CONCATENATE(G146,H146),'IGS Configuration Values'!$B$501:$C$504,2,FALSE))=TRUE,IF(ISNA(VLOOKUP(CONCATENATE(G146,H146),'IGS Configuration Values'!$B$4:$C$17,2,FALSE))=TRUE,"Invalid Game Type/Index",VLOOKUP(CONCATENATE(G146,H146),'IGS Configuration Values'!$B$4:$C$17,2,FALSE)),VLOOKUP(CONCATENATE(G146,H146),'IGS Configuration Values'!$B$501:$C$504,2,FALSE))</f>
        <v>Joker</v>
      </c>
      <c r="M146" s="68"/>
      <c r="N146" s="68"/>
    </row>
    <row r="147" spans="2:14">
      <c r="B147" s="2">
        <v>20</v>
      </c>
      <c r="C147" s="3" t="s">
        <v>1453</v>
      </c>
      <c r="D147" s="2">
        <f t="shared" si="41"/>
        <v>35</v>
      </c>
      <c r="E147" s="2">
        <f t="shared" si="36"/>
        <v>36</v>
      </c>
      <c r="F147" s="2">
        <v>2</v>
      </c>
      <c r="G147" s="2" t="str">
        <f t="shared" si="37"/>
        <v>01</v>
      </c>
      <c r="H147" s="2" t="str">
        <f t="shared" si="38"/>
        <v>03</v>
      </c>
      <c r="I147" s="2">
        <f t="shared" si="39"/>
        <v>1</v>
      </c>
      <c r="J147" s="2">
        <f t="shared" si="40"/>
        <v>3</v>
      </c>
      <c r="L147" s="69" t="str">
        <f>IF(ISNA(VLOOKUP(CONCATENATE(G147,H147),'IGS Configuration Values'!$B$501:$C$504,2,FALSE))=TRUE,IF(ISNA(VLOOKUP(CONCATENATE(G147,H147),'IGS Configuration Values'!$B$4:$C$17,2,FALSE))=TRUE,"Invalid Game Type/Index",VLOOKUP(CONCATENATE(G147,H147),'IGS Configuration Values'!$B$4:$C$17,2,FALSE)),VLOOKUP(CONCATENATE(G147,H147),'IGS Configuration Values'!$B$501:$C$504,2,FALSE))</f>
        <v>Totoloto Sábado (inclui Totoloto Quarta)</v>
      </c>
      <c r="M147" s="68"/>
      <c r="N147" s="68"/>
    </row>
    <row r="148" spans="2:14">
      <c r="B148" s="2">
        <v>21</v>
      </c>
      <c r="C148" s="3" t="s">
        <v>1453</v>
      </c>
      <c r="D148" s="2">
        <f t="shared" si="41"/>
        <v>37</v>
      </c>
      <c r="E148" s="2">
        <f t="shared" si="36"/>
        <v>38</v>
      </c>
      <c r="F148" s="2">
        <v>2</v>
      </c>
      <c r="G148" s="2" t="str">
        <f t="shared" si="37"/>
        <v>10</v>
      </c>
      <c r="H148" s="2" t="str">
        <f t="shared" si="38"/>
        <v>01</v>
      </c>
      <c r="I148" s="2">
        <f t="shared" si="39"/>
        <v>16</v>
      </c>
      <c r="J148" s="2">
        <f t="shared" si="40"/>
        <v>1</v>
      </c>
      <c r="L148" s="69" t="str">
        <f>IF(ISNA(VLOOKUP(CONCATENATE(G148,H148),'IGS Configuration Values'!$B$501:$C$504,2,FALSE))=TRUE,IF(ISNA(VLOOKUP(CONCATENATE(G148,H148),'IGS Configuration Values'!$B$4:$C$17,2,FALSE))=TRUE,"Invalid Game Type/Index",VLOOKUP(CONCATENATE(G148,H148),'IGS Configuration Values'!$B$4:$C$17,2,FALSE)),VLOOKUP(CONCATENATE(G148,H148),'IGS Configuration Values'!$B$501:$C$504,2,FALSE))</f>
        <v>Clássica</v>
      </c>
      <c r="M148" s="68"/>
      <c r="N148" s="68"/>
    </row>
    <row r="149" spans="2:14">
      <c r="B149" s="2">
        <v>22</v>
      </c>
      <c r="C149" s="3" t="s">
        <v>1453</v>
      </c>
      <c r="D149" s="2">
        <f t="shared" ref="D149" si="42">E148+1</f>
        <v>39</v>
      </c>
      <c r="E149" s="2">
        <f t="shared" ref="E149" si="43">D149+F149-1</f>
        <v>40</v>
      </c>
      <c r="F149" s="2">
        <v>2</v>
      </c>
      <c r="G149" s="2" t="str">
        <f t="shared" ref="G149:G150" si="44">TRIM(MID($C$124,(D149-1)*3+1,(F149-1)*3))</f>
        <v>10</v>
      </c>
      <c r="H149" s="2" t="str">
        <f t="shared" ref="H149:H150" si="45">TRIM(MID($C$124,(D149-1)*3+1+3,(F149-1)*3))</f>
        <v>02</v>
      </c>
      <c r="I149" s="2">
        <f t="shared" ref="I149:I150" si="46">HEX2DEC(SUBSTITUTE(G149," ",""))</f>
        <v>16</v>
      </c>
      <c r="J149" s="2">
        <f t="shared" ref="J149:J150" si="47">HEX2DEC(SUBSTITUTE(H149," ",""))</f>
        <v>2</v>
      </c>
      <c r="L149" s="69" t="str">
        <f>IF(ISNA(VLOOKUP(CONCATENATE(G149,H149),'IGS Configuration Values'!$B$501:$C$504,2,FALSE))=TRUE,IF(ISNA(VLOOKUP(CONCATENATE(G149,H149),'IGS Configuration Values'!$B$4:$C$17,2,FALSE))=TRUE,"Invalid Game Type/Index",VLOOKUP(CONCATENATE(G149,H149),'IGS Configuration Values'!$B$4:$C$17,2,FALSE)),VLOOKUP(CONCATENATE(G149,H149),'IGS Configuration Values'!$B$501:$C$504,2,FALSE))</f>
        <v>Popular</v>
      </c>
      <c r="M149" s="68"/>
      <c r="N149" s="68"/>
    </row>
    <row r="150" spans="2:14">
      <c r="B150" s="2">
        <v>23</v>
      </c>
      <c r="C150" s="3" t="s">
        <v>1453</v>
      </c>
      <c r="D150" s="2">
        <f t="shared" ref="D150" si="48">E149+1</f>
        <v>41</v>
      </c>
      <c r="E150" s="2">
        <f t="shared" ref="E150" si="49">D150+F150-1</f>
        <v>42</v>
      </c>
      <c r="F150" s="2">
        <v>2</v>
      </c>
      <c r="G150" s="2" t="str">
        <f t="shared" si="44"/>
        <v>02</v>
      </c>
      <c r="H150" s="2" t="str">
        <f t="shared" si="45"/>
        <v>03</v>
      </c>
      <c r="I150" s="2">
        <f t="shared" si="46"/>
        <v>2</v>
      </c>
      <c r="J150" s="2">
        <f t="shared" si="47"/>
        <v>3</v>
      </c>
      <c r="L150" s="69" t="str">
        <f>IF(ISNA(VLOOKUP(CONCATENATE(G150,H150),'IGS Configuration Values'!$B$501:$C$504,2,FALSE))=TRUE,IF(ISNA(VLOOKUP(CONCATENATE(G150,H150),'IGS Configuration Values'!$B$4:$C$17,2,FALSE))=TRUE,"Invalid Game Type/Index",VLOOKUP(CONCATENATE(G150,H150),'IGS Configuration Values'!$B$4:$C$17,2,FALSE)),VLOOKUP(CONCATENATE(G150,H150),'IGS Configuration Values'!$B$501:$C$504,2,FALSE))</f>
        <v>Totobola Extra 1</v>
      </c>
      <c r="M150" s="68"/>
      <c r="N150" s="68"/>
    </row>
    <row r="152" spans="2:14">
      <c r="B152" s="18">
        <v>24</v>
      </c>
      <c r="C152" s="19" t="s">
        <v>1489</v>
      </c>
      <c r="D152" s="18">
        <f>E150+1</f>
        <v>43</v>
      </c>
      <c r="E152" s="18">
        <f>D152+F152-1</f>
        <v>46</v>
      </c>
      <c r="F152" s="18">
        <v>4</v>
      </c>
      <c r="G152" s="301" t="str">
        <f>TRIM(MID($C$124,(D152-1)*3+1,F152*3))</f>
        <v>00 00 00 00</v>
      </c>
      <c r="H152" s="301"/>
      <c r="I152" s="302">
        <f t="shared" ref="I152:I171" si="50">HEX2DEC(SUBSTITUTE(G152," ",""))</f>
        <v>0</v>
      </c>
      <c r="J152" s="302"/>
      <c r="L152" s="373" t="str">
        <f>L139</f>
        <v>Euromilhões Não Disponível</v>
      </c>
      <c r="M152" s="374"/>
      <c r="N152" s="374"/>
    </row>
    <row r="153" spans="2:14">
      <c r="B153" s="18">
        <v>25</v>
      </c>
      <c r="C153" s="19" t="s">
        <v>1490</v>
      </c>
      <c r="D153" s="18">
        <f>E152+1</f>
        <v>47</v>
      </c>
      <c r="E153" s="18">
        <f>D153+F153-1</f>
        <v>50</v>
      </c>
      <c r="F153" s="18">
        <v>4</v>
      </c>
      <c r="G153" s="301" t="str">
        <f t="shared" ref="G153:G171" si="51">TRIM(MID($C$124,(D153-1)*3+1,F153*3))</f>
        <v>00 00 00 00</v>
      </c>
      <c r="H153" s="301"/>
      <c r="I153" s="302">
        <f t="shared" si="50"/>
        <v>0</v>
      </c>
      <c r="J153" s="302"/>
      <c r="L153" s="373"/>
      <c r="M153" s="374"/>
      <c r="N153" s="374"/>
    </row>
    <row r="154" spans="2:14">
      <c r="B154" s="2">
        <v>26</v>
      </c>
      <c r="C154" s="3" t="s">
        <v>1491</v>
      </c>
      <c r="D154" s="2">
        <f>E153+1</f>
        <v>51</v>
      </c>
      <c r="E154" s="2">
        <f>D154+F154-1</f>
        <v>54</v>
      </c>
      <c r="F154" s="2">
        <v>4</v>
      </c>
      <c r="G154" s="255" t="str">
        <f>TRIM(MID($C$124,(D154-1)*3+1,F154*3))</f>
        <v>00 00 00 00</v>
      </c>
      <c r="H154" s="255"/>
      <c r="I154" s="231">
        <f t="shared" si="50"/>
        <v>0</v>
      </c>
      <c r="J154" s="231"/>
      <c r="L154" s="375" t="str">
        <f>L140</f>
        <v>M1lhão Não Disponível</v>
      </c>
      <c r="M154" s="376"/>
      <c r="N154" s="376"/>
    </row>
    <row r="155" spans="2:14">
      <c r="B155" s="2">
        <v>27</v>
      </c>
      <c r="C155" s="3" t="s">
        <v>1492</v>
      </c>
      <c r="D155" s="2">
        <f t="shared" ref="D155:D171" si="52">E154+1</f>
        <v>55</v>
      </c>
      <c r="E155" s="2">
        <f t="shared" ref="E155:E171" si="53">D155+F155-1</f>
        <v>58</v>
      </c>
      <c r="F155" s="2">
        <v>4</v>
      </c>
      <c r="G155" s="255" t="str">
        <f t="shared" si="51"/>
        <v>00 00 00 00</v>
      </c>
      <c r="H155" s="255"/>
      <c r="I155" s="231">
        <f t="shared" si="50"/>
        <v>0</v>
      </c>
      <c r="J155" s="231"/>
      <c r="L155" s="375"/>
      <c r="M155" s="376"/>
      <c r="N155" s="376"/>
    </row>
    <row r="156" spans="2:14">
      <c r="B156" s="18">
        <v>28</v>
      </c>
      <c r="C156" s="19" t="s">
        <v>1493</v>
      </c>
      <c r="D156" s="2">
        <f t="shared" si="52"/>
        <v>59</v>
      </c>
      <c r="E156" s="2">
        <f t="shared" si="53"/>
        <v>62</v>
      </c>
      <c r="F156" s="18">
        <v>4</v>
      </c>
      <c r="G156" s="301" t="str">
        <f t="shared" si="51"/>
        <v>00 00 00 00</v>
      </c>
      <c r="H156" s="301"/>
      <c r="I156" s="302">
        <f t="shared" si="50"/>
        <v>0</v>
      </c>
      <c r="J156" s="302"/>
      <c r="L156" s="373" t="str">
        <f>L141</f>
        <v>PLACARD</v>
      </c>
      <c r="M156" s="374"/>
      <c r="N156" s="374"/>
    </row>
    <row r="157" spans="2:14">
      <c r="B157" s="18">
        <v>29</v>
      </c>
      <c r="C157" s="19" t="s">
        <v>1494</v>
      </c>
      <c r="D157" s="2">
        <f t="shared" si="52"/>
        <v>63</v>
      </c>
      <c r="E157" s="2">
        <f t="shared" si="53"/>
        <v>66</v>
      </c>
      <c r="F157" s="18">
        <v>4</v>
      </c>
      <c r="G157" s="301" t="str">
        <f t="shared" si="51"/>
        <v>00 00 00 00</v>
      </c>
      <c r="H157" s="301"/>
      <c r="I157" s="302">
        <f t="shared" si="50"/>
        <v>0</v>
      </c>
      <c r="J157" s="302"/>
      <c r="L157" s="373"/>
      <c r="M157" s="374"/>
      <c r="N157" s="374"/>
    </row>
    <row r="158" spans="2:14">
      <c r="B158" s="2">
        <v>30</v>
      </c>
      <c r="C158" s="3" t="s">
        <v>1495</v>
      </c>
      <c r="D158" s="2">
        <f t="shared" si="52"/>
        <v>67</v>
      </c>
      <c r="E158" s="2">
        <f t="shared" si="53"/>
        <v>70</v>
      </c>
      <c r="F158" s="2">
        <v>4</v>
      </c>
      <c r="G158" s="255" t="str">
        <f t="shared" si="51"/>
        <v>00 00 00 00</v>
      </c>
      <c r="H158" s="255"/>
      <c r="I158" s="231">
        <f t="shared" si="50"/>
        <v>0</v>
      </c>
      <c r="J158" s="231"/>
      <c r="L158" s="375" t="str">
        <f>L142</f>
        <v>Totobola Normal</v>
      </c>
      <c r="M158" s="376"/>
      <c r="N158" s="376"/>
    </row>
    <row r="159" spans="2:14">
      <c r="B159" s="2">
        <v>31</v>
      </c>
      <c r="C159" s="3" t="s">
        <v>1496</v>
      </c>
      <c r="D159" s="2">
        <f t="shared" si="52"/>
        <v>71</v>
      </c>
      <c r="E159" s="2">
        <f t="shared" si="53"/>
        <v>74</v>
      </c>
      <c r="F159" s="2">
        <v>4</v>
      </c>
      <c r="G159" s="255" t="str">
        <f t="shared" si="51"/>
        <v>00 00 00 00</v>
      </c>
      <c r="H159" s="255"/>
      <c r="I159" s="231">
        <f t="shared" si="50"/>
        <v>0</v>
      </c>
      <c r="J159" s="231"/>
      <c r="L159" s="375"/>
      <c r="M159" s="376"/>
      <c r="N159" s="376"/>
    </row>
    <row r="160" spans="2:14">
      <c r="B160" s="18">
        <v>32</v>
      </c>
      <c r="C160" s="19" t="s">
        <v>1497</v>
      </c>
      <c r="D160" s="2">
        <f t="shared" si="52"/>
        <v>75</v>
      </c>
      <c r="E160" s="2">
        <f t="shared" si="53"/>
        <v>78</v>
      </c>
      <c r="F160" s="18">
        <v>4</v>
      </c>
      <c r="G160" s="301" t="str">
        <f t="shared" si="51"/>
        <v>00 00 00 00</v>
      </c>
      <c r="H160" s="301"/>
      <c r="I160" s="302">
        <f t="shared" si="50"/>
        <v>0</v>
      </c>
      <c r="J160" s="302"/>
      <c r="L160" s="373" t="str">
        <f>L143</f>
        <v>Totoloto</v>
      </c>
      <c r="M160" s="374"/>
      <c r="N160" s="374"/>
    </row>
    <row r="161" spans="2:14">
      <c r="B161" s="18">
        <v>33</v>
      </c>
      <c r="C161" s="19" t="s">
        <v>1498</v>
      </c>
      <c r="D161" s="2">
        <f t="shared" si="52"/>
        <v>79</v>
      </c>
      <c r="E161" s="2">
        <f t="shared" si="53"/>
        <v>82</v>
      </c>
      <c r="F161" s="18">
        <v>4</v>
      </c>
      <c r="G161" s="301" t="str">
        <f t="shared" si="51"/>
        <v>00 00 00 00</v>
      </c>
      <c r="H161" s="301"/>
      <c r="I161" s="302">
        <f t="shared" si="50"/>
        <v>0</v>
      </c>
      <c r="J161" s="302"/>
      <c r="L161" s="373"/>
      <c r="M161" s="374"/>
      <c r="N161" s="374"/>
    </row>
    <row r="162" spans="2:14">
      <c r="B162" s="2">
        <v>34</v>
      </c>
      <c r="C162" s="3" t="s">
        <v>1499</v>
      </c>
      <c r="D162" s="2">
        <f t="shared" si="52"/>
        <v>83</v>
      </c>
      <c r="E162" s="2">
        <f t="shared" si="53"/>
        <v>86</v>
      </c>
      <c r="F162" s="2">
        <v>4</v>
      </c>
      <c r="G162" s="255" t="str">
        <f t="shared" si="51"/>
        <v>00 00 00 00</v>
      </c>
      <c r="H162" s="255"/>
      <c r="I162" s="231">
        <f t="shared" si="50"/>
        <v>0</v>
      </c>
      <c r="J162" s="231"/>
      <c r="L162" s="375" t="str">
        <f>L144</f>
        <v>Totobola Extra 2</v>
      </c>
      <c r="M162" s="376"/>
      <c r="N162" s="376"/>
    </row>
    <row r="163" spans="2:14">
      <c r="B163" s="2">
        <v>35</v>
      </c>
      <c r="C163" s="3" t="s">
        <v>1500</v>
      </c>
      <c r="D163" s="2">
        <f t="shared" si="52"/>
        <v>87</v>
      </c>
      <c r="E163" s="2">
        <f t="shared" si="53"/>
        <v>90</v>
      </c>
      <c r="F163" s="2">
        <v>4</v>
      </c>
      <c r="G163" s="255" t="str">
        <f t="shared" si="51"/>
        <v>00 00 00 00</v>
      </c>
      <c r="H163" s="255"/>
      <c r="I163" s="231">
        <f t="shared" si="50"/>
        <v>0</v>
      </c>
      <c r="J163" s="231"/>
      <c r="L163" s="375"/>
      <c r="M163" s="376"/>
      <c r="N163" s="376"/>
    </row>
    <row r="164" spans="2:14">
      <c r="B164" s="18">
        <v>36</v>
      </c>
      <c r="C164" s="19" t="s">
        <v>1501</v>
      </c>
      <c r="D164" s="2">
        <f t="shared" si="52"/>
        <v>91</v>
      </c>
      <c r="E164" s="2">
        <f t="shared" si="53"/>
        <v>94</v>
      </c>
      <c r="F164" s="18">
        <v>4</v>
      </c>
      <c r="G164" s="301" t="str">
        <f t="shared" si="51"/>
        <v>00 00 00 00</v>
      </c>
      <c r="H164" s="301"/>
      <c r="I164" s="302">
        <f t="shared" si="50"/>
        <v>0</v>
      </c>
      <c r="J164" s="302"/>
      <c r="L164" s="373" t="str">
        <f>L145</f>
        <v>Loto2</v>
      </c>
      <c r="M164" s="374"/>
      <c r="N164" s="374"/>
    </row>
    <row r="165" spans="2:14">
      <c r="B165" s="18">
        <v>37</v>
      </c>
      <c r="C165" s="19" t="s">
        <v>1502</v>
      </c>
      <c r="D165" s="2">
        <f t="shared" si="52"/>
        <v>95</v>
      </c>
      <c r="E165" s="2">
        <f t="shared" si="53"/>
        <v>98</v>
      </c>
      <c r="F165" s="18">
        <v>4</v>
      </c>
      <c r="G165" s="301" t="str">
        <f t="shared" si="51"/>
        <v>00 00 00 00</v>
      </c>
      <c r="H165" s="301"/>
      <c r="I165" s="302">
        <f t="shared" si="50"/>
        <v>0</v>
      </c>
      <c r="J165" s="302"/>
      <c r="L165" s="373"/>
      <c r="M165" s="374"/>
      <c r="N165" s="374"/>
    </row>
    <row r="166" spans="2:14">
      <c r="B166" s="2">
        <v>38</v>
      </c>
      <c r="C166" s="3" t="s">
        <v>1503</v>
      </c>
      <c r="D166" s="2">
        <f t="shared" si="52"/>
        <v>99</v>
      </c>
      <c r="E166" s="2">
        <f t="shared" si="53"/>
        <v>102</v>
      </c>
      <c r="F166" s="2">
        <v>4</v>
      </c>
      <c r="G166" s="255" t="str">
        <f t="shared" si="51"/>
        <v>00 00 00 00</v>
      </c>
      <c r="H166" s="255"/>
      <c r="I166" s="231">
        <f t="shared" si="50"/>
        <v>0</v>
      </c>
      <c r="J166" s="231"/>
      <c r="L166" s="375" t="str">
        <f>L146</f>
        <v>Joker</v>
      </c>
      <c r="M166" s="376"/>
      <c r="N166" s="376"/>
    </row>
    <row r="167" spans="2:14">
      <c r="B167" s="2">
        <v>39</v>
      </c>
      <c r="C167" s="3" t="s">
        <v>1504</v>
      </c>
      <c r="D167" s="2">
        <f t="shared" si="52"/>
        <v>103</v>
      </c>
      <c r="E167" s="2">
        <f t="shared" si="53"/>
        <v>106</v>
      </c>
      <c r="F167" s="2">
        <v>4</v>
      </c>
      <c r="G167" s="255" t="str">
        <f t="shared" si="51"/>
        <v>00 00 00 00</v>
      </c>
      <c r="H167" s="255"/>
      <c r="I167" s="231">
        <f t="shared" si="50"/>
        <v>0</v>
      </c>
      <c r="J167" s="231"/>
      <c r="L167" s="375"/>
      <c r="M167" s="376"/>
      <c r="N167" s="376"/>
    </row>
    <row r="168" spans="2:14">
      <c r="B168" s="18">
        <v>40</v>
      </c>
      <c r="C168" s="19" t="s">
        <v>1505</v>
      </c>
      <c r="D168" s="2">
        <f t="shared" si="52"/>
        <v>107</v>
      </c>
      <c r="E168" s="2">
        <f t="shared" si="53"/>
        <v>110</v>
      </c>
      <c r="F168" s="18">
        <v>4</v>
      </c>
      <c r="G168" s="301" t="str">
        <f t="shared" si="51"/>
        <v>00 00 00 00</v>
      </c>
      <c r="H168" s="301"/>
      <c r="I168" s="302">
        <f t="shared" si="50"/>
        <v>0</v>
      </c>
      <c r="J168" s="302"/>
      <c r="L168" s="373" t="str">
        <f>L147</f>
        <v>Totoloto Sábado (inclui Totoloto Quarta)</v>
      </c>
      <c r="M168" s="374"/>
      <c r="N168" s="374"/>
    </row>
    <row r="169" spans="2:14">
      <c r="B169" s="18">
        <v>41</v>
      </c>
      <c r="C169" s="19" t="s">
        <v>1506</v>
      </c>
      <c r="D169" s="2">
        <f t="shared" si="52"/>
        <v>111</v>
      </c>
      <c r="E169" s="2">
        <f t="shared" si="53"/>
        <v>114</v>
      </c>
      <c r="F169" s="18">
        <v>4</v>
      </c>
      <c r="G169" s="301" t="str">
        <f t="shared" si="51"/>
        <v>00 00 00 00</v>
      </c>
      <c r="H169" s="301"/>
      <c r="I169" s="302">
        <f t="shared" si="50"/>
        <v>0</v>
      </c>
      <c r="J169" s="302"/>
      <c r="L169" s="373"/>
      <c r="M169" s="374"/>
      <c r="N169" s="374"/>
    </row>
    <row r="170" spans="2:14">
      <c r="B170" s="2">
        <v>42</v>
      </c>
      <c r="C170" s="3" t="s">
        <v>1507</v>
      </c>
      <c r="D170" s="2">
        <f t="shared" si="52"/>
        <v>115</v>
      </c>
      <c r="E170" s="2">
        <f t="shared" si="53"/>
        <v>118</v>
      </c>
      <c r="F170" s="2">
        <v>4</v>
      </c>
      <c r="G170" s="255" t="str">
        <f t="shared" si="51"/>
        <v>00 00 00 00</v>
      </c>
      <c r="H170" s="255"/>
      <c r="I170" s="231">
        <f t="shared" si="50"/>
        <v>0</v>
      </c>
      <c r="J170" s="231"/>
      <c r="L170" s="375" t="str">
        <f>L148</f>
        <v>Clássica</v>
      </c>
      <c r="M170" s="376"/>
      <c r="N170" s="376"/>
    </row>
    <row r="171" spans="2:14">
      <c r="B171" s="2">
        <v>43</v>
      </c>
      <c r="C171" s="3" t="s">
        <v>1508</v>
      </c>
      <c r="D171" s="2">
        <f t="shared" si="52"/>
        <v>119</v>
      </c>
      <c r="E171" s="2">
        <f t="shared" si="53"/>
        <v>122</v>
      </c>
      <c r="F171" s="2">
        <v>4</v>
      </c>
      <c r="G171" s="255" t="str">
        <f t="shared" si="51"/>
        <v>00 00 00 00</v>
      </c>
      <c r="H171" s="255"/>
      <c r="I171" s="231">
        <f t="shared" si="50"/>
        <v>0</v>
      </c>
      <c r="J171" s="231"/>
      <c r="L171" s="375"/>
      <c r="M171" s="376"/>
      <c r="N171" s="376"/>
    </row>
    <row r="172" spans="2:14">
      <c r="B172" s="18">
        <v>44</v>
      </c>
      <c r="C172" s="19" t="s">
        <v>1509</v>
      </c>
      <c r="D172" s="2">
        <f t="shared" ref="D172:D175" si="54">E171+1</f>
        <v>123</v>
      </c>
      <c r="E172" s="2">
        <f t="shared" ref="E172:E175" si="55">D172+F172-1</f>
        <v>126</v>
      </c>
      <c r="F172" s="18">
        <v>4</v>
      </c>
      <c r="G172" s="301" t="str">
        <f t="shared" ref="G172:G175" si="56">TRIM(MID($C$124,(D172-1)*3+1,F172*3))</f>
        <v>00 00 00 00</v>
      </c>
      <c r="H172" s="301"/>
      <c r="I172" s="302">
        <f t="shared" ref="I172:I175" si="57">HEX2DEC(SUBSTITUTE(G172," ",""))</f>
        <v>0</v>
      </c>
      <c r="J172" s="302"/>
      <c r="L172" s="373" t="str">
        <f>L149</f>
        <v>Popular</v>
      </c>
      <c r="M172" s="374"/>
      <c r="N172" s="374"/>
    </row>
    <row r="173" spans="2:14">
      <c r="B173" s="18">
        <v>45</v>
      </c>
      <c r="C173" s="19" t="s">
        <v>1510</v>
      </c>
      <c r="D173" s="2">
        <f t="shared" si="54"/>
        <v>127</v>
      </c>
      <c r="E173" s="2">
        <f t="shared" si="55"/>
        <v>130</v>
      </c>
      <c r="F173" s="18">
        <v>4</v>
      </c>
      <c r="G173" s="301" t="str">
        <f t="shared" si="56"/>
        <v>00 00 00 00</v>
      </c>
      <c r="H173" s="301"/>
      <c r="I173" s="302">
        <f t="shared" si="57"/>
        <v>0</v>
      </c>
      <c r="J173" s="302"/>
      <c r="L173" s="373"/>
      <c r="M173" s="374"/>
      <c r="N173" s="374"/>
    </row>
    <row r="174" spans="2:14">
      <c r="B174" s="2">
        <v>46</v>
      </c>
      <c r="C174" s="3" t="s">
        <v>1511</v>
      </c>
      <c r="D174" s="2">
        <f t="shared" si="54"/>
        <v>131</v>
      </c>
      <c r="E174" s="2">
        <f t="shared" si="55"/>
        <v>134</v>
      </c>
      <c r="F174" s="2">
        <v>4</v>
      </c>
      <c r="G174" s="255" t="str">
        <f t="shared" si="56"/>
        <v>00 00 00 00</v>
      </c>
      <c r="H174" s="255"/>
      <c r="I174" s="231">
        <f t="shared" si="57"/>
        <v>0</v>
      </c>
      <c r="J174" s="231"/>
      <c r="L174" s="375" t="str">
        <f>L150</f>
        <v>Totobola Extra 1</v>
      </c>
      <c r="M174" s="376"/>
      <c r="N174" s="376"/>
    </row>
    <row r="175" spans="2:14">
      <c r="B175" s="2">
        <v>47</v>
      </c>
      <c r="C175" s="3" t="s">
        <v>1512</v>
      </c>
      <c r="D175" s="2">
        <f t="shared" si="54"/>
        <v>135</v>
      </c>
      <c r="E175" s="2">
        <f t="shared" si="55"/>
        <v>138</v>
      </c>
      <c r="F175" s="2">
        <v>4</v>
      </c>
      <c r="G175" s="255" t="str">
        <f t="shared" si="56"/>
        <v>00 00 00 00</v>
      </c>
      <c r="H175" s="255"/>
      <c r="I175" s="231">
        <f t="shared" si="57"/>
        <v>0</v>
      </c>
      <c r="J175" s="231"/>
      <c r="L175" s="375"/>
      <c r="M175" s="376"/>
      <c r="N175" s="376"/>
    </row>
    <row r="177" spans="1:14">
      <c r="B177" s="2">
        <v>48</v>
      </c>
      <c r="C177" s="3" t="s">
        <v>1513</v>
      </c>
      <c r="D177" s="2">
        <f>E175+1</f>
        <v>139</v>
      </c>
      <c r="E177" s="2">
        <f>D177+F177-1</f>
        <v>142</v>
      </c>
      <c r="F177" s="2">
        <v>4</v>
      </c>
      <c r="G177" s="255" t="str">
        <f>TRIM(MID($C$124,(D177-1)*3+1,F177*3))</f>
        <v>00 00 00 00</v>
      </c>
      <c r="H177" s="255"/>
      <c r="I177" s="231">
        <f>HEX2DEC(SUBSTITUTE(G177," ",""))</f>
        <v>0</v>
      </c>
      <c r="J177" s="231"/>
    </row>
    <row r="178" spans="1:14">
      <c r="B178" s="2">
        <v>49</v>
      </c>
      <c r="C178" s="3" t="s">
        <v>1514</v>
      </c>
      <c r="D178" s="2">
        <f>E177+1</f>
        <v>143</v>
      </c>
      <c r="E178" s="2">
        <f>D178+F178-1</f>
        <v>146</v>
      </c>
      <c r="F178" s="2">
        <v>4</v>
      </c>
      <c r="G178" s="255" t="str">
        <f>TRIM(MID($C$124,(D178-1)*3+1,F178*3))</f>
        <v>00 00 00 00</v>
      </c>
      <c r="H178" s="255"/>
      <c r="I178" s="231">
        <f>HEX2DEC(SUBSTITUTE(G178," ",""))</f>
        <v>0</v>
      </c>
      <c r="J178" s="231"/>
    </row>
    <row r="179" spans="1:14">
      <c r="B179" s="2">
        <v>50</v>
      </c>
      <c r="C179" s="3" t="s">
        <v>1515</v>
      </c>
      <c r="D179" s="2">
        <f>E178+1</f>
        <v>147</v>
      </c>
      <c r="E179" s="2">
        <f>D179+F179-1</f>
        <v>150</v>
      </c>
      <c r="F179" s="2">
        <v>4</v>
      </c>
      <c r="G179" s="255" t="str">
        <f>TRIM(MID($C$124,(D179-1)*3+1,F179*3))</f>
        <v>00 00 00 00</v>
      </c>
      <c r="H179" s="255"/>
      <c r="I179" s="231">
        <f>HEX2DEC(SUBSTITUTE(G179," ",""))</f>
        <v>0</v>
      </c>
      <c r="J179" s="231"/>
    </row>
    <row r="180" spans="1:14">
      <c r="B180" s="2">
        <v>51</v>
      </c>
      <c r="C180" s="3" t="s">
        <v>1516</v>
      </c>
      <c r="D180" s="2">
        <f>E179+1</f>
        <v>151</v>
      </c>
      <c r="E180" s="2">
        <f>D180+F180-1</f>
        <v>158</v>
      </c>
      <c r="F180" s="2">
        <v>8</v>
      </c>
      <c r="G180" s="2" t="str">
        <f>TRIM(MID($C$124,(D180-1)*3+1,F180*3/2))</f>
        <v>00 00 00 00</v>
      </c>
      <c r="H180" s="2" t="str">
        <f>TRIM(MID($C$124,(D180+4-1)*3+1,F180*3/2))</f>
        <v>00 00 00 00</v>
      </c>
      <c r="I180" s="324">
        <f>IF(HEX2DEC(SUBSTITUTE(G180," ",""))=4294967295,HEX2DEC(CONCATENATE(MID(G180,10,2),SUBSTITUTE(H180," ",""))),IF(HEX2DEC(SUBSTITUTE(G180," ",""))=0,HEX2DEC(SUBSTITUTE(H180," ","")),"Descodificar Manualmente"))</f>
        <v>0</v>
      </c>
      <c r="J180" s="325"/>
    </row>
    <row r="182" spans="1:14">
      <c r="B182" s="52"/>
    </row>
    <row r="183" spans="1:14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</row>
    <row r="184" spans="1:14" ht="18.75">
      <c r="B184" s="14" t="s">
        <v>1517</v>
      </c>
    </row>
    <row r="186" spans="1:14">
      <c r="B186" s="7" t="s">
        <v>1104</v>
      </c>
      <c r="C186" s="163" t="s">
        <v>1518</v>
      </c>
    </row>
    <row r="188" spans="1:14">
      <c r="B188" s="15" t="s">
        <v>1105</v>
      </c>
      <c r="C188" s="15" t="s">
        <v>1106</v>
      </c>
      <c r="D188" s="15" t="s">
        <v>1107</v>
      </c>
      <c r="E188" s="15" t="s">
        <v>1108</v>
      </c>
      <c r="F188" s="15" t="s">
        <v>1109</v>
      </c>
      <c r="G188" s="307" t="s">
        <v>1110</v>
      </c>
      <c r="H188" s="307"/>
      <c r="I188" s="307" t="s">
        <v>1111</v>
      </c>
      <c r="J188" s="307"/>
      <c r="L188" s="293" t="s">
        <v>1112</v>
      </c>
      <c r="M188" s="294"/>
      <c r="N188" s="295"/>
    </row>
    <row r="189" spans="1:14">
      <c r="B189" s="2">
        <v>1</v>
      </c>
      <c r="C189" s="3" t="s">
        <v>1113</v>
      </c>
      <c r="D189" s="2">
        <v>1</v>
      </c>
      <c r="E189" s="2">
        <f>D189+F189-1</f>
        <v>1</v>
      </c>
      <c r="F189" s="2">
        <v>1</v>
      </c>
      <c r="G189" s="2" t="str">
        <f>TRIM(MID($C$186,1,1))</f>
        <v>2</v>
      </c>
      <c r="H189" s="2" t="str">
        <f>TRIM(MID($C$186,2,1))</f>
        <v>F</v>
      </c>
      <c r="I189" s="2">
        <f>HEX2DEC(SUBSTITUTE(G189," ",""))</f>
        <v>2</v>
      </c>
      <c r="J189" s="2">
        <f>HEX2DEC(SUBSTITUTE(H189," ",""))</f>
        <v>15</v>
      </c>
      <c r="L189" s="69" t="str">
        <f>IF(MOD(INT(HEX2BIN(G189,4)/(2^(3-1))),2)=1,CONCATENATE("This is a Retry"),CONCATENATE("This is NOT a Retry"))</f>
        <v>This is NOT a Retry</v>
      </c>
      <c r="M189" s="68"/>
      <c r="N189" s="68"/>
    </row>
    <row r="190" spans="1:14">
      <c r="B190" s="2">
        <v>2</v>
      </c>
      <c r="C190" s="3" t="s">
        <v>1397</v>
      </c>
      <c r="D190" s="2">
        <f>E189+1</f>
        <v>2</v>
      </c>
      <c r="E190" s="2">
        <f>D190+F190-1</f>
        <v>2</v>
      </c>
      <c r="F190" s="2">
        <v>1</v>
      </c>
      <c r="G190" s="2" t="str">
        <f>TRIM(MID($C$186,4,1))</f>
        <v>6</v>
      </c>
      <c r="H190" s="2" t="str">
        <f>TRIM(MID($C$186,5,1))</f>
        <v>3</v>
      </c>
      <c r="I190" s="2">
        <f>HEX2DEC(SUBSTITUTE(G190," ",""))</f>
        <v>6</v>
      </c>
      <c r="J190" s="2">
        <f>HEX2DEC(SUBSTITUTE(H190," ",""))</f>
        <v>3</v>
      </c>
      <c r="L190" s="69" t="str">
        <f>IF(ISNA(VLOOKUP(CONCATENATE(G190,H190),'IGS Configuration Values'!$B$127:$D$129,2,FALSE))=TRUE,"Invalid Type/Subtype",VLOOKUP(CONCATENATE(G190,H190),'IGS Configuration Values'!$B$127:$D$129,2,FALSE))</f>
        <v>Financial Report</v>
      </c>
      <c r="M190" s="68"/>
      <c r="N190" s="68"/>
    </row>
    <row r="191" spans="1:14">
      <c r="B191" s="2">
        <v>3</v>
      </c>
      <c r="C191" s="3" t="s">
        <v>1115</v>
      </c>
      <c r="D191" s="2">
        <f t="shared" ref="D191:D199" si="58">E190+1</f>
        <v>3</v>
      </c>
      <c r="E191" s="2">
        <f t="shared" ref="E191:E199" si="59">D191+F191-1</f>
        <v>4</v>
      </c>
      <c r="F191" s="2">
        <v>2</v>
      </c>
      <c r="G191" s="255" t="str">
        <f>TRIM(MID($C$186,(D191-1)*3+1,F191*3))</f>
        <v>A3 3E</v>
      </c>
      <c r="H191" s="255"/>
      <c r="I191" s="231">
        <f>HEX2DEC(SUBSTITUTE(G191," ",""))</f>
        <v>41790</v>
      </c>
      <c r="J191" s="231"/>
    </row>
    <row r="192" spans="1:14">
      <c r="B192" s="2">
        <v>4</v>
      </c>
      <c r="C192" s="3" t="s">
        <v>1413</v>
      </c>
      <c r="D192" s="2">
        <f t="shared" si="58"/>
        <v>5</v>
      </c>
      <c r="E192" s="2">
        <f t="shared" si="59"/>
        <v>7</v>
      </c>
      <c r="F192" s="2">
        <v>3</v>
      </c>
      <c r="G192" s="255" t="str">
        <f>TRIM(MID($C$186,(D192-1)*3+1,F192*3))</f>
        <v>12 31 12</v>
      </c>
      <c r="H192" s="255"/>
      <c r="I192" s="231" t="str">
        <f>CONCATENATE(TEXT(HEX2DEC(SUBSTITUTE(MID(G192,1,2)," ","")),"00"),":",TEXT(HEX2DEC(SUBSTITUTE(MID(G192,4,2)," ","")),"00"),":",TEXT(HEX2DEC(SUBSTITUTE(MID(G192,7,2)," ","")),"00"))</f>
        <v>18:49:18</v>
      </c>
      <c r="J192" s="231"/>
    </row>
    <row r="193" spans="2:16">
      <c r="B193" s="2">
        <v>5</v>
      </c>
      <c r="C193" s="3" t="s">
        <v>1519</v>
      </c>
      <c r="D193" s="2">
        <f t="shared" si="58"/>
        <v>8</v>
      </c>
      <c r="E193" s="2">
        <f t="shared" si="59"/>
        <v>8</v>
      </c>
      <c r="F193" s="2">
        <v>1</v>
      </c>
      <c r="G193" s="255" t="str">
        <f>TRIM(MID($C$186,(D193-1)*3+1,F193*3))</f>
        <v>08</v>
      </c>
      <c r="H193" s="255"/>
      <c r="I193" s="207">
        <f>HEX2DEC(SUBSTITUTE(G193," ",""))</f>
        <v>8</v>
      </c>
      <c r="J193" s="208"/>
      <c r="L193" s="69" t="str">
        <f>IF(ISNA(VLOOKUP(G193,'IGS Configuration Values'!$B$143:$D$146,2,FALSE))=TRUE,"Invalid Class",VLOOKUP(G193,'IGS Configuration Values'!$B$143:$D$146,2,FALSE))</f>
        <v>Total On-Line Remunerations</v>
      </c>
      <c r="M193" s="68"/>
      <c r="N193" s="68"/>
      <c r="O193" s="68"/>
      <c r="P193" s="68"/>
    </row>
    <row r="194" spans="2:16">
      <c r="B194" s="2">
        <v>6</v>
      </c>
      <c r="C194" s="3" t="s">
        <v>1416</v>
      </c>
      <c r="D194" s="2">
        <f t="shared" si="58"/>
        <v>9</v>
      </c>
      <c r="E194" s="2">
        <f t="shared" si="59"/>
        <v>9</v>
      </c>
      <c r="F194" s="2">
        <v>1</v>
      </c>
      <c r="G194" s="255" t="str">
        <f t="shared" ref="G194:G199" si="60">TRIM(MID($C$186,(D194-1)*3+1,F194*3))</f>
        <v>00</v>
      </c>
      <c r="H194" s="255"/>
      <c r="I194" s="231">
        <f t="shared" ref="I194:I199" si="61">HEX2DEC(SUBSTITUTE(G194," ",""))</f>
        <v>0</v>
      </c>
      <c r="J194" s="231"/>
      <c r="L194" s="69" t="str">
        <f>IF(ISNA(VLOOKUP(G194,'IGS Configuration Values'!$B$150:$D$158,2,FALSE))=TRUE,"Invalid Subclass",VLOOKUP(G194,'IGS Configuration Values'!$B$150:$D$158,2,FALSE))</f>
        <v>Today</v>
      </c>
      <c r="M194" s="68"/>
      <c r="N194" s="68"/>
    </row>
    <row r="195" spans="2:16">
      <c r="B195" s="2">
        <v>7</v>
      </c>
      <c r="C195" s="3" t="s">
        <v>145</v>
      </c>
      <c r="D195" s="2">
        <f t="shared" si="58"/>
        <v>10</v>
      </c>
      <c r="E195" s="2">
        <f t="shared" si="59"/>
        <v>10</v>
      </c>
      <c r="F195" s="2">
        <v>1</v>
      </c>
      <c r="G195" s="255" t="str">
        <f t="shared" si="60"/>
        <v>00</v>
      </c>
      <c r="H195" s="255"/>
      <c r="I195" s="231">
        <f t="shared" si="61"/>
        <v>0</v>
      </c>
      <c r="J195" s="231"/>
      <c r="L195" s="69" t="str">
        <f>IF(ISNA(VLOOKUP(G195,'IGS Configuration Values'!$B$134:$D$138,2,FALSE))=TRUE,"Invalid Report Type",VLOOKUP(G195,'IGS Configuration Values'!$B$134:$D$138,2,FALSE))</f>
        <v>Regular</v>
      </c>
      <c r="M195" s="68"/>
      <c r="N195" s="68"/>
    </row>
    <row r="196" spans="2:16">
      <c r="B196" s="2">
        <v>8</v>
      </c>
      <c r="C196" s="3" t="s">
        <v>1418</v>
      </c>
      <c r="D196" s="2">
        <f t="shared" si="58"/>
        <v>11</v>
      </c>
      <c r="E196" s="2">
        <f t="shared" si="59"/>
        <v>12</v>
      </c>
      <c r="F196" s="2">
        <v>2</v>
      </c>
      <c r="G196" s="255" t="str">
        <f t="shared" si="60"/>
        <v>16 D1</v>
      </c>
      <c r="H196" s="255"/>
      <c r="I196" s="231">
        <f t="shared" si="61"/>
        <v>5841</v>
      </c>
      <c r="J196" s="231"/>
    </row>
    <row r="197" spans="2:16">
      <c r="B197" s="2">
        <v>9</v>
      </c>
      <c r="C197" s="3" t="s">
        <v>1122</v>
      </c>
      <c r="D197" s="2">
        <f t="shared" si="58"/>
        <v>13</v>
      </c>
      <c r="E197" s="2">
        <f t="shared" si="59"/>
        <v>16</v>
      </c>
      <c r="F197" s="2">
        <v>4</v>
      </c>
      <c r="G197" s="255" t="str">
        <f t="shared" si="60"/>
        <v>00 2D C6 C8</v>
      </c>
      <c r="H197" s="255"/>
      <c r="I197" s="231">
        <f t="shared" si="61"/>
        <v>3000008</v>
      </c>
      <c r="J197" s="231"/>
    </row>
    <row r="198" spans="2:16">
      <c r="B198" s="2">
        <v>10</v>
      </c>
      <c r="C198" s="3" t="s">
        <v>1451</v>
      </c>
      <c r="D198" s="2">
        <f t="shared" si="58"/>
        <v>17</v>
      </c>
      <c r="E198" s="2">
        <f t="shared" si="59"/>
        <v>17</v>
      </c>
      <c r="F198" s="2">
        <v>1</v>
      </c>
      <c r="G198" s="255" t="str">
        <f t="shared" si="60"/>
        <v>00</v>
      </c>
      <c r="H198" s="255"/>
      <c r="I198" s="231">
        <f t="shared" si="61"/>
        <v>0</v>
      </c>
      <c r="J198" s="231"/>
    </row>
    <row r="199" spans="2:16">
      <c r="B199" s="2">
        <v>11</v>
      </c>
      <c r="C199" s="3" t="s">
        <v>1452</v>
      </c>
      <c r="D199" s="2">
        <f t="shared" si="58"/>
        <v>18</v>
      </c>
      <c r="E199" s="2">
        <f t="shared" si="59"/>
        <v>18</v>
      </c>
      <c r="F199" s="2">
        <v>1</v>
      </c>
      <c r="G199" s="255" t="str">
        <f t="shared" si="60"/>
        <v>0C</v>
      </c>
      <c r="H199" s="255"/>
      <c r="I199" s="231">
        <f t="shared" si="61"/>
        <v>12</v>
      </c>
      <c r="J199" s="231"/>
    </row>
    <row r="201" spans="2:16">
      <c r="B201" s="2">
        <v>12</v>
      </c>
      <c r="C201" s="3" t="s">
        <v>1453</v>
      </c>
      <c r="D201" s="2">
        <f>E199+1</f>
        <v>19</v>
      </c>
      <c r="E201" s="2">
        <f t="shared" ref="E201:E210" si="62">D201+F201-1</f>
        <v>20</v>
      </c>
      <c r="F201" s="2">
        <v>2</v>
      </c>
      <c r="G201" s="2" t="str">
        <f t="shared" ref="G201:G210" si="63">TRIM(MID($C$186,(D201-1)*3+1,(F201-1)*3))</f>
        <v>11</v>
      </c>
      <c r="H201" s="2" t="str">
        <f t="shared" ref="H201:H210" si="64">TRIM(MID($C$186,(D201-1)*3+1+3,(F201-1)*3))</f>
        <v>0F</v>
      </c>
      <c r="I201" s="2">
        <f>HEX2DEC(SUBSTITUTE(G201," ",""))</f>
        <v>17</v>
      </c>
      <c r="J201" s="2">
        <f>HEX2DEC(SUBSTITUTE(H201," ",""))</f>
        <v>15</v>
      </c>
      <c r="L201" s="69" t="str">
        <f>IF(ISNA(VLOOKUP(CONCATENATE(G201,H201),'IGS Configuration Values'!$B$501:$C$504,2,FALSE))=TRUE,IF(ISNA(VLOOKUP(CONCATENATE(G201,H201),'IGS Configuration Values'!$B$4:$C$17,2,FALSE))=TRUE,"Invalid Game Type/Index",VLOOKUP(CONCATENATE(G201,H201),'IGS Configuration Values'!$B$4:$C$17,2,FALSE)),VLOOKUP(CONCATENATE(G201,H201),'IGS Configuration Values'!$B$501:$C$504,2,FALSE))</f>
        <v>Euromilhões Não Disponível</v>
      </c>
      <c r="M201" s="68"/>
      <c r="N201" s="68"/>
    </row>
    <row r="202" spans="2:16">
      <c r="B202" s="2">
        <v>13</v>
      </c>
      <c r="C202" s="3" t="s">
        <v>1453</v>
      </c>
      <c r="D202" s="2">
        <f>E201+1</f>
        <v>21</v>
      </c>
      <c r="E202" s="2">
        <f t="shared" si="62"/>
        <v>22</v>
      </c>
      <c r="F202" s="2">
        <v>2</v>
      </c>
      <c r="G202" s="2" t="str">
        <f t="shared" si="63"/>
        <v>13</v>
      </c>
      <c r="H202" s="2" t="str">
        <f t="shared" si="64"/>
        <v>0F</v>
      </c>
      <c r="I202" s="2">
        <f t="shared" ref="I202:I210" si="65">HEX2DEC(SUBSTITUTE(G202," ",""))</f>
        <v>19</v>
      </c>
      <c r="J202" s="2">
        <f t="shared" ref="J202:J210" si="66">HEX2DEC(SUBSTITUTE(H202," ",""))</f>
        <v>15</v>
      </c>
      <c r="L202" s="69" t="str">
        <f>IF(ISNA(VLOOKUP(CONCATENATE(G202,H202),'IGS Configuration Values'!$B$501:$C$504,2,FALSE))=TRUE,IF(ISNA(VLOOKUP(CONCATENATE(G202,H202),'IGS Configuration Values'!$B$4:$C$17,2,FALSE))=TRUE,"Invalid Game Type/Index",VLOOKUP(CONCATENATE(G202,H202),'IGS Configuration Values'!$B$4:$C$17,2,FALSE)),VLOOKUP(CONCATENATE(G202,H202),'IGS Configuration Values'!$B$501:$C$504,2,FALSE))</f>
        <v>M1lhão Não Disponível</v>
      </c>
      <c r="M202" s="68"/>
      <c r="N202" s="68"/>
    </row>
    <row r="203" spans="2:16">
      <c r="B203" s="2">
        <v>14</v>
      </c>
      <c r="C203" s="3" t="s">
        <v>1453</v>
      </c>
      <c r="D203" s="2">
        <f t="shared" ref="D203:D210" si="67">E202+1</f>
        <v>23</v>
      </c>
      <c r="E203" s="2">
        <f t="shared" si="62"/>
        <v>24</v>
      </c>
      <c r="F203" s="2">
        <v>2</v>
      </c>
      <c r="G203" s="2" t="str">
        <f t="shared" si="63"/>
        <v>12</v>
      </c>
      <c r="H203" s="2" t="str">
        <f t="shared" si="64"/>
        <v>01</v>
      </c>
      <c r="I203" s="2">
        <f t="shared" si="65"/>
        <v>18</v>
      </c>
      <c r="J203" s="2">
        <f t="shared" si="66"/>
        <v>1</v>
      </c>
      <c r="L203" s="69" t="str">
        <f>IF(ISNA(VLOOKUP(CONCATENATE(G203,H203),'IGS Configuration Values'!$B$501:$C$504,2,FALSE))=TRUE,IF(ISNA(VLOOKUP(CONCATENATE(G203,H203),'IGS Configuration Values'!$B$4:$C$17,2,FALSE))=TRUE,"Invalid Game Type/Index",VLOOKUP(CONCATENATE(G203,H203),'IGS Configuration Values'!$B$4:$C$17,2,FALSE)),VLOOKUP(CONCATENATE(G203,H203),'IGS Configuration Values'!$B$501:$C$504,2,FALSE))</f>
        <v>PLACARD</v>
      </c>
      <c r="M203" s="68"/>
      <c r="N203" s="68"/>
    </row>
    <row r="204" spans="2:16">
      <c r="B204" s="2">
        <v>15</v>
      </c>
      <c r="C204" s="3" t="s">
        <v>1453</v>
      </c>
      <c r="D204" s="2">
        <f t="shared" si="67"/>
        <v>25</v>
      </c>
      <c r="E204" s="2">
        <f t="shared" si="62"/>
        <v>26</v>
      </c>
      <c r="F204" s="2">
        <v>2</v>
      </c>
      <c r="G204" s="2" t="str">
        <f t="shared" si="63"/>
        <v>02</v>
      </c>
      <c r="H204" s="2" t="str">
        <f t="shared" si="64"/>
        <v>01</v>
      </c>
      <c r="I204" s="2">
        <f t="shared" si="65"/>
        <v>2</v>
      </c>
      <c r="J204" s="2">
        <f t="shared" si="66"/>
        <v>1</v>
      </c>
      <c r="L204" s="69" t="str">
        <f>IF(ISNA(VLOOKUP(CONCATENATE(G204,H204),'IGS Configuration Values'!$B$501:$C$504,2,FALSE))=TRUE,IF(ISNA(VLOOKUP(CONCATENATE(G204,H204),'IGS Configuration Values'!$B$4:$C$17,2,FALSE))=TRUE,"Invalid Game Type/Index",VLOOKUP(CONCATENATE(G204,H204),'IGS Configuration Values'!$B$4:$C$17,2,FALSE)),VLOOKUP(CONCATENATE(G204,H204),'IGS Configuration Values'!$B$501:$C$504,2,FALSE))</f>
        <v>Totobola Normal</v>
      </c>
      <c r="M204" s="68"/>
      <c r="N204" s="68"/>
    </row>
    <row r="205" spans="2:16">
      <c r="B205" s="2">
        <v>16</v>
      </c>
      <c r="C205" s="3" t="s">
        <v>1453</v>
      </c>
      <c r="D205" s="2">
        <f t="shared" si="67"/>
        <v>27</v>
      </c>
      <c r="E205" s="2">
        <f t="shared" si="62"/>
        <v>28</v>
      </c>
      <c r="F205" s="2">
        <v>2</v>
      </c>
      <c r="G205" s="2" t="str">
        <f t="shared" si="63"/>
        <v>01</v>
      </c>
      <c r="H205" s="2" t="str">
        <f t="shared" si="64"/>
        <v>01</v>
      </c>
      <c r="I205" s="2">
        <f t="shared" si="65"/>
        <v>1</v>
      </c>
      <c r="J205" s="2">
        <f t="shared" si="66"/>
        <v>1</v>
      </c>
      <c r="L205" s="69" t="str">
        <f>IF(ISNA(VLOOKUP(CONCATENATE(G205,H205),'IGS Configuration Values'!$B$501:$C$504,2,FALSE))=TRUE,IF(ISNA(VLOOKUP(CONCATENATE(G205,H205),'IGS Configuration Values'!$B$4:$C$17,2,FALSE))=TRUE,"Invalid Game Type/Index",VLOOKUP(CONCATENATE(G205,H205),'IGS Configuration Values'!$B$4:$C$17,2,FALSE)),VLOOKUP(CONCATENATE(G205,H205),'IGS Configuration Values'!$B$501:$C$504,2,FALSE))</f>
        <v>Totoloto</v>
      </c>
      <c r="M205" s="68"/>
      <c r="N205" s="68"/>
    </row>
    <row r="206" spans="2:16">
      <c r="B206" s="2">
        <v>17</v>
      </c>
      <c r="C206" s="3" t="s">
        <v>1453</v>
      </c>
      <c r="D206" s="2">
        <f t="shared" si="67"/>
        <v>29</v>
      </c>
      <c r="E206" s="2">
        <f t="shared" si="62"/>
        <v>30</v>
      </c>
      <c r="F206" s="2">
        <v>2</v>
      </c>
      <c r="G206" s="2" t="str">
        <f t="shared" si="63"/>
        <v>02</v>
      </c>
      <c r="H206" s="2" t="str">
        <f t="shared" si="64"/>
        <v>02</v>
      </c>
      <c r="I206" s="2">
        <f t="shared" si="65"/>
        <v>2</v>
      </c>
      <c r="J206" s="2">
        <f t="shared" si="66"/>
        <v>2</v>
      </c>
      <c r="L206" s="69" t="str">
        <f>IF(ISNA(VLOOKUP(CONCATENATE(G206,H206),'IGS Configuration Values'!$B$501:$C$504,2,FALSE))=TRUE,IF(ISNA(VLOOKUP(CONCATENATE(G206,H206),'IGS Configuration Values'!$B$4:$C$17,2,FALSE))=TRUE,"Invalid Game Type/Index",VLOOKUP(CONCATENATE(G206,H206),'IGS Configuration Values'!$B$4:$C$17,2,FALSE)),VLOOKUP(CONCATENATE(G206,H206),'IGS Configuration Values'!$B$501:$C$504,2,FALSE))</f>
        <v>Totobola Extra 2</v>
      </c>
      <c r="M206" s="68"/>
      <c r="N206" s="68"/>
    </row>
    <row r="207" spans="2:16">
      <c r="B207" s="2">
        <v>18</v>
      </c>
      <c r="C207" s="3" t="s">
        <v>1453</v>
      </c>
      <c r="D207" s="2">
        <f t="shared" si="67"/>
        <v>31</v>
      </c>
      <c r="E207" s="2">
        <f t="shared" si="62"/>
        <v>32</v>
      </c>
      <c r="F207" s="2">
        <v>2</v>
      </c>
      <c r="G207" s="2" t="str">
        <f t="shared" si="63"/>
        <v>01</v>
      </c>
      <c r="H207" s="2" t="str">
        <f t="shared" si="64"/>
        <v>02</v>
      </c>
      <c r="I207" s="2">
        <f t="shared" si="65"/>
        <v>1</v>
      </c>
      <c r="J207" s="2">
        <f t="shared" si="66"/>
        <v>2</v>
      </c>
      <c r="L207" s="69" t="str">
        <f>IF(ISNA(VLOOKUP(CONCATENATE(G207,H207),'IGS Configuration Values'!$B$501:$C$504,2,FALSE))=TRUE,IF(ISNA(VLOOKUP(CONCATENATE(G207,H207),'IGS Configuration Values'!$B$4:$C$17,2,FALSE))=TRUE,"Invalid Game Type/Index",VLOOKUP(CONCATENATE(G207,H207),'IGS Configuration Values'!$B$4:$C$17,2,FALSE)),VLOOKUP(CONCATENATE(G207,H207),'IGS Configuration Values'!$B$501:$C$504,2,FALSE))</f>
        <v>Loto2</v>
      </c>
      <c r="M207" s="68"/>
      <c r="N207" s="68"/>
    </row>
    <row r="208" spans="2:16">
      <c r="B208" s="2">
        <v>19</v>
      </c>
      <c r="C208" s="3" t="s">
        <v>1453</v>
      </c>
      <c r="D208" s="2">
        <f t="shared" si="67"/>
        <v>33</v>
      </c>
      <c r="E208" s="2">
        <f t="shared" si="62"/>
        <v>34</v>
      </c>
      <c r="F208" s="2">
        <v>2</v>
      </c>
      <c r="G208" s="2" t="str">
        <f t="shared" si="63"/>
        <v>04</v>
      </c>
      <c r="H208" s="2" t="str">
        <f t="shared" si="64"/>
        <v>01</v>
      </c>
      <c r="I208" s="2">
        <f t="shared" si="65"/>
        <v>4</v>
      </c>
      <c r="J208" s="2">
        <f t="shared" si="66"/>
        <v>1</v>
      </c>
      <c r="L208" s="69" t="str">
        <f>IF(ISNA(VLOOKUP(CONCATENATE(G208,H208),'IGS Configuration Values'!$B$501:$C$504,2,FALSE))=TRUE,IF(ISNA(VLOOKUP(CONCATENATE(G208,H208),'IGS Configuration Values'!$B$4:$C$17,2,FALSE))=TRUE,"Invalid Game Type/Index",VLOOKUP(CONCATENATE(G208,H208),'IGS Configuration Values'!$B$4:$C$17,2,FALSE)),VLOOKUP(CONCATENATE(G208,H208),'IGS Configuration Values'!$B$501:$C$504,2,FALSE))</f>
        <v>Joker</v>
      </c>
      <c r="M208" s="68"/>
      <c r="N208" s="68"/>
    </row>
    <row r="209" spans="2:14">
      <c r="B209" s="2">
        <v>20</v>
      </c>
      <c r="C209" s="3" t="s">
        <v>1453</v>
      </c>
      <c r="D209" s="2">
        <f t="shared" si="67"/>
        <v>35</v>
      </c>
      <c r="E209" s="2">
        <f t="shared" si="62"/>
        <v>36</v>
      </c>
      <c r="F209" s="2">
        <v>2</v>
      </c>
      <c r="G209" s="2" t="str">
        <f t="shared" si="63"/>
        <v>01</v>
      </c>
      <c r="H209" s="2" t="str">
        <f t="shared" si="64"/>
        <v>03</v>
      </c>
      <c r="I209" s="2">
        <f t="shared" si="65"/>
        <v>1</v>
      </c>
      <c r="J209" s="2">
        <f t="shared" si="66"/>
        <v>3</v>
      </c>
      <c r="L209" s="69" t="str">
        <f>IF(ISNA(VLOOKUP(CONCATENATE(G209,H209),'IGS Configuration Values'!$B$501:$C$504,2,FALSE))=TRUE,IF(ISNA(VLOOKUP(CONCATENATE(G209,H209),'IGS Configuration Values'!$B$4:$C$17,2,FALSE))=TRUE,"Invalid Game Type/Index",VLOOKUP(CONCATENATE(G209,H209),'IGS Configuration Values'!$B$4:$C$17,2,FALSE)),VLOOKUP(CONCATENATE(G209,H209),'IGS Configuration Values'!$B$501:$C$504,2,FALSE))</f>
        <v>Totoloto Sábado (inclui Totoloto Quarta)</v>
      </c>
      <c r="M209" s="68"/>
      <c r="N209" s="68"/>
    </row>
    <row r="210" spans="2:14">
      <c r="B210" s="2">
        <v>21</v>
      </c>
      <c r="C210" s="3" t="s">
        <v>1453</v>
      </c>
      <c r="D210" s="2">
        <f t="shared" si="67"/>
        <v>37</v>
      </c>
      <c r="E210" s="2">
        <f t="shared" si="62"/>
        <v>38</v>
      </c>
      <c r="F210" s="2">
        <v>2</v>
      </c>
      <c r="G210" s="2" t="str">
        <f t="shared" si="63"/>
        <v>10</v>
      </c>
      <c r="H210" s="2" t="str">
        <f t="shared" si="64"/>
        <v>01</v>
      </c>
      <c r="I210" s="2">
        <f t="shared" si="65"/>
        <v>16</v>
      </c>
      <c r="J210" s="2">
        <f t="shared" si="66"/>
        <v>1</v>
      </c>
      <c r="L210" s="69" t="str">
        <f>IF(ISNA(VLOOKUP(CONCATENATE(G210,H210),'IGS Configuration Values'!$B$501:$C$504,2,FALSE))=TRUE,IF(ISNA(VLOOKUP(CONCATENATE(G210,H210),'IGS Configuration Values'!$B$4:$C$17,2,FALSE))=TRUE,"Invalid Game Type/Index",VLOOKUP(CONCATENATE(G210,H210),'IGS Configuration Values'!$B$4:$C$17,2,FALSE)),VLOOKUP(CONCATENATE(G210,H210),'IGS Configuration Values'!$B$501:$C$504,2,FALSE))</f>
        <v>Clássica</v>
      </c>
      <c r="M210" s="68"/>
      <c r="N210" s="68"/>
    </row>
    <row r="211" spans="2:14">
      <c r="B211" s="2">
        <v>22</v>
      </c>
      <c r="C211" s="3" t="s">
        <v>1453</v>
      </c>
      <c r="D211" s="2">
        <f t="shared" ref="D211:D212" si="68">E210+1</f>
        <v>39</v>
      </c>
      <c r="E211" s="2">
        <f t="shared" ref="E211:E212" si="69">D211+F211-1</f>
        <v>40</v>
      </c>
      <c r="F211" s="2">
        <v>2</v>
      </c>
      <c r="G211" s="2" t="str">
        <f t="shared" ref="G211:G212" si="70">TRIM(MID($C$186,(D211-1)*3+1,(F211-1)*3))</f>
        <v>10</v>
      </c>
      <c r="H211" s="2" t="str">
        <f t="shared" ref="H211:H212" si="71">TRIM(MID($C$186,(D211-1)*3+1+3,(F211-1)*3))</f>
        <v>02</v>
      </c>
      <c r="I211" s="2">
        <f t="shared" ref="I211:I212" si="72">HEX2DEC(SUBSTITUTE(G211," ",""))</f>
        <v>16</v>
      </c>
      <c r="J211" s="2">
        <f t="shared" ref="J211:J212" si="73">HEX2DEC(SUBSTITUTE(H211," ",""))</f>
        <v>2</v>
      </c>
      <c r="L211" s="69" t="str">
        <f>IF(ISNA(VLOOKUP(CONCATENATE(G211,H211),'IGS Configuration Values'!$B$501:$C$504,2,FALSE))=TRUE,IF(ISNA(VLOOKUP(CONCATENATE(G211,H211),'IGS Configuration Values'!$B$4:$C$17,2,FALSE))=TRUE,"Invalid Game Type/Index",VLOOKUP(CONCATENATE(G211,H211),'IGS Configuration Values'!$B$4:$C$17,2,FALSE)),VLOOKUP(CONCATENATE(G211,H211),'IGS Configuration Values'!$B$501:$C$504,2,FALSE))</f>
        <v>Popular</v>
      </c>
      <c r="M211" s="68"/>
      <c r="N211" s="68"/>
    </row>
    <row r="212" spans="2:14">
      <c r="B212" s="2">
        <v>23</v>
      </c>
      <c r="C212" s="3" t="s">
        <v>1453</v>
      </c>
      <c r="D212" s="2">
        <f t="shared" si="68"/>
        <v>41</v>
      </c>
      <c r="E212" s="2">
        <f t="shared" si="69"/>
        <v>42</v>
      </c>
      <c r="F212" s="2">
        <v>2</v>
      </c>
      <c r="G212" s="2" t="str">
        <f t="shared" si="70"/>
        <v>02</v>
      </c>
      <c r="H212" s="2" t="str">
        <f t="shared" si="71"/>
        <v>03</v>
      </c>
      <c r="I212" s="2">
        <f t="shared" si="72"/>
        <v>2</v>
      </c>
      <c r="J212" s="2">
        <f t="shared" si="73"/>
        <v>3</v>
      </c>
      <c r="L212" s="69" t="str">
        <f>IF(ISNA(VLOOKUP(CONCATENATE(G212,H212),'IGS Configuration Values'!$B$501:$C$504,2,FALSE))=TRUE,IF(ISNA(VLOOKUP(CONCATENATE(G212,H212),'IGS Configuration Values'!$B$4:$C$17,2,FALSE))=TRUE,"Invalid Game Type/Index",VLOOKUP(CONCATENATE(G212,H212),'IGS Configuration Values'!$B$4:$C$17,2,FALSE)),VLOOKUP(CONCATENATE(G212,H212),'IGS Configuration Values'!$B$501:$C$504,2,FALSE))</f>
        <v>Totobola Extra 1</v>
      </c>
      <c r="M212" s="68"/>
      <c r="N212" s="68"/>
    </row>
    <row r="214" spans="2:14">
      <c r="B214" s="2">
        <v>24</v>
      </c>
      <c r="C214" s="3" t="s">
        <v>1520</v>
      </c>
      <c r="D214" s="2">
        <f>E212+1</f>
        <v>43</v>
      </c>
      <c r="E214" s="2">
        <f t="shared" ref="E214:E223" si="74">D214+F214-1</f>
        <v>50</v>
      </c>
      <c r="F214" s="2">
        <v>8</v>
      </c>
      <c r="G214" s="2" t="str">
        <f>TRIM(MID($C$186,(D214-1)*3+1,F214*3/2))</f>
        <v>00 00 00 00</v>
      </c>
      <c r="H214" s="2" t="str">
        <f>TRIM(MID($C$186,(D214+4-1)*3+1,F214*3/2))</f>
        <v>00 00 00 00</v>
      </c>
      <c r="I214" s="324">
        <f>IF(HEX2DEC(SUBSTITUTE(G214," ",""))=4294967295,HEX2DEC(CONCATENATE(MID(G214,10,2),SUBSTITUTE(H214," ",""))),IF(HEX2DEC(SUBSTITUTE(G214," ",""))=0,HEX2DEC(SUBSTITUTE(H214," ","")),"Descodificar Manualmente"))</f>
        <v>0</v>
      </c>
      <c r="J214" s="325"/>
      <c r="L214" s="69" t="str">
        <f t="shared" ref="L214:L224" si="75">L201</f>
        <v>Euromilhões Não Disponível</v>
      </c>
      <c r="M214" s="68"/>
      <c r="N214" s="68"/>
    </row>
    <row r="215" spans="2:14">
      <c r="B215" s="2">
        <v>25</v>
      </c>
      <c r="C215" s="3" t="s">
        <v>1521</v>
      </c>
      <c r="D215" s="2">
        <f>E214+1</f>
        <v>51</v>
      </c>
      <c r="E215" s="2">
        <f t="shared" si="74"/>
        <v>58</v>
      </c>
      <c r="F215" s="2">
        <v>8</v>
      </c>
      <c r="G215" s="2" t="str">
        <f t="shared" ref="G215:G226" si="76">TRIM(MID($C$186,(D215-1)*3+1,F215*3/2))</f>
        <v>00 00 00 00</v>
      </c>
      <c r="H215" s="2" t="str">
        <f t="shared" ref="H215:H226" si="77">TRIM(MID($C$186,(D215+4-1)*3+1,F215*3/2))</f>
        <v>00 00 00 00</v>
      </c>
      <c r="I215" s="324">
        <f t="shared" ref="I215:I223" si="78">IF(HEX2DEC(SUBSTITUTE(G215," ",""))=4294967295,HEX2DEC(CONCATENATE(MID(G215,10,2),SUBSTITUTE(H215," ",""))),IF(HEX2DEC(SUBSTITUTE(G215," ",""))=0,HEX2DEC(SUBSTITUTE(H215," ","")),"Descodificar Manualmente"))</f>
        <v>0</v>
      </c>
      <c r="J215" s="325"/>
      <c r="L215" s="69" t="str">
        <f t="shared" si="75"/>
        <v>M1lhão Não Disponível</v>
      </c>
      <c r="M215" s="68"/>
      <c r="N215" s="68"/>
    </row>
    <row r="216" spans="2:14">
      <c r="B216" s="2">
        <v>26</v>
      </c>
      <c r="C216" s="3" t="s">
        <v>1522</v>
      </c>
      <c r="D216" s="2">
        <f>E215+1</f>
        <v>59</v>
      </c>
      <c r="E216" s="2">
        <f t="shared" si="74"/>
        <v>66</v>
      </c>
      <c r="F216" s="2">
        <v>8</v>
      </c>
      <c r="G216" s="2" t="str">
        <f t="shared" si="76"/>
        <v>00 00 00 00</v>
      </c>
      <c r="H216" s="2" t="str">
        <f t="shared" si="77"/>
        <v>00 00 00 00</v>
      </c>
      <c r="I216" s="324">
        <f t="shared" si="78"/>
        <v>0</v>
      </c>
      <c r="J216" s="325"/>
      <c r="L216" s="69" t="str">
        <f t="shared" si="75"/>
        <v>PLACARD</v>
      </c>
      <c r="M216" s="68"/>
      <c r="N216" s="68"/>
    </row>
    <row r="217" spans="2:14">
      <c r="B217" s="2">
        <v>27</v>
      </c>
      <c r="C217" s="3" t="s">
        <v>1523</v>
      </c>
      <c r="D217" s="2">
        <f t="shared" ref="D217:D223" si="79">E216+1</f>
        <v>67</v>
      </c>
      <c r="E217" s="2">
        <f t="shared" si="74"/>
        <v>74</v>
      </c>
      <c r="F217" s="2">
        <v>8</v>
      </c>
      <c r="G217" s="2" t="str">
        <f t="shared" si="76"/>
        <v>00 00 00 00</v>
      </c>
      <c r="H217" s="2" t="str">
        <f t="shared" si="77"/>
        <v>00 00 00 06</v>
      </c>
      <c r="I217" s="324">
        <f t="shared" si="78"/>
        <v>6</v>
      </c>
      <c r="J217" s="325"/>
      <c r="L217" s="69" t="str">
        <f t="shared" si="75"/>
        <v>Totobola Normal</v>
      </c>
      <c r="M217" s="68"/>
      <c r="N217" s="68"/>
    </row>
    <row r="218" spans="2:14">
      <c r="B218" s="2">
        <v>28</v>
      </c>
      <c r="C218" s="3" t="s">
        <v>1524</v>
      </c>
      <c r="D218" s="2">
        <f t="shared" si="79"/>
        <v>75</v>
      </c>
      <c r="E218" s="2">
        <f t="shared" si="74"/>
        <v>82</v>
      </c>
      <c r="F218" s="2">
        <v>8</v>
      </c>
      <c r="G218" s="2" t="str">
        <f t="shared" si="76"/>
        <v>00 00 00 00</v>
      </c>
      <c r="H218" s="2" t="str">
        <f t="shared" si="77"/>
        <v>00 00 00 00</v>
      </c>
      <c r="I218" s="324">
        <f t="shared" si="78"/>
        <v>0</v>
      </c>
      <c r="J218" s="325"/>
      <c r="L218" s="69" t="str">
        <f t="shared" si="75"/>
        <v>Totoloto</v>
      </c>
      <c r="M218" s="68"/>
      <c r="N218" s="68"/>
    </row>
    <row r="219" spans="2:14">
      <c r="B219" s="2">
        <v>29</v>
      </c>
      <c r="C219" s="3" t="s">
        <v>1525</v>
      </c>
      <c r="D219" s="2">
        <f t="shared" si="79"/>
        <v>83</v>
      </c>
      <c r="E219" s="2">
        <f t="shared" si="74"/>
        <v>90</v>
      </c>
      <c r="F219" s="2">
        <v>8</v>
      </c>
      <c r="G219" s="2" t="str">
        <f t="shared" si="76"/>
        <v>00 00 00 00</v>
      </c>
      <c r="H219" s="2" t="str">
        <f t="shared" si="77"/>
        <v>00 00 00 00</v>
      </c>
      <c r="I219" s="324">
        <f t="shared" si="78"/>
        <v>0</v>
      </c>
      <c r="J219" s="325"/>
      <c r="L219" s="69" t="str">
        <f t="shared" si="75"/>
        <v>Totobola Extra 2</v>
      </c>
      <c r="M219" s="68"/>
      <c r="N219" s="68"/>
    </row>
    <row r="220" spans="2:14">
      <c r="B220" s="2">
        <v>30</v>
      </c>
      <c r="C220" s="3" t="s">
        <v>1526</v>
      </c>
      <c r="D220" s="2">
        <f t="shared" si="79"/>
        <v>91</v>
      </c>
      <c r="E220" s="2">
        <f t="shared" si="74"/>
        <v>98</v>
      </c>
      <c r="F220" s="2">
        <v>8</v>
      </c>
      <c r="G220" s="2" t="str">
        <f t="shared" si="76"/>
        <v>00 00 00 00</v>
      </c>
      <c r="H220" s="2" t="str">
        <f t="shared" si="77"/>
        <v>00 00 00 00</v>
      </c>
      <c r="I220" s="324">
        <f t="shared" si="78"/>
        <v>0</v>
      </c>
      <c r="J220" s="325"/>
      <c r="L220" s="69" t="str">
        <f t="shared" si="75"/>
        <v>Loto2</v>
      </c>
      <c r="M220" s="68"/>
      <c r="N220" s="68"/>
    </row>
    <row r="221" spans="2:14">
      <c r="B221" s="2">
        <v>31</v>
      </c>
      <c r="C221" s="3" t="s">
        <v>1527</v>
      </c>
      <c r="D221" s="2">
        <f t="shared" si="79"/>
        <v>99</v>
      </c>
      <c r="E221" s="2">
        <f t="shared" si="74"/>
        <v>106</v>
      </c>
      <c r="F221" s="2">
        <v>8</v>
      </c>
      <c r="G221" s="2" t="str">
        <f t="shared" si="76"/>
        <v>00 00 00 00</v>
      </c>
      <c r="H221" s="2" t="str">
        <f t="shared" si="77"/>
        <v>00 00 00 07</v>
      </c>
      <c r="I221" s="324">
        <f t="shared" si="78"/>
        <v>7</v>
      </c>
      <c r="J221" s="325"/>
      <c r="L221" s="69" t="str">
        <f t="shared" si="75"/>
        <v>Joker</v>
      </c>
      <c r="M221" s="68"/>
      <c r="N221" s="68"/>
    </row>
    <row r="222" spans="2:14">
      <c r="B222" s="2">
        <v>32</v>
      </c>
      <c r="C222" s="3" t="s">
        <v>1528</v>
      </c>
      <c r="D222" s="2">
        <f t="shared" si="79"/>
        <v>107</v>
      </c>
      <c r="E222" s="2">
        <f t="shared" si="74"/>
        <v>114</v>
      </c>
      <c r="F222" s="2">
        <v>8</v>
      </c>
      <c r="G222" s="2" t="str">
        <f t="shared" si="76"/>
        <v>00 00 00 00</v>
      </c>
      <c r="H222" s="2" t="str">
        <f t="shared" si="77"/>
        <v>00 00 00 0C</v>
      </c>
      <c r="I222" s="324">
        <f t="shared" si="78"/>
        <v>12</v>
      </c>
      <c r="J222" s="325"/>
      <c r="L222" s="69" t="str">
        <f t="shared" si="75"/>
        <v>Totoloto Sábado (inclui Totoloto Quarta)</v>
      </c>
      <c r="M222" s="68"/>
      <c r="N222" s="68"/>
    </row>
    <row r="223" spans="2:14">
      <c r="B223" s="2">
        <v>33</v>
      </c>
      <c r="C223" s="3" t="s">
        <v>1529</v>
      </c>
      <c r="D223" s="2">
        <f t="shared" si="79"/>
        <v>115</v>
      </c>
      <c r="E223" s="2">
        <f t="shared" si="74"/>
        <v>122</v>
      </c>
      <c r="F223" s="2">
        <v>8</v>
      </c>
      <c r="G223" s="2" t="str">
        <f t="shared" si="76"/>
        <v>00 00 00 00</v>
      </c>
      <c r="H223" s="2" t="str">
        <f t="shared" si="77"/>
        <v>00 00 00 00</v>
      </c>
      <c r="I223" s="324">
        <f t="shared" si="78"/>
        <v>0</v>
      </c>
      <c r="J223" s="325"/>
      <c r="L223" s="69" t="str">
        <f t="shared" si="75"/>
        <v>Clássica</v>
      </c>
      <c r="M223" s="68"/>
      <c r="N223" s="68"/>
    </row>
    <row r="224" spans="2:14">
      <c r="B224" s="2">
        <v>34</v>
      </c>
      <c r="C224" s="3" t="s">
        <v>1530</v>
      </c>
      <c r="D224" s="2">
        <f t="shared" ref="D224:D225" si="80">E223+1</f>
        <v>123</v>
      </c>
      <c r="E224" s="2">
        <f t="shared" ref="E224:E225" si="81">D224+F224-1</f>
        <v>130</v>
      </c>
      <c r="F224" s="2">
        <v>8</v>
      </c>
      <c r="G224" s="2"/>
      <c r="H224" s="2"/>
      <c r="I224" s="324">
        <f t="shared" ref="I224" si="82">IF(HEX2DEC(SUBSTITUTE(G224," ",""))=4294967295,HEX2DEC(CONCATENATE(MID(G224,10,2),SUBSTITUTE(H224," ",""))),IF(HEX2DEC(SUBSTITUTE(G224," ",""))=0,HEX2DEC(SUBSTITUTE(H224," ","")),"Descodificar Manualmente"))</f>
        <v>0</v>
      </c>
      <c r="J224" s="325"/>
      <c r="L224" s="69" t="str">
        <f t="shared" si="75"/>
        <v>Popular</v>
      </c>
      <c r="M224" s="68"/>
      <c r="N224" s="68"/>
    </row>
    <row r="225" spans="2:14">
      <c r="B225" s="2">
        <v>35</v>
      </c>
      <c r="C225" s="3" t="s">
        <v>1531</v>
      </c>
      <c r="D225" s="2">
        <f t="shared" si="80"/>
        <v>131</v>
      </c>
      <c r="E225" s="2">
        <f t="shared" si="81"/>
        <v>138</v>
      </c>
      <c r="F225" s="2">
        <v>8</v>
      </c>
      <c r="G225" s="2" t="str">
        <f t="shared" si="76"/>
        <v>00 00 00 00</v>
      </c>
      <c r="H225" s="2" t="str">
        <f t="shared" si="77"/>
        <v>00 00 00 00</v>
      </c>
      <c r="I225" s="324">
        <f t="shared" ref="I225:I226" si="83">IF(HEX2DEC(SUBSTITUTE(G225," ",""))=4294967295,HEX2DEC(CONCATENATE(MID(G225,10,2),SUBSTITUTE(H225," ",""))),IF(HEX2DEC(SUBSTITUTE(G225," ",""))=0,HEX2DEC(SUBSTITUTE(H225," ","")),"Descodificar Manualmente"))</f>
        <v>0</v>
      </c>
      <c r="J225" s="325"/>
      <c r="L225" s="69" t="str">
        <f t="shared" ref="L225" si="84">L212</f>
        <v>Totobola Extra 1</v>
      </c>
      <c r="M225" s="68"/>
      <c r="N225" s="68"/>
    </row>
    <row r="226" spans="2:14">
      <c r="B226" s="2">
        <v>36</v>
      </c>
      <c r="C226" s="3" t="s">
        <v>1516</v>
      </c>
      <c r="D226" s="2">
        <f t="shared" ref="D226" si="85">E225+1</f>
        <v>139</v>
      </c>
      <c r="E226" s="2">
        <f t="shared" ref="E226" si="86">D226+F226-1</f>
        <v>146</v>
      </c>
      <c r="F226" s="2">
        <v>8</v>
      </c>
      <c r="G226" s="2" t="str">
        <f t="shared" si="76"/>
        <v>00 00 00 00</v>
      </c>
      <c r="H226" s="2" t="str">
        <f t="shared" si="77"/>
        <v>00 00 00 19</v>
      </c>
      <c r="I226" s="324">
        <f t="shared" si="83"/>
        <v>25</v>
      </c>
      <c r="J226" s="325"/>
    </row>
  </sheetData>
  <sortState xmlns:xlrd2="http://schemas.microsoft.com/office/spreadsheetml/2017/richdata2" ref="L84:L85">
    <sortCondition sortBy="cellColor" ref="L84"/>
  </sortState>
  <mergeCells count="290">
    <mergeCell ref="G110:H110"/>
    <mergeCell ref="I110:J110"/>
    <mergeCell ref="G104:H104"/>
    <mergeCell ref="I104:J104"/>
    <mergeCell ref="G107:H107"/>
    <mergeCell ref="I107:J107"/>
    <mergeCell ref="G108:H108"/>
    <mergeCell ref="I108:J108"/>
    <mergeCell ref="G101:H101"/>
    <mergeCell ref="I101:J101"/>
    <mergeCell ref="G102:H102"/>
    <mergeCell ref="I102:J102"/>
    <mergeCell ref="G103:H103"/>
    <mergeCell ref="I103:J103"/>
    <mergeCell ref="G105:H105"/>
    <mergeCell ref="G106:H106"/>
    <mergeCell ref="I105:J105"/>
    <mergeCell ref="I106:J106"/>
    <mergeCell ref="L23:N23"/>
    <mergeCell ref="L59:N59"/>
    <mergeCell ref="G98:H98"/>
    <mergeCell ref="I98:J98"/>
    <mergeCell ref="G99:H99"/>
    <mergeCell ref="G93:H93"/>
    <mergeCell ref="I93:J93"/>
    <mergeCell ref="G94:H94"/>
    <mergeCell ref="I94:J94"/>
    <mergeCell ref="I66:J66"/>
    <mergeCell ref="G68:H68"/>
    <mergeCell ref="I68:J68"/>
    <mergeCell ref="G89:H89"/>
    <mergeCell ref="I89:J89"/>
    <mergeCell ref="G90:H90"/>
    <mergeCell ref="G87:H87"/>
    <mergeCell ref="I87:J87"/>
    <mergeCell ref="G88:H88"/>
    <mergeCell ref="I88:J88"/>
    <mergeCell ref="G30:H30"/>
    <mergeCell ref="I30:J30"/>
    <mergeCell ref="G31:H31"/>
    <mergeCell ref="I31:J31"/>
    <mergeCell ref="G32:H32"/>
    <mergeCell ref="G100:H100"/>
    <mergeCell ref="I100:J100"/>
    <mergeCell ref="G95:H95"/>
    <mergeCell ref="I95:J95"/>
    <mergeCell ref="G96:H96"/>
    <mergeCell ref="I96:J96"/>
    <mergeCell ref="G97:H97"/>
    <mergeCell ref="I97:J97"/>
    <mergeCell ref="G13:H13"/>
    <mergeCell ref="I13:J13"/>
    <mergeCell ref="G26:H26"/>
    <mergeCell ref="I26:J26"/>
    <mergeCell ref="G27:H27"/>
    <mergeCell ref="I27:J27"/>
    <mergeCell ref="G14:H14"/>
    <mergeCell ref="I14:J14"/>
    <mergeCell ref="G92:H92"/>
    <mergeCell ref="I92:J92"/>
    <mergeCell ref="G15:H15"/>
    <mergeCell ref="I15:J15"/>
    <mergeCell ref="G23:H23"/>
    <mergeCell ref="I23:J23"/>
    <mergeCell ref="G29:H29"/>
    <mergeCell ref="I29:J29"/>
    <mergeCell ref="I32:J32"/>
    <mergeCell ref="G33:H33"/>
    <mergeCell ref="I33:J33"/>
    <mergeCell ref="G6:H6"/>
    <mergeCell ref="I6:J6"/>
    <mergeCell ref="G9:H9"/>
    <mergeCell ref="I9:J9"/>
    <mergeCell ref="G10:H10"/>
    <mergeCell ref="I10:J10"/>
    <mergeCell ref="G11:H11"/>
    <mergeCell ref="I11:J11"/>
    <mergeCell ref="G12:H12"/>
    <mergeCell ref="I12:J12"/>
    <mergeCell ref="G34:H34"/>
    <mergeCell ref="I34:J34"/>
    <mergeCell ref="G35:H35"/>
    <mergeCell ref="I35:J35"/>
    <mergeCell ref="G36:H36"/>
    <mergeCell ref="I36:J36"/>
    <mergeCell ref="G37:H37"/>
    <mergeCell ref="I37:J37"/>
    <mergeCell ref="G38:H38"/>
    <mergeCell ref="I38:J38"/>
    <mergeCell ref="G39:H39"/>
    <mergeCell ref="I39:J39"/>
    <mergeCell ref="G40:H40"/>
    <mergeCell ref="I40:J40"/>
    <mergeCell ref="G41:H41"/>
    <mergeCell ref="I41:J41"/>
    <mergeCell ref="G42:H42"/>
    <mergeCell ref="I42:J42"/>
    <mergeCell ref="G43:H43"/>
    <mergeCell ref="I43:J43"/>
    <mergeCell ref="G44:H44"/>
    <mergeCell ref="I44:J44"/>
    <mergeCell ref="G45:H45"/>
    <mergeCell ref="I45:J45"/>
    <mergeCell ref="G46:H46"/>
    <mergeCell ref="I46:J46"/>
    <mergeCell ref="G47:H47"/>
    <mergeCell ref="I47:J47"/>
    <mergeCell ref="G48:H48"/>
    <mergeCell ref="I48:J48"/>
    <mergeCell ref="G49:H49"/>
    <mergeCell ref="I49:J49"/>
    <mergeCell ref="G113:H113"/>
    <mergeCell ref="I113:J113"/>
    <mergeCell ref="G70:H70"/>
    <mergeCell ref="I67:J67"/>
    <mergeCell ref="I70:J70"/>
    <mergeCell ref="G85:H85"/>
    <mergeCell ref="I85:J85"/>
    <mergeCell ref="G69:H69"/>
    <mergeCell ref="I69:J69"/>
    <mergeCell ref="G59:H59"/>
    <mergeCell ref="I59:J59"/>
    <mergeCell ref="G63:H63"/>
    <mergeCell ref="I63:J63"/>
    <mergeCell ref="G67:H67"/>
    <mergeCell ref="G65:H65"/>
    <mergeCell ref="I65:J65"/>
    <mergeCell ref="G66:H66"/>
    <mergeCell ref="G62:H62"/>
    <mergeCell ref="I90:J90"/>
    <mergeCell ref="G91:H91"/>
    <mergeCell ref="I91:J91"/>
    <mergeCell ref="G86:H86"/>
    <mergeCell ref="G114:H114"/>
    <mergeCell ref="I114:J114"/>
    <mergeCell ref="G115:H115"/>
    <mergeCell ref="I115:J115"/>
    <mergeCell ref="G116:H116"/>
    <mergeCell ref="I116:J116"/>
    <mergeCell ref="G117:H117"/>
    <mergeCell ref="I117:J117"/>
    <mergeCell ref="G118:H118"/>
    <mergeCell ref="I118:J118"/>
    <mergeCell ref="G126:H126"/>
    <mergeCell ref="I126:J126"/>
    <mergeCell ref="G129:H129"/>
    <mergeCell ref="I129:J129"/>
    <mergeCell ref="G130:H130"/>
    <mergeCell ref="I130:J130"/>
    <mergeCell ref="G132:H132"/>
    <mergeCell ref="I132:J132"/>
    <mergeCell ref="G133:H133"/>
    <mergeCell ref="I133:J133"/>
    <mergeCell ref="G134:H134"/>
    <mergeCell ref="I134:J134"/>
    <mergeCell ref="G135:H135"/>
    <mergeCell ref="I135:J135"/>
    <mergeCell ref="G136:H136"/>
    <mergeCell ref="I136:J136"/>
    <mergeCell ref="G137:H137"/>
    <mergeCell ref="I137:J137"/>
    <mergeCell ref="G152:H152"/>
    <mergeCell ref="I152:J152"/>
    <mergeCell ref="G153:H153"/>
    <mergeCell ref="I153:J153"/>
    <mergeCell ref="G154:H154"/>
    <mergeCell ref="I154:J154"/>
    <mergeCell ref="G155:H155"/>
    <mergeCell ref="I155:J155"/>
    <mergeCell ref="G156:H156"/>
    <mergeCell ref="I156:J156"/>
    <mergeCell ref="G157:H157"/>
    <mergeCell ref="I157:J157"/>
    <mergeCell ref="G165:H165"/>
    <mergeCell ref="I165:J165"/>
    <mergeCell ref="G166:H166"/>
    <mergeCell ref="I166:J166"/>
    <mergeCell ref="G167:H167"/>
    <mergeCell ref="I167:J167"/>
    <mergeCell ref="G158:H158"/>
    <mergeCell ref="I158:J158"/>
    <mergeCell ref="G159:H159"/>
    <mergeCell ref="I159:J159"/>
    <mergeCell ref="G160:H160"/>
    <mergeCell ref="I160:J160"/>
    <mergeCell ref="G161:H161"/>
    <mergeCell ref="I161:J161"/>
    <mergeCell ref="G162:H162"/>
    <mergeCell ref="I162:J162"/>
    <mergeCell ref="I214:J214"/>
    <mergeCell ref="G191:H191"/>
    <mergeCell ref="I191:J191"/>
    <mergeCell ref="G192:H192"/>
    <mergeCell ref="I192:J192"/>
    <mergeCell ref="G194:H194"/>
    <mergeCell ref="I194:J194"/>
    <mergeCell ref="G195:H195"/>
    <mergeCell ref="I195:J195"/>
    <mergeCell ref="G199:H199"/>
    <mergeCell ref="I199:J199"/>
    <mergeCell ref="G175:H175"/>
    <mergeCell ref="I175:J175"/>
    <mergeCell ref="G177:H177"/>
    <mergeCell ref="I177:J177"/>
    <mergeCell ref="G178:H178"/>
    <mergeCell ref="I178:J178"/>
    <mergeCell ref="G179:H179"/>
    <mergeCell ref="I179:J179"/>
    <mergeCell ref="I180:J180"/>
    <mergeCell ref="I86:J86"/>
    <mergeCell ref="L6:N6"/>
    <mergeCell ref="G196:H196"/>
    <mergeCell ref="I196:J196"/>
    <mergeCell ref="G197:H197"/>
    <mergeCell ref="I197:J197"/>
    <mergeCell ref="G198:H198"/>
    <mergeCell ref="I198:J198"/>
    <mergeCell ref="G168:H168"/>
    <mergeCell ref="I168:J168"/>
    <mergeCell ref="G169:H169"/>
    <mergeCell ref="I169:J169"/>
    <mergeCell ref="G170:H170"/>
    <mergeCell ref="I170:J170"/>
    <mergeCell ref="G171:H171"/>
    <mergeCell ref="I171:J171"/>
    <mergeCell ref="G174:H174"/>
    <mergeCell ref="I174:J174"/>
    <mergeCell ref="G163:H163"/>
    <mergeCell ref="I163:J163"/>
    <mergeCell ref="G164:H164"/>
    <mergeCell ref="I164:J164"/>
    <mergeCell ref="G188:H188"/>
    <mergeCell ref="I188:J188"/>
    <mergeCell ref="L87:N88"/>
    <mergeCell ref="L85:N86"/>
    <mergeCell ref="T6:AA6"/>
    <mergeCell ref="I226:J226"/>
    <mergeCell ref="I220:J220"/>
    <mergeCell ref="I221:J221"/>
    <mergeCell ref="I222:J222"/>
    <mergeCell ref="I223:J223"/>
    <mergeCell ref="I225:J225"/>
    <mergeCell ref="I215:J215"/>
    <mergeCell ref="I216:J216"/>
    <mergeCell ref="I217:J217"/>
    <mergeCell ref="I218:J218"/>
    <mergeCell ref="I219:J219"/>
    <mergeCell ref="I50:J50"/>
    <mergeCell ref="T23:W23"/>
    <mergeCell ref="T29:W29"/>
    <mergeCell ref="T34:W34"/>
    <mergeCell ref="T42:W42"/>
    <mergeCell ref="I62:J62"/>
    <mergeCell ref="I99:J99"/>
    <mergeCell ref="L126:N126"/>
    <mergeCell ref="L188:N188"/>
    <mergeCell ref="I111:J111"/>
    <mergeCell ref="L168:N169"/>
    <mergeCell ref="L166:N167"/>
    <mergeCell ref="L164:N165"/>
    <mergeCell ref="L162:N163"/>
    <mergeCell ref="L160:N161"/>
    <mergeCell ref="L158:N159"/>
    <mergeCell ref="L156:N157"/>
    <mergeCell ref="L154:N155"/>
    <mergeCell ref="L152:N153"/>
    <mergeCell ref="L105:N106"/>
    <mergeCell ref="G172:H172"/>
    <mergeCell ref="G173:H173"/>
    <mergeCell ref="I172:J172"/>
    <mergeCell ref="I173:J173"/>
    <mergeCell ref="L172:N173"/>
    <mergeCell ref="I224:J224"/>
    <mergeCell ref="G64:H64"/>
    <mergeCell ref="I64:J64"/>
    <mergeCell ref="G131:H131"/>
    <mergeCell ref="I131:J131"/>
    <mergeCell ref="G193:H193"/>
    <mergeCell ref="I193:J193"/>
    <mergeCell ref="L107:N108"/>
    <mergeCell ref="L103:N104"/>
    <mergeCell ref="L101:N102"/>
    <mergeCell ref="L99:N100"/>
    <mergeCell ref="L97:N98"/>
    <mergeCell ref="L95:N96"/>
    <mergeCell ref="L93:N94"/>
    <mergeCell ref="L91:N92"/>
    <mergeCell ref="L89:N90"/>
    <mergeCell ref="L174:N175"/>
    <mergeCell ref="L170:N171"/>
  </mergeCell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olha111">
    <tabColor rgb="FFFFFF00"/>
  </sheetPr>
  <dimension ref="A1:X183"/>
  <sheetViews>
    <sheetView topLeftCell="A37" workbookViewId="0">
      <selection activeCell="M54" sqref="M54"/>
    </sheetView>
  </sheetViews>
  <sheetFormatPr defaultRowHeight="15"/>
  <cols>
    <col min="1" max="1" width="2.140625" customWidth="1"/>
    <col min="2" max="2" width="17.85546875" customWidth="1"/>
    <col min="3" max="3" width="42.42578125" customWidth="1"/>
    <col min="4" max="4" width="5.140625" bestFit="1" customWidth="1"/>
    <col min="5" max="5" width="4.28515625" bestFit="1" customWidth="1"/>
    <col min="6" max="6" width="4.5703125" bestFit="1" customWidth="1"/>
    <col min="7" max="8" width="15.140625" customWidth="1"/>
    <col min="9" max="10" width="21.42578125" customWidth="1"/>
    <col min="11" max="11" width="5.7109375" customWidth="1"/>
    <col min="12" max="12" width="9.140625" style="29"/>
  </cols>
  <sheetData>
    <row r="1" spans="1:24">
      <c r="A1" s="20"/>
      <c r="B1" s="161" t="s">
        <v>0</v>
      </c>
      <c r="C1" s="20"/>
      <c r="D1" s="20"/>
      <c r="E1" s="20"/>
      <c r="F1" s="20"/>
      <c r="G1" s="20"/>
      <c r="H1" s="20"/>
      <c r="I1" s="20"/>
      <c r="J1" s="20"/>
      <c r="K1" s="20"/>
    </row>
    <row r="2" spans="1:24" ht="18.75">
      <c r="B2" s="14" t="s">
        <v>1532</v>
      </c>
    </row>
    <row r="4" spans="1:24">
      <c r="B4" s="7" t="s">
        <v>1104</v>
      </c>
      <c r="C4" s="163"/>
    </row>
    <row r="5" spans="1:24">
      <c r="T5" s="377" t="s">
        <v>1533</v>
      </c>
      <c r="U5" s="378"/>
      <c r="V5" s="378"/>
      <c r="W5" s="378"/>
      <c r="X5" s="379"/>
    </row>
    <row r="6" spans="1:24">
      <c r="B6" s="15" t="s">
        <v>1105</v>
      </c>
      <c r="C6" s="15" t="s">
        <v>1106</v>
      </c>
      <c r="D6" s="15" t="s">
        <v>1107</v>
      </c>
      <c r="E6" s="15" t="s">
        <v>1108</v>
      </c>
      <c r="F6" s="15" t="s">
        <v>1109</v>
      </c>
      <c r="G6" s="307" t="s">
        <v>1110</v>
      </c>
      <c r="H6" s="307"/>
      <c r="I6" s="307" t="s">
        <v>1111</v>
      </c>
      <c r="J6" s="307"/>
      <c r="L6" s="293" t="s">
        <v>1112</v>
      </c>
      <c r="M6" s="294"/>
      <c r="N6" s="295"/>
      <c r="T6" s="55" t="s">
        <v>1534</v>
      </c>
      <c r="U6" s="49"/>
      <c r="V6" s="49"/>
      <c r="W6" s="49"/>
      <c r="X6" s="50"/>
    </row>
    <row r="7" spans="1:24">
      <c r="B7" s="2">
        <v>1</v>
      </c>
      <c r="C7" s="3" t="s">
        <v>1113</v>
      </c>
      <c r="D7" s="2">
        <v>1</v>
      </c>
      <c r="E7" s="2">
        <f t="shared" ref="E7:E15" si="0">D7+F7-1</f>
        <v>1</v>
      </c>
      <c r="F7" s="2">
        <v>1</v>
      </c>
      <c r="G7" s="2" t="str">
        <f>TRIM(MID($C$4,1,1))</f>
        <v/>
      </c>
      <c r="H7" s="2" t="str">
        <f>TRIM(MID($C$4,2,1))</f>
        <v/>
      </c>
      <c r="I7" s="2">
        <f>HEX2DEC(SUBSTITUTE(G7," ",""))</f>
        <v>0</v>
      </c>
      <c r="J7" s="2">
        <f>HEX2DEC(SUBSTITUTE(H7," ",""))</f>
        <v>0</v>
      </c>
      <c r="L7" s="69" t="str">
        <f>IF(MOD(INT(HEX2BIN(G7,4)/(2^(3-1))),2)=1,CONCATENATE("This is a Retry"),CONCATENATE("This is NOT a Retry"))</f>
        <v>This is NOT a Retry</v>
      </c>
      <c r="M7" s="68"/>
      <c r="N7" s="68"/>
    </row>
    <row r="8" spans="1:24">
      <c r="B8" s="2">
        <v>2</v>
      </c>
      <c r="C8" s="3" t="s">
        <v>1535</v>
      </c>
      <c r="D8" s="2">
        <f t="shared" ref="D8:D15" si="1">E7+1</f>
        <v>2</v>
      </c>
      <c r="E8" s="2">
        <f t="shared" si="0"/>
        <v>2</v>
      </c>
      <c r="F8" s="2">
        <v>1</v>
      </c>
      <c r="G8" s="2" t="str">
        <f>TRIM(MID($C$4,4,1))</f>
        <v/>
      </c>
      <c r="H8" s="2" t="str">
        <f>TRIM(MID($C$4,5,1))</f>
        <v/>
      </c>
      <c r="I8" s="2">
        <f>HEX2DEC(SUBSTITUTE(G8," ",""))</f>
        <v>0</v>
      </c>
      <c r="J8" s="2">
        <f>HEX2DEC(SUBSTITUTE(H8," ",""))</f>
        <v>0</v>
      </c>
      <c r="L8" s="69" t="str">
        <f>IF(ISNA(VLOOKUP(CONCATENATE(G8,H8),'IGS Configuration Values'!$B$127:$D$129,2,FALSE))=TRUE,"Invalid Type/Subtype",VLOOKUP(CONCATENATE(G8,H8),'IGS Configuration Values'!$B$127:$D$129,2,FALSE))</f>
        <v>Invalid Type/Subtype</v>
      </c>
      <c r="M8" s="68"/>
      <c r="N8" s="68"/>
      <c r="T8" s="377" t="s">
        <v>1423</v>
      </c>
      <c r="U8" s="378"/>
      <c r="V8" s="378"/>
      <c r="W8" s="378"/>
      <c r="X8" s="379"/>
    </row>
    <row r="9" spans="1:24">
      <c r="B9" s="2">
        <v>3</v>
      </c>
      <c r="C9" s="3" t="s">
        <v>1115</v>
      </c>
      <c r="D9" s="2">
        <f t="shared" si="1"/>
        <v>3</v>
      </c>
      <c r="E9" s="2">
        <f t="shared" si="0"/>
        <v>4</v>
      </c>
      <c r="F9" s="2">
        <v>2</v>
      </c>
      <c r="G9" s="255" t="str">
        <f t="shared" ref="G9:G15" si="2">TRIM(MID($C$4,(D9-1)*3+1,F9*3))</f>
        <v/>
      </c>
      <c r="H9" s="255"/>
      <c r="I9" s="231">
        <f t="shared" ref="I9:I15" si="3">HEX2DEC(SUBSTITUTE(G9," ",""))</f>
        <v>0</v>
      </c>
      <c r="J9" s="231"/>
      <c r="T9" s="26" t="s">
        <v>1536</v>
      </c>
      <c r="U9" s="27"/>
      <c r="V9" s="27"/>
      <c r="W9" s="27"/>
      <c r="X9" s="28"/>
    </row>
    <row r="10" spans="1:24">
      <c r="B10" s="2">
        <v>4</v>
      </c>
      <c r="C10" s="3" t="s">
        <v>1537</v>
      </c>
      <c r="D10" s="2">
        <f t="shared" si="1"/>
        <v>5</v>
      </c>
      <c r="E10" s="2">
        <f t="shared" si="0"/>
        <v>5</v>
      </c>
      <c r="F10" s="2">
        <v>1</v>
      </c>
      <c r="G10" s="255" t="str">
        <f t="shared" si="2"/>
        <v/>
      </c>
      <c r="H10" s="255"/>
      <c r="I10" s="231">
        <f t="shared" si="3"/>
        <v>0</v>
      </c>
      <c r="J10" s="231"/>
      <c r="K10" s="51" t="s">
        <v>46</v>
      </c>
      <c r="L10" s="29" t="s">
        <v>1538</v>
      </c>
      <c r="T10" s="29" t="s">
        <v>1539</v>
      </c>
      <c r="X10" s="30"/>
    </row>
    <row r="11" spans="1:24">
      <c r="B11" s="2">
        <v>5</v>
      </c>
      <c r="C11" s="3" t="s">
        <v>1402</v>
      </c>
      <c r="D11" s="2">
        <f t="shared" si="1"/>
        <v>6</v>
      </c>
      <c r="E11" s="2">
        <f t="shared" si="0"/>
        <v>6</v>
      </c>
      <c r="F11" s="2">
        <v>1</v>
      </c>
      <c r="G11" s="255" t="str">
        <f t="shared" si="2"/>
        <v/>
      </c>
      <c r="H11" s="255"/>
      <c r="I11" s="231">
        <f t="shared" si="3"/>
        <v>0</v>
      </c>
      <c r="J11" s="231"/>
      <c r="L11" s="69" t="str">
        <f>IF(ISNA(VLOOKUP(G11,'IGS Configuration Values'!$B$190:$D$193,2,FALSE))=TRUE,"Invalid Subclass",VLOOKUP(G11,'IGS Configuration Values'!$B$190:$D$193,2,FALSE))</f>
        <v>Invalid Subclass</v>
      </c>
      <c r="M11" s="68"/>
      <c r="N11" s="68"/>
      <c r="O11" s="68"/>
      <c r="P11" s="68"/>
      <c r="T11" s="29" t="s">
        <v>1540</v>
      </c>
      <c r="X11" s="30"/>
    </row>
    <row r="12" spans="1:24">
      <c r="B12" s="2">
        <v>6</v>
      </c>
      <c r="C12" s="3" t="s">
        <v>1541</v>
      </c>
      <c r="D12" s="2">
        <f t="shared" si="1"/>
        <v>7</v>
      </c>
      <c r="E12" s="2">
        <f t="shared" si="0"/>
        <v>7</v>
      </c>
      <c r="F12" s="2">
        <v>1</v>
      </c>
      <c r="G12" s="255" t="str">
        <f t="shared" si="2"/>
        <v/>
      </c>
      <c r="H12" s="255"/>
      <c r="I12" s="231">
        <f t="shared" si="3"/>
        <v>0</v>
      </c>
      <c r="J12" s="231"/>
      <c r="T12" s="31" t="s">
        <v>1542</v>
      </c>
      <c r="U12" s="32"/>
      <c r="V12" s="32"/>
      <c r="W12" s="32"/>
      <c r="X12" s="33"/>
    </row>
    <row r="13" spans="1:24">
      <c r="B13" s="2">
        <v>7</v>
      </c>
      <c r="C13" s="3" t="s">
        <v>1543</v>
      </c>
      <c r="D13" s="2">
        <f t="shared" si="1"/>
        <v>8</v>
      </c>
      <c r="E13" s="2">
        <f t="shared" si="0"/>
        <v>9</v>
      </c>
      <c r="F13" s="2">
        <v>2</v>
      </c>
      <c r="G13" s="255" t="str">
        <f t="shared" si="2"/>
        <v/>
      </c>
      <c r="H13" s="255"/>
      <c r="I13" s="231">
        <f t="shared" si="3"/>
        <v>0</v>
      </c>
      <c r="J13" s="231"/>
    </row>
    <row r="14" spans="1:24">
      <c r="B14" s="2">
        <v>8</v>
      </c>
      <c r="C14" s="3" t="s">
        <v>1544</v>
      </c>
      <c r="D14" s="2">
        <f t="shared" si="1"/>
        <v>10</v>
      </c>
      <c r="E14" s="2">
        <f t="shared" si="0"/>
        <v>11</v>
      </c>
      <c r="F14" s="2">
        <v>2</v>
      </c>
      <c r="G14" s="255" t="str">
        <f t="shared" si="2"/>
        <v/>
      </c>
      <c r="H14" s="255"/>
      <c r="I14" s="231">
        <f t="shared" si="3"/>
        <v>0</v>
      </c>
      <c r="J14" s="231"/>
    </row>
    <row r="15" spans="1:24">
      <c r="B15" s="2">
        <v>9</v>
      </c>
      <c r="C15" s="3" t="s">
        <v>1405</v>
      </c>
      <c r="D15" s="2">
        <f t="shared" si="1"/>
        <v>12</v>
      </c>
      <c r="E15" s="2">
        <f t="shared" si="0"/>
        <v>15</v>
      </c>
      <c r="F15" s="2">
        <v>4</v>
      </c>
      <c r="G15" s="255" t="str">
        <f t="shared" si="2"/>
        <v/>
      </c>
      <c r="H15" s="255"/>
      <c r="I15" s="231">
        <f t="shared" si="3"/>
        <v>0</v>
      </c>
      <c r="J15" s="231"/>
      <c r="K15" s="51" t="s">
        <v>46</v>
      </c>
      <c r="L15" s="29" t="s">
        <v>1406</v>
      </c>
    </row>
    <row r="18" spans="1:16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</row>
    <row r="19" spans="1:16" ht="18.75">
      <c r="B19" s="14" t="s">
        <v>1545</v>
      </c>
    </row>
    <row r="21" spans="1:16">
      <c r="B21" s="7" t="s">
        <v>1104</v>
      </c>
      <c r="C21" s="163"/>
    </row>
    <row r="23" spans="1:16">
      <c r="B23" s="15" t="s">
        <v>1105</v>
      </c>
      <c r="C23" s="15" t="s">
        <v>1106</v>
      </c>
      <c r="D23" s="15" t="s">
        <v>1107</v>
      </c>
      <c r="E23" s="15" t="s">
        <v>1108</v>
      </c>
      <c r="F23" s="15" t="s">
        <v>1109</v>
      </c>
      <c r="G23" s="307" t="s">
        <v>1110</v>
      </c>
      <c r="H23" s="307"/>
      <c r="I23" s="307" t="s">
        <v>1111</v>
      </c>
      <c r="J23" s="307"/>
      <c r="L23" s="293" t="s">
        <v>1112</v>
      </c>
      <c r="M23" s="294"/>
      <c r="N23" s="295"/>
    </row>
    <row r="24" spans="1:16">
      <c r="B24" s="2">
        <v>1</v>
      </c>
      <c r="C24" s="3" t="s">
        <v>1113</v>
      </c>
      <c r="D24" s="2">
        <v>1</v>
      </c>
      <c r="E24" s="2">
        <f>D24+F24-1</f>
        <v>1</v>
      </c>
      <c r="F24" s="2">
        <v>1</v>
      </c>
      <c r="G24" s="2" t="str">
        <f>TRIM(MID($C$21,1,1))</f>
        <v/>
      </c>
      <c r="H24" s="2" t="str">
        <f>TRIM(MID($C$21,2,1))</f>
        <v/>
      </c>
      <c r="I24" s="2">
        <f>HEX2DEC(SUBSTITUTE(G24," ",""))</f>
        <v>0</v>
      </c>
      <c r="J24" s="2">
        <f>HEX2DEC(SUBSTITUTE(H24," ",""))</f>
        <v>0</v>
      </c>
      <c r="L24" s="69" t="str">
        <f>IF(MOD(INT(HEX2BIN(G24,4)/(2^(3-1))),2)=1,CONCATENATE("This is a Retry"),CONCATENATE("This is NOT a Retry"))</f>
        <v>This is NOT a Retry</v>
      </c>
      <c r="M24" s="68"/>
      <c r="N24" s="68"/>
    </row>
    <row r="25" spans="1:16">
      <c r="B25" s="2">
        <v>2</v>
      </c>
      <c r="C25" s="3" t="s">
        <v>1205</v>
      </c>
      <c r="D25" s="2">
        <f>E24+1</f>
        <v>2</v>
      </c>
      <c r="E25" s="2">
        <f>D25+F25-1</f>
        <v>2</v>
      </c>
      <c r="F25" s="2">
        <v>1</v>
      </c>
      <c r="G25" s="2" t="str">
        <f>TRIM(MID($C$21,4,1))</f>
        <v/>
      </c>
      <c r="H25" s="2" t="str">
        <f>TRIM(MID($C$21,5,1))</f>
        <v/>
      </c>
      <c r="I25" s="2">
        <f>HEX2DEC(SUBSTITUTE(G25," ",""))</f>
        <v>0</v>
      </c>
      <c r="J25" s="2">
        <f>HEX2DEC(SUBSTITUTE(H25," ",""))</f>
        <v>0</v>
      </c>
      <c r="L25" s="69" t="str">
        <f>IF(ISNA(VLOOKUP(CONCATENATE(G25,H25),'IGS Configuration Values'!$B$127:$D$129,2,FALSE))=TRUE,"Invalid Type/Subtype",VLOOKUP(CONCATENATE(G25,H25),'IGS Configuration Values'!$B$127:$D$129,2,FALSE))</f>
        <v>Invalid Type/Subtype</v>
      </c>
      <c r="M25" s="68"/>
      <c r="N25" s="68"/>
    </row>
    <row r="26" spans="1:16">
      <c r="B26" s="2">
        <v>3</v>
      </c>
      <c r="C26" s="3" t="s">
        <v>1115</v>
      </c>
      <c r="D26" s="2">
        <f t="shared" ref="D26:D31" si="4">E25+1</f>
        <v>3</v>
      </c>
      <c r="E26" s="2">
        <f t="shared" ref="E26:E31" si="5">D26+F26-1</f>
        <v>4</v>
      </c>
      <c r="F26" s="2">
        <v>2</v>
      </c>
      <c r="G26" s="255" t="str">
        <f t="shared" ref="G26:G31" si="6">TRIM(MID($C$21,(D26-1)*3+1,F26*3))</f>
        <v/>
      </c>
      <c r="H26" s="255"/>
      <c r="I26" s="231">
        <f t="shared" ref="I26:I31" si="7">HEX2DEC(SUBSTITUTE(G26," ",""))</f>
        <v>0</v>
      </c>
      <c r="J26" s="231"/>
    </row>
    <row r="27" spans="1:16">
      <c r="B27" s="2">
        <v>4</v>
      </c>
      <c r="C27" s="3" t="s">
        <v>1413</v>
      </c>
      <c r="D27" s="2">
        <f>E26+1</f>
        <v>5</v>
      </c>
      <c r="E27" s="2">
        <f>D27+F27-1</f>
        <v>7</v>
      </c>
      <c r="F27" s="2">
        <v>3</v>
      </c>
      <c r="G27" s="255" t="str">
        <f t="shared" si="6"/>
        <v/>
      </c>
      <c r="H27" s="255"/>
      <c r="I27" s="231" t="str">
        <f>CONCATENATE(TEXT(HEX2DEC(SUBSTITUTE(MID(G27,1,2)," ","")),"00"),":",TEXT(HEX2DEC(SUBSTITUTE(MID(G27,4,2)," ","")),"00"),":",TEXT(HEX2DEC(SUBSTITUTE(MID(G27,7,2)," ","")),"00"))</f>
        <v>00:00:00</v>
      </c>
      <c r="J27" s="231"/>
    </row>
    <row r="28" spans="1:16">
      <c r="B28" s="2">
        <v>5</v>
      </c>
      <c r="C28" s="3" t="s">
        <v>1537</v>
      </c>
      <c r="D28" s="2">
        <f>E27+1</f>
        <v>8</v>
      </c>
      <c r="E28" s="2">
        <f t="shared" si="5"/>
        <v>8</v>
      </c>
      <c r="F28" s="2">
        <v>1</v>
      </c>
      <c r="G28" s="255" t="str">
        <f t="shared" si="6"/>
        <v/>
      </c>
      <c r="H28" s="255"/>
      <c r="I28" s="231">
        <f t="shared" si="7"/>
        <v>0</v>
      </c>
      <c r="J28" s="231"/>
    </row>
    <row r="29" spans="1:16">
      <c r="B29" s="2">
        <v>6</v>
      </c>
      <c r="C29" s="3" t="s">
        <v>1402</v>
      </c>
      <c r="D29" s="2">
        <f>E28+1</f>
        <v>9</v>
      </c>
      <c r="E29" s="2">
        <f t="shared" si="5"/>
        <v>9</v>
      </c>
      <c r="F29" s="2">
        <v>1</v>
      </c>
      <c r="G29" s="255" t="str">
        <f t="shared" si="6"/>
        <v/>
      </c>
      <c r="H29" s="255"/>
      <c r="I29" s="231">
        <f t="shared" si="7"/>
        <v>0</v>
      </c>
      <c r="J29" s="231"/>
      <c r="L29" s="69" t="str">
        <f>IF(ISNA(VLOOKUP(G29,'IGS Configuration Values'!$B$190:$D$193,2,FALSE))=TRUE,"Invalid Subclass",VLOOKUP(G29,'IGS Configuration Values'!$B$190:$D$193,2,FALSE))</f>
        <v>Invalid Subclass</v>
      </c>
      <c r="M29" s="68"/>
      <c r="N29" s="68"/>
      <c r="O29" s="68"/>
      <c r="P29" s="68"/>
    </row>
    <row r="30" spans="1:16">
      <c r="B30" s="2">
        <v>7</v>
      </c>
      <c r="C30" s="3" t="s">
        <v>1541</v>
      </c>
      <c r="D30" s="2">
        <f t="shared" si="4"/>
        <v>10</v>
      </c>
      <c r="E30" s="2">
        <f t="shared" si="5"/>
        <v>10</v>
      </c>
      <c r="F30" s="2">
        <v>1</v>
      </c>
      <c r="G30" s="255" t="str">
        <f t="shared" si="6"/>
        <v/>
      </c>
      <c r="H30" s="255"/>
      <c r="I30" s="231">
        <f t="shared" si="7"/>
        <v>0</v>
      </c>
      <c r="J30" s="231"/>
    </row>
    <row r="31" spans="1:16">
      <c r="B31" s="2">
        <v>8</v>
      </c>
      <c r="C31" s="3" t="s">
        <v>1543</v>
      </c>
      <c r="D31" s="2">
        <f t="shared" si="4"/>
        <v>11</v>
      </c>
      <c r="E31" s="2">
        <f t="shared" si="5"/>
        <v>12</v>
      </c>
      <c r="F31" s="2">
        <v>2</v>
      </c>
      <c r="G31" s="255" t="str">
        <f t="shared" si="6"/>
        <v/>
      </c>
      <c r="H31" s="255"/>
      <c r="I31" s="231">
        <f t="shared" si="7"/>
        <v>0</v>
      </c>
      <c r="J31" s="231"/>
    </row>
    <row r="32" spans="1:16">
      <c r="B32" s="2">
        <v>9</v>
      </c>
      <c r="C32" s="3" t="s">
        <v>1122</v>
      </c>
      <c r="D32" s="2">
        <f t="shared" ref="D32:D52" si="8">E31+1</f>
        <v>13</v>
      </c>
      <c r="E32" s="2">
        <f t="shared" ref="E32:E52" si="9">D32+F32-1</f>
        <v>16</v>
      </c>
      <c r="F32" s="2">
        <v>4</v>
      </c>
      <c r="G32" s="255" t="str">
        <f t="shared" ref="G32:G51" si="10">TRIM(MID($C$21,(D32-1)*3+1,F32*3))</f>
        <v/>
      </c>
      <c r="H32" s="255"/>
      <c r="I32" s="231">
        <f t="shared" ref="I32:I51" si="11">HEX2DEC(SUBSTITUTE(G32," ",""))</f>
        <v>0</v>
      </c>
      <c r="J32" s="231"/>
    </row>
    <row r="33" spans="2:10">
      <c r="B33" s="2">
        <v>10</v>
      </c>
      <c r="C33" s="3" t="s">
        <v>1546</v>
      </c>
      <c r="D33" s="2">
        <f t="shared" si="8"/>
        <v>17</v>
      </c>
      <c r="E33" s="2">
        <f t="shared" si="9"/>
        <v>18</v>
      </c>
      <c r="F33" s="2">
        <v>2</v>
      </c>
      <c r="G33" s="255" t="str">
        <f t="shared" si="10"/>
        <v/>
      </c>
      <c r="H33" s="255"/>
      <c r="I33" s="231">
        <f t="shared" si="11"/>
        <v>0</v>
      </c>
      <c r="J33" s="231"/>
    </row>
    <row r="34" spans="2:10">
      <c r="B34" s="2">
        <v>11</v>
      </c>
      <c r="C34" s="3" t="s">
        <v>1547</v>
      </c>
      <c r="D34" s="2">
        <f t="shared" si="8"/>
        <v>19</v>
      </c>
      <c r="E34" s="2">
        <f t="shared" si="9"/>
        <v>20</v>
      </c>
      <c r="F34" s="2">
        <v>2</v>
      </c>
      <c r="G34" s="255" t="str">
        <f t="shared" si="10"/>
        <v/>
      </c>
      <c r="H34" s="255"/>
      <c r="I34" s="231">
        <f t="shared" si="11"/>
        <v>0</v>
      </c>
      <c r="J34" s="231"/>
    </row>
    <row r="35" spans="2:10">
      <c r="B35" s="2">
        <v>12</v>
      </c>
      <c r="C35" s="3" t="s">
        <v>1548</v>
      </c>
      <c r="D35" s="2">
        <f t="shared" si="8"/>
        <v>21</v>
      </c>
      <c r="E35" s="2">
        <f t="shared" si="9"/>
        <v>24</v>
      </c>
      <c r="F35" s="2">
        <v>4</v>
      </c>
      <c r="G35" s="255" t="str">
        <f t="shared" si="10"/>
        <v/>
      </c>
      <c r="H35" s="255"/>
      <c r="I35" s="231">
        <f t="shared" si="11"/>
        <v>0</v>
      </c>
      <c r="J35" s="231"/>
    </row>
    <row r="36" spans="2:10">
      <c r="B36" s="2">
        <v>13</v>
      </c>
      <c r="C36" s="3" t="s">
        <v>1549</v>
      </c>
      <c r="D36" s="2">
        <f t="shared" si="8"/>
        <v>25</v>
      </c>
      <c r="E36" s="2">
        <f t="shared" si="9"/>
        <v>28</v>
      </c>
      <c r="F36" s="2">
        <v>4</v>
      </c>
      <c r="G36" s="255" t="str">
        <f t="shared" si="10"/>
        <v/>
      </c>
      <c r="H36" s="255"/>
      <c r="I36" s="231">
        <f t="shared" si="11"/>
        <v>0</v>
      </c>
      <c r="J36" s="231"/>
    </row>
    <row r="37" spans="2:10">
      <c r="B37" s="2">
        <v>14</v>
      </c>
      <c r="C37" s="3" t="s">
        <v>1550</v>
      </c>
      <c r="D37" s="2">
        <f t="shared" si="8"/>
        <v>29</v>
      </c>
      <c r="E37" s="2">
        <f t="shared" si="9"/>
        <v>32</v>
      </c>
      <c r="F37" s="2">
        <v>4</v>
      </c>
      <c r="G37" s="255" t="str">
        <f t="shared" si="10"/>
        <v/>
      </c>
      <c r="H37" s="255"/>
      <c r="I37" s="231">
        <f t="shared" si="11"/>
        <v>0</v>
      </c>
      <c r="J37" s="231"/>
    </row>
    <row r="38" spans="2:10">
      <c r="B38" s="2">
        <v>15</v>
      </c>
      <c r="C38" s="3" t="s">
        <v>1551</v>
      </c>
      <c r="D38" s="2">
        <f t="shared" si="8"/>
        <v>33</v>
      </c>
      <c r="E38" s="2">
        <f t="shared" si="9"/>
        <v>36</v>
      </c>
      <c r="F38" s="2">
        <v>4</v>
      </c>
      <c r="G38" s="255" t="str">
        <f t="shared" si="10"/>
        <v/>
      </c>
      <c r="H38" s="255"/>
      <c r="I38" s="231">
        <f t="shared" si="11"/>
        <v>0</v>
      </c>
      <c r="J38" s="231"/>
    </row>
    <row r="39" spans="2:10">
      <c r="B39" s="2">
        <v>16</v>
      </c>
      <c r="C39" s="3" t="s">
        <v>1552</v>
      </c>
      <c r="D39" s="2">
        <f t="shared" si="8"/>
        <v>37</v>
      </c>
      <c r="E39" s="2">
        <f t="shared" si="9"/>
        <v>40</v>
      </c>
      <c r="F39" s="2">
        <v>4</v>
      </c>
      <c r="G39" s="255" t="str">
        <f t="shared" si="10"/>
        <v/>
      </c>
      <c r="H39" s="255"/>
      <c r="I39" s="231">
        <f t="shared" si="11"/>
        <v>0</v>
      </c>
      <c r="J39" s="231"/>
    </row>
    <row r="40" spans="2:10">
      <c r="B40" s="2">
        <v>17</v>
      </c>
      <c r="C40" s="3" t="s">
        <v>1553</v>
      </c>
      <c r="D40" s="2">
        <f t="shared" si="8"/>
        <v>41</v>
      </c>
      <c r="E40" s="2">
        <f t="shared" si="9"/>
        <v>48</v>
      </c>
      <c r="F40" s="2">
        <v>8</v>
      </c>
      <c r="G40" s="2" t="str">
        <f>TRIM(MID($C$21,(D40-1)*3+1,F40*3/2))</f>
        <v/>
      </c>
      <c r="H40" s="2" t="str">
        <f>TRIM(MID($C$21,(D40+4-1)*3+1,F40*3/2))</f>
        <v/>
      </c>
      <c r="I40" s="324">
        <f>(HEX2DEC(SUBSTITUTE(G40," ",""))*2^32+HEX2DEC(SUBSTITUTE(H40," ","")))</f>
        <v>0</v>
      </c>
      <c r="J40" s="325"/>
    </row>
    <row r="41" spans="2:10">
      <c r="B41" s="2">
        <v>18</v>
      </c>
      <c r="C41" s="3" t="s">
        <v>1554</v>
      </c>
      <c r="D41" s="2">
        <f t="shared" si="8"/>
        <v>49</v>
      </c>
      <c r="E41" s="2">
        <f t="shared" si="9"/>
        <v>52</v>
      </c>
      <c r="F41" s="2">
        <v>4</v>
      </c>
      <c r="G41" s="255" t="str">
        <f t="shared" si="10"/>
        <v/>
      </c>
      <c r="H41" s="255"/>
      <c r="I41" s="231">
        <f t="shared" si="11"/>
        <v>0</v>
      </c>
      <c r="J41" s="231"/>
    </row>
    <row r="42" spans="2:10">
      <c r="B42" s="2">
        <v>19</v>
      </c>
      <c r="C42" s="3" t="s">
        <v>1555</v>
      </c>
      <c r="D42" s="2">
        <f t="shared" si="8"/>
        <v>53</v>
      </c>
      <c r="E42" s="2">
        <f t="shared" si="9"/>
        <v>56</v>
      </c>
      <c r="F42" s="2">
        <v>4</v>
      </c>
      <c r="G42" s="255" t="str">
        <f t="shared" si="10"/>
        <v/>
      </c>
      <c r="H42" s="255"/>
      <c r="I42" s="231">
        <f t="shared" si="11"/>
        <v>0</v>
      </c>
      <c r="J42" s="231"/>
    </row>
    <row r="43" spans="2:10">
      <c r="B43" s="2">
        <v>20</v>
      </c>
      <c r="C43" s="3" t="s">
        <v>1556</v>
      </c>
      <c r="D43" s="2">
        <f t="shared" si="8"/>
        <v>57</v>
      </c>
      <c r="E43" s="2">
        <f t="shared" si="9"/>
        <v>60</v>
      </c>
      <c r="F43" s="2">
        <v>4</v>
      </c>
      <c r="G43" s="255" t="str">
        <f t="shared" si="10"/>
        <v/>
      </c>
      <c r="H43" s="255"/>
      <c r="I43" s="231">
        <f t="shared" si="11"/>
        <v>0</v>
      </c>
      <c r="J43" s="231"/>
    </row>
    <row r="44" spans="2:10">
      <c r="B44" s="2">
        <v>21</v>
      </c>
      <c r="C44" s="3" t="s">
        <v>1557</v>
      </c>
      <c r="D44" s="2">
        <f t="shared" si="8"/>
        <v>61</v>
      </c>
      <c r="E44" s="2">
        <f t="shared" si="9"/>
        <v>64</v>
      </c>
      <c r="F44" s="2">
        <v>4</v>
      </c>
      <c r="G44" s="255" t="str">
        <f t="shared" si="10"/>
        <v/>
      </c>
      <c r="H44" s="255"/>
      <c r="I44" s="231">
        <f t="shared" si="11"/>
        <v>0</v>
      </c>
      <c r="J44" s="231"/>
    </row>
    <row r="45" spans="2:10">
      <c r="B45" s="2">
        <v>22</v>
      </c>
      <c r="C45" s="3" t="s">
        <v>1558</v>
      </c>
      <c r="D45" s="2">
        <f t="shared" si="8"/>
        <v>65</v>
      </c>
      <c r="E45" s="2">
        <f t="shared" si="9"/>
        <v>68</v>
      </c>
      <c r="F45" s="2">
        <v>4</v>
      </c>
      <c r="G45" s="255" t="str">
        <f t="shared" si="10"/>
        <v/>
      </c>
      <c r="H45" s="255"/>
      <c r="I45" s="231">
        <f t="shared" si="11"/>
        <v>0</v>
      </c>
      <c r="J45" s="231"/>
    </row>
    <row r="46" spans="2:10">
      <c r="B46" s="2">
        <v>23</v>
      </c>
      <c r="C46" s="3" t="s">
        <v>1559</v>
      </c>
      <c r="D46" s="2">
        <f t="shared" si="8"/>
        <v>69</v>
      </c>
      <c r="E46" s="2">
        <f t="shared" si="9"/>
        <v>76</v>
      </c>
      <c r="F46" s="2">
        <v>8</v>
      </c>
      <c r="G46" s="2" t="str">
        <f>TRIM(MID($C$21,(D46-1)*3+1,F46*3/2))</f>
        <v/>
      </c>
      <c r="H46" s="2" t="str">
        <f>TRIM(MID($C$21,(D46+4-1)*3+1,F46*3/2))</f>
        <v/>
      </c>
      <c r="I46" s="324">
        <f>(HEX2DEC(SUBSTITUTE(G46," ",""))*2^32+HEX2DEC(SUBSTITUTE(H46," ","")))</f>
        <v>0</v>
      </c>
      <c r="J46" s="325"/>
    </row>
    <row r="47" spans="2:10">
      <c r="B47" s="2">
        <v>24</v>
      </c>
      <c r="C47" s="3" t="s">
        <v>1560</v>
      </c>
      <c r="D47" s="2">
        <f t="shared" si="8"/>
        <v>77</v>
      </c>
      <c r="E47" s="2">
        <f t="shared" si="9"/>
        <v>80</v>
      </c>
      <c r="F47" s="2">
        <v>4</v>
      </c>
      <c r="G47" s="255" t="str">
        <f t="shared" si="10"/>
        <v/>
      </c>
      <c r="H47" s="255"/>
      <c r="I47" s="231">
        <f t="shared" si="11"/>
        <v>0</v>
      </c>
      <c r="J47" s="231"/>
    </row>
    <row r="48" spans="2:10">
      <c r="B48" s="2">
        <v>25</v>
      </c>
      <c r="C48" s="3" t="s">
        <v>1561</v>
      </c>
      <c r="D48" s="2">
        <f t="shared" si="8"/>
        <v>81</v>
      </c>
      <c r="E48" s="2">
        <f t="shared" si="9"/>
        <v>84</v>
      </c>
      <c r="F48" s="2">
        <v>4</v>
      </c>
      <c r="G48" s="255" t="str">
        <f t="shared" si="10"/>
        <v/>
      </c>
      <c r="H48" s="255"/>
      <c r="I48" s="231">
        <f t="shared" si="11"/>
        <v>0</v>
      </c>
      <c r="J48" s="231"/>
    </row>
    <row r="49" spans="2:10">
      <c r="B49" s="2">
        <v>26</v>
      </c>
      <c r="C49" s="3" t="s">
        <v>1562</v>
      </c>
      <c r="D49" s="2">
        <f t="shared" si="8"/>
        <v>85</v>
      </c>
      <c r="E49" s="2">
        <f t="shared" si="9"/>
        <v>88</v>
      </c>
      <c r="F49" s="2">
        <v>4</v>
      </c>
      <c r="G49" s="255" t="str">
        <f t="shared" si="10"/>
        <v/>
      </c>
      <c r="H49" s="255"/>
      <c r="I49" s="231">
        <f t="shared" si="11"/>
        <v>0</v>
      </c>
      <c r="J49" s="231"/>
    </row>
    <row r="50" spans="2:10">
      <c r="B50" s="2">
        <v>27</v>
      </c>
      <c r="C50" s="3" t="s">
        <v>1563</v>
      </c>
      <c r="D50" s="2">
        <f t="shared" si="8"/>
        <v>89</v>
      </c>
      <c r="E50" s="2">
        <f t="shared" si="9"/>
        <v>92</v>
      </c>
      <c r="F50" s="2">
        <v>4</v>
      </c>
      <c r="G50" s="255" t="str">
        <f t="shared" si="10"/>
        <v/>
      </c>
      <c r="H50" s="255"/>
      <c r="I50" s="231">
        <f t="shared" si="11"/>
        <v>0</v>
      </c>
      <c r="J50" s="231"/>
    </row>
    <row r="51" spans="2:10">
      <c r="B51" s="2">
        <v>28</v>
      </c>
      <c r="C51" s="3" t="s">
        <v>1564</v>
      </c>
      <c r="D51" s="2">
        <f t="shared" si="8"/>
        <v>93</v>
      </c>
      <c r="E51" s="2">
        <f t="shared" si="9"/>
        <v>96</v>
      </c>
      <c r="F51" s="2">
        <v>4</v>
      </c>
      <c r="G51" s="255" t="str">
        <f t="shared" si="10"/>
        <v/>
      </c>
      <c r="H51" s="255"/>
      <c r="I51" s="231">
        <f t="shared" si="11"/>
        <v>0</v>
      </c>
      <c r="J51" s="231"/>
    </row>
    <row r="52" spans="2:10">
      <c r="B52" s="2">
        <v>29</v>
      </c>
      <c r="C52" s="3" t="s">
        <v>1565</v>
      </c>
      <c r="D52" s="2">
        <f t="shared" si="8"/>
        <v>97</v>
      </c>
      <c r="E52" s="2">
        <f t="shared" si="9"/>
        <v>104</v>
      </c>
      <c r="F52" s="2">
        <v>8</v>
      </c>
      <c r="G52" s="2" t="str">
        <f>TRIM(MID($C$21,(D52-1)*3+1,F52*3/2))</f>
        <v/>
      </c>
      <c r="H52" s="2" t="str">
        <f>TRIM(MID($C$21,(D52+4-1)*3+1,F52*3/2))</f>
        <v/>
      </c>
      <c r="I52" s="324">
        <f>(HEX2DEC(SUBSTITUTE(G52," ",""))*2^32+HEX2DEC(SUBSTITUTE(H52," ","")))</f>
        <v>0</v>
      </c>
      <c r="J52" s="325"/>
    </row>
    <row r="53" spans="2:10">
      <c r="B53" s="204">
        <v>30</v>
      </c>
      <c r="C53" s="203" t="s">
        <v>1566</v>
      </c>
      <c r="D53" s="204">
        <f t="shared" ref="D53:D60" si="12">E52+1</f>
        <v>105</v>
      </c>
      <c r="E53" s="204">
        <f t="shared" ref="E53:E60" si="13">D53+F53-1</f>
        <v>108</v>
      </c>
      <c r="F53" s="204">
        <v>4</v>
      </c>
      <c r="G53" s="249" t="str">
        <f>TRIM(MID($C$21,(D53-1)*3+1,F53*3))</f>
        <v/>
      </c>
      <c r="H53" s="250"/>
      <c r="I53" s="380">
        <f t="shared" ref="I53" si="14">HEX2DEC(SUBSTITUTE(G53," ",""))</f>
        <v>0</v>
      </c>
      <c r="J53" s="380"/>
    </row>
    <row r="54" spans="2:10">
      <c r="B54" s="204">
        <v>31</v>
      </c>
      <c r="C54" s="203" t="s">
        <v>1567</v>
      </c>
      <c r="D54" s="204">
        <f t="shared" si="12"/>
        <v>109</v>
      </c>
      <c r="E54" s="204">
        <f t="shared" si="13"/>
        <v>112</v>
      </c>
      <c r="F54" s="204">
        <v>4</v>
      </c>
      <c r="G54" s="249" t="str">
        <f t="shared" ref="G54:G57" si="15">TRIM(MID($C$21,(D54-1)*3+1,F54*3))</f>
        <v/>
      </c>
      <c r="H54" s="250"/>
      <c r="I54" s="380">
        <f t="shared" ref="I54:I57" si="16">HEX2DEC(SUBSTITUTE(G54," ",""))</f>
        <v>0</v>
      </c>
      <c r="J54" s="380"/>
    </row>
    <row r="55" spans="2:10">
      <c r="B55" s="204">
        <v>32</v>
      </c>
      <c r="C55" s="203" t="s">
        <v>1568</v>
      </c>
      <c r="D55" s="204">
        <f t="shared" si="12"/>
        <v>113</v>
      </c>
      <c r="E55" s="204">
        <f t="shared" si="13"/>
        <v>116</v>
      </c>
      <c r="F55" s="204">
        <v>4</v>
      </c>
      <c r="G55" s="249" t="str">
        <f t="shared" si="15"/>
        <v/>
      </c>
      <c r="H55" s="250"/>
      <c r="I55" s="380">
        <f t="shared" si="16"/>
        <v>0</v>
      </c>
      <c r="J55" s="380"/>
    </row>
    <row r="56" spans="2:10">
      <c r="B56" s="204">
        <v>33</v>
      </c>
      <c r="C56" s="203" t="s">
        <v>1569</v>
      </c>
      <c r="D56" s="204">
        <f t="shared" si="12"/>
        <v>117</v>
      </c>
      <c r="E56" s="204">
        <f t="shared" si="13"/>
        <v>120</v>
      </c>
      <c r="F56" s="204">
        <v>4</v>
      </c>
      <c r="G56" s="249" t="str">
        <f t="shared" si="15"/>
        <v/>
      </c>
      <c r="H56" s="250"/>
      <c r="I56" s="380">
        <f t="shared" si="16"/>
        <v>0</v>
      </c>
      <c r="J56" s="380"/>
    </row>
    <row r="57" spans="2:10">
      <c r="B57" s="204">
        <v>34</v>
      </c>
      <c r="C57" s="203" t="s">
        <v>1570</v>
      </c>
      <c r="D57" s="204">
        <f t="shared" si="12"/>
        <v>121</v>
      </c>
      <c r="E57" s="204">
        <f t="shared" si="13"/>
        <v>124</v>
      </c>
      <c r="F57" s="204">
        <v>4</v>
      </c>
      <c r="G57" s="249" t="str">
        <f t="shared" si="15"/>
        <v/>
      </c>
      <c r="H57" s="250"/>
      <c r="I57" s="380">
        <f t="shared" si="16"/>
        <v>0</v>
      </c>
      <c r="J57" s="380"/>
    </row>
    <row r="58" spans="2:10">
      <c r="B58" s="204">
        <v>35</v>
      </c>
      <c r="C58" s="203" t="s">
        <v>1571</v>
      </c>
      <c r="D58" s="204">
        <f t="shared" si="12"/>
        <v>125</v>
      </c>
      <c r="E58" s="204">
        <f t="shared" si="13"/>
        <v>132</v>
      </c>
      <c r="F58" s="204">
        <v>8</v>
      </c>
      <c r="G58" s="204" t="str">
        <f>TRIM(MID($C$21,(D58-1)*3+1,F58*3/2))</f>
        <v/>
      </c>
      <c r="H58" s="204" t="str">
        <f>TRIM(MID($C$21,(D58+4-1)*3+1,F58*3/2))</f>
        <v/>
      </c>
      <c r="I58" s="381">
        <f t="shared" ref="I58:I60" si="17">(HEX2DEC(SUBSTITUTE(G58," ",""))*2^32+HEX2DEC(SUBSTITUTE(H58," ","")))</f>
        <v>0</v>
      </c>
      <c r="J58" s="382"/>
    </row>
    <row r="59" spans="2:10">
      <c r="B59" s="2">
        <v>36</v>
      </c>
      <c r="C59" s="3" t="s">
        <v>1572</v>
      </c>
      <c r="D59" s="2">
        <f t="shared" si="12"/>
        <v>133</v>
      </c>
      <c r="E59" s="2">
        <f t="shared" si="13"/>
        <v>140</v>
      </c>
      <c r="F59" s="2">
        <v>8</v>
      </c>
      <c r="G59" s="2" t="str">
        <f>TRIM(MID($C$21,(D59-1)*3+1,F59*3/2))</f>
        <v/>
      </c>
      <c r="H59" s="2" t="str">
        <f>TRIM(MID($C$21,(D59+4-1)*3+1,F59*3/2))</f>
        <v/>
      </c>
      <c r="I59" s="324">
        <f t="shared" si="17"/>
        <v>0</v>
      </c>
      <c r="J59" s="325"/>
    </row>
    <row r="60" spans="2:10">
      <c r="B60" s="2">
        <v>37</v>
      </c>
      <c r="C60" s="3" t="s">
        <v>1573</v>
      </c>
      <c r="D60" s="2">
        <f t="shared" si="12"/>
        <v>141</v>
      </c>
      <c r="E60" s="2">
        <f t="shared" si="13"/>
        <v>148</v>
      </c>
      <c r="F60" s="2">
        <v>8</v>
      </c>
      <c r="G60" s="2" t="str">
        <f>TRIM(MID($C$21,(D60-1)*3+1,F60*3/2))</f>
        <v/>
      </c>
      <c r="H60" s="2" t="str">
        <f>TRIM(MID($C$21,(D60+4-1)*3+1,F60*3/2))</f>
        <v/>
      </c>
      <c r="I60" s="324">
        <f t="shared" si="17"/>
        <v>0</v>
      </c>
      <c r="J60" s="325"/>
    </row>
    <row r="61" spans="2:10">
      <c r="B61" s="54" t="s">
        <v>1574</v>
      </c>
    </row>
    <row r="62" spans="2:10">
      <c r="B62" s="54" t="s">
        <v>1575</v>
      </c>
    </row>
    <row r="63" spans="2:10">
      <c r="B63" s="54" t="s">
        <v>1576</v>
      </c>
    </row>
    <row r="65" spans="1:16">
      <c r="B65" s="52"/>
    </row>
    <row r="66" spans="1:16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</row>
    <row r="67" spans="1:16" ht="18.75">
      <c r="B67" s="14" t="s">
        <v>1577</v>
      </c>
    </row>
    <row r="69" spans="1:16">
      <c r="B69" s="7" t="s">
        <v>1104</v>
      </c>
      <c r="C69" s="163"/>
    </row>
    <row r="71" spans="1:16">
      <c r="B71" s="15" t="s">
        <v>1105</v>
      </c>
      <c r="C71" s="15" t="s">
        <v>1106</v>
      </c>
      <c r="D71" s="15" t="s">
        <v>1107</v>
      </c>
      <c r="E71" s="15" t="s">
        <v>1108</v>
      </c>
      <c r="F71" s="15" t="s">
        <v>1109</v>
      </c>
      <c r="G71" s="307" t="s">
        <v>1110</v>
      </c>
      <c r="H71" s="307"/>
      <c r="I71" s="307" t="s">
        <v>1111</v>
      </c>
      <c r="J71" s="307"/>
      <c r="L71" s="293" t="s">
        <v>1112</v>
      </c>
      <c r="M71" s="294"/>
      <c r="N71" s="295"/>
    </row>
    <row r="72" spans="1:16">
      <c r="B72" s="2">
        <v>1</v>
      </c>
      <c r="C72" s="3" t="s">
        <v>1113</v>
      </c>
      <c r="D72" s="2">
        <v>1</v>
      </c>
      <c r="E72" s="2">
        <f>D72+F72-1</f>
        <v>1</v>
      </c>
      <c r="F72" s="2">
        <v>1</v>
      </c>
      <c r="G72" s="2" t="str">
        <f>TRIM(MID($C$69,1,1))</f>
        <v/>
      </c>
      <c r="H72" s="2" t="str">
        <f>TRIM(MID($C$69,2,1))</f>
        <v/>
      </c>
      <c r="I72" s="2">
        <f>HEX2DEC(SUBSTITUTE(G72," ",""))</f>
        <v>0</v>
      </c>
      <c r="J72" s="2">
        <f>HEX2DEC(SUBSTITUTE(H72," ",""))</f>
        <v>0</v>
      </c>
      <c r="L72" s="69" t="str">
        <f>IF(MOD(INT(HEX2BIN(G72,4)/(2^(3-1))),2)=1,CONCATENATE("This is a Retry"),CONCATENATE("This is NOT a Retry"))</f>
        <v>This is NOT a Retry</v>
      </c>
      <c r="M72" s="68"/>
      <c r="N72" s="68"/>
    </row>
    <row r="73" spans="1:16">
      <c r="B73" s="2">
        <v>2</v>
      </c>
      <c r="C73" s="3" t="s">
        <v>1205</v>
      </c>
      <c r="D73" s="2">
        <f t="shared" ref="D73:D80" si="18">E72+1</f>
        <v>2</v>
      </c>
      <c r="E73" s="2">
        <f>D73+F73-1</f>
        <v>2</v>
      </c>
      <c r="F73" s="2">
        <v>1</v>
      </c>
      <c r="G73" s="2" t="str">
        <f>TRIM(MID($C$69,4,1))</f>
        <v/>
      </c>
      <c r="H73" s="2" t="str">
        <f>TRIM(MID($C$69,5,1))</f>
        <v/>
      </c>
      <c r="I73" s="2">
        <f>HEX2DEC(SUBSTITUTE(G73," ",""))</f>
        <v>0</v>
      </c>
      <c r="J73" s="2">
        <f>HEX2DEC(SUBSTITUTE(H73," ",""))</f>
        <v>0</v>
      </c>
      <c r="L73" s="69" t="str">
        <f>IF(ISNA(VLOOKUP(CONCATENATE(G73,H73),'IGS Configuration Values'!$B$127:$D$129,2,FALSE))=TRUE,"Invalid Type/Subtype",VLOOKUP(CONCATENATE(G73,H73),'IGS Configuration Values'!$B$127:$D$129,2,FALSE))</f>
        <v>Invalid Type/Subtype</v>
      </c>
      <c r="M73" s="68"/>
      <c r="N73" s="68"/>
    </row>
    <row r="74" spans="1:16">
      <c r="B74" s="2">
        <v>3</v>
      </c>
      <c r="C74" s="3" t="s">
        <v>1115</v>
      </c>
      <c r="D74" s="2">
        <f t="shared" si="18"/>
        <v>3</v>
      </c>
      <c r="E74" s="2">
        <f t="shared" ref="E74:E80" si="19">D74+F74-1</f>
        <v>4</v>
      </c>
      <c r="F74" s="2">
        <v>2</v>
      </c>
      <c r="G74" s="255" t="str">
        <f>TRIM(MID($C$69,(D74-1)*3+1,F74*3))</f>
        <v/>
      </c>
      <c r="H74" s="255"/>
      <c r="I74" s="231">
        <f t="shared" ref="I74:I80" si="20">HEX2DEC(SUBSTITUTE(G74," ",""))</f>
        <v>0</v>
      </c>
      <c r="J74" s="231"/>
    </row>
    <row r="75" spans="1:16">
      <c r="B75" s="2">
        <v>4</v>
      </c>
      <c r="C75" s="3" t="s">
        <v>1413</v>
      </c>
      <c r="D75" s="2">
        <f t="shared" si="18"/>
        <v>5</v>
      </c>
      <c r="E75" s="2">
        <f t="shared" si="19"/>
        <v>7</v>
      </c>
      <c r="F75" s="2">
        <v>3</v>
      </c>
      <c r="G75" s="255" t="str">
        <f t="shared" ref="G75:G87" si="21">TRIM(MID($C$69,(D75-1)*3+1,F75*3))</f>
        <v/>
      </c>
      <c r="H75" s="255"/>
      <c r="I75" s="231" t="str">
        <f>CONCATENATE(TEXT(HEX2DEC(SUBSTITUTE(MID(G75,1,2)," ","")),"00"),":",TEXT(HEX2DEC(SUBSTITUTE(MID(G75,4,2)," ","")),"00"),":",TEXT(HEX2DEC(SUBSTITUTE(MID(G75,7,2)," ","")),"00"))</f>
        <v>00:00:00</v>
      </c>
      <c r="J75" s="231"/>
    </row>
    <row r="76" spans="1:16">
      <c r="B76" s="2">
        <v>5</v>
      </c>
      <c r="C76" s="3" t="s">
        <v>1537</v>
      </c>
      <c r="D76" s="2">
        <f t="shared" si="18"/>
        <v>8</v>
      </c>
      <c r="E76" s="2">
        <f t="shared" si="19"/>
        <v>8</v>
      </c>
      <c r="F76" s="2">
        <v>1</v>
      </c>
      <c r="G76" s="255" t="str">
        <f t="shared" si="21"/>
        <v/>
      </c>
      <c r="H76" s="255"/>
      <c r="I76" s="231">
        <f t="shared" si="20"/>
        <v>0</v>
      </c>
      <c r="J76" s="231"/>
    </row>
    <row r="77" spans="1:16">
      <c r="B77" s="2">
        <v>6</v>
      </c>
      <c r="C77" s="3" t="s">
        <v>1402</v>
      </c>
      <c r="D77" s="2">
        <f t="shared" si="18"/>
        <v>9</v>
      </c>
      <c r="E77" s="2">
        <f t="shared" si="19"/>
        <v>9</v>
      </c>
      <c r="F77" s="2">
        <v>1</v>
      </c>
      <c r="G77" s="255" t="str">
        <f t="shared" si="21"/>
        <v/>
      </c>
      <c r="H77" s="255"/>
      <c r="I77" s="231">
        <f t="shared" si="20"/>
        <v>0</v>
      </c>
      <c r="J77" s="231"/>
      <c r="L77" s="69" t="str">
        <f>IF(ISNA(VLOOKUP(G77,'IGS Configuration Values'!$B$190:$D$193,2,FALSE))=TRUE,"Invalid Subclass",VLOOKUP(G77,'IGS Configuration Values'!$B$190:$D$193,2,FALSE))</f>
        <v>Invalid Subclass</v>
      </c>
      <c r="M77" s="68"/>
      <c r="N77" s="68"/>
      <c r="O77" s="68"/>
      <c r="P77" s="68"/>
    </row>
    <row r="78" spans="1:16">
      <c r="B78" s="2">
        <v>7</v>
      </c>
      <c r="C78" s="3" t="s">
        <v>1541</v>
      </c>
      <c r="D78" s="2">
        <f t="shared" si="18"/>
        <v>10</v>
      </c>
      <c r="E78" s="2">
        <f t="shared" si="19"/>
        <v>10</v>
      </c>
      <c r="F78" s="2">
        <v>1</v>
      </c>
      <c r="G78" s="255" t="str">
        <f t="shared" si="21"/>
        <v/>
      </c>
      <c r="H78" s="255"/>
      <c r="I78" s="231">
        <f t="shared" si="20"/>
        <v>0</v>
      </c>
      <c r="J78" s="231"/>
    </row>
    <row r="79" spans="1:16">
      <c r="B79" s="2">
        <v>8</v>
      </c>
      <c r="C79" s="3" t="s">
        <v>1543</v>
      </c>
      <c r="D79" s="2">
        <f t="shared" si="18"/>
        <v>11</v>
      </c>
      <c r="E79" s="2">
        <f t="shared" si="19"/>
        <v>12</v>
      </c>
      <c r="F79" s="2">
        <v>2</v>
      </c>
      <c r="G79" s="255" t="str">
        <f t="shared" si="21"/>
        <v/>
      </c>
      <c r="H79" s="255"/>
      <c r="I79" s="231">
        <f t="shared" si="20"/>
        <v>0</v>
      </c>
      <c r="J79" s="231"/>
    </row>
    <row r="80" spans="1:16">
      <c r="B80" s="2">
        <v>9</v>
      </c>
      <c r="C80" s="3" t="s">
        <v>1122</v>
      </c>
      <c r="D80" s="2">
        <f t="shared" si="18"/>
        <v>13</v>
      </c>
      <c r="E80" s="2">
        <f t="shared" si="19"/>
        <v>16</v>
      </c>
      <c r="F80" s="2">
        <v>4</v>
      </c>
      <c r="G80" s="255" t="str">
        <f t="shared" si="21"/>
        <v/>
      </c>
      <c r="H80" s="255"/>
      <c r="I80" s="231">
        <f t="shared" si="20"/>
        <v>0</v>
      </c>
      <c r="J80" s="231"/>
    </row>
    <row r="81" spans="1:11">
      <c r="B81" s="2">
        <v>10</v>
      </c>
      <c r="C81" s="3" t="s">
        <v>1578</v>
      </c>
      <c r="D81" s="2">
        <f t="shared" ref="D81:D88" si="22">E80+1</f>
        <v>17</v>
      </c>
      <c r="E81" s="2">
        <f t="shared" ref="E81:E88" si="23">D81+F81-1</f>
        <v>20</v>
      </c>
      <c r="F81" s="2">
        <v>4</v>
      </c>
      <c r="G81" s="255" t="str">
        <f t="shared" si="21"/>
        <v/>
      </c>
      <c r="H81" s="255"/>
      <c r="I81" s="231">
        <f t="shared" ref="I81:I88" si="24">HEX2DEC(SUBSTITUTE(G81," ",""))</f>
        <v>0</v>
      </c>
      <c r="J81" s="231"/>
    </row>
    <row r="82" spans="1:11">
      <c r="B82" s="2">
        <v>11</v>
      </c>
      <c r="C82" s="3" t="s">
        <v>1579</v>
      </c>
      <c r="D82" s="2">
        <f t="shared" si="22"/>
        <v>21</v>
      </c>
      <c r="E82" s="2">
        <f t="shared" si="23"/>
        <v>24</v>
      </c>
      <c r="F82" s="2">
        <v>4</v>
      </c>
      <c r="G82" s="255" t="str">
        <f t="shared" si="21"/>
        <v/>
      </c>
      <c r="H82" s="255"/>
      <c r="I82" s="231">
        <f t="shared" si="24"/>
        <v>0</v>
      </c>
      <c r="J82" s="231"/>
    </row>
    <row r="83" spans="1:11">
      <c r="B83" s="2">
        <v>12</v>
      </c>
      <c r="C83" s="3" t="s">
        <v>1580</v>
      </c>
      <c r="D83" s="2">
        <f t="shared" si="22"/>
        <v>25</v>
      </c>
      <c r="E83" s="2">
        <f t="shared" si="23"/>
        <v>28</v>
      </c>
      <c r="F83" s="2">
        <v>4</v>
      </c>
      <c r="G83" s="255" t="str">
        <f t="shared" si="21"/>
        <v/>
      </c>
      <c r="H83" s="255"/>
      <c r="I83" s="231">
        <f t="shared" si="24"/>
        <v>0</v>
      </c>
      <c r="J83" s="231"/>
    </row>
    <row r="84" spans="1:11">
      <c r="B84" s="2">
        <v>13</v>
      </c>
      <c r="C84" s="3" t="s">
        <v>1581</v>
      </c>
      <c r="D84" s="2">
        <f t="shared" si="22"/>
        <v>29</v>
      </c>
      <c r="E84" s="2">
        <f t="shared" si="23"/>
        <v>32</v>
      </c>
      <c r="F84" s="2">
        <v>4</v>
      </c>
      <c r="G84" s="255" t="str">
        <f t="shared" si="21"/>
        <v/>
      </c>
      <c r="H84" s="255"/>
      <c r="I84" s="231">
        <f t="shared" si="24"/>
        <v>0</v>
      </c>
      <c r="J84" s="231"/>
    </row>
    <row r="85" spans="1:11">
      <c r="B85" s="2">
        <v>14</v>
      </c>
      <c r="C85" s="3" t="s">
        <v>1582</v>
      </c>
      <c r="D85" s="2">
        <f t="shared" si="22"/>
        <v>33</v>
      </c>
      <c r="E85" s="2">
        <f t="shared" si="23"/>
        <v>36</v>
      </c>
      <c r="F85" s="2">
        <v>4</v>
      </c>
      <c r="G85" s="255" t="str">
        <f t="shared" si="21"/>
        <v/>
      </c>
      <c r="H85" s="255"/>
      <c r="I85" s="231">
        <f t="shared" si="24"/>
        <v>0</v>
      </c>
      <c r="J85" s="231"/>
    </row>
    <row r="86" spans="1:11">
      <c r="B86" s="2">
        <v>15</v>
      </c>
      <c r="C86" s="3" t="s">
        <v>1432</v>
      </c>
      <c r="D86" s="2">
        <f t="shared" si="22"/>
        <v>37</v>
      </c>
      <c r="E86" s="2">
        <f t="shared" si="23"/>
        <v>40</v>
      </c>
      <c r="F86" s="2">
        <v>4</v>
      </c>
      <c r="G86" s="255" t="str">
        <f t="shared" si="21"/>
        <v/>
      </c>
      <c r="H86" s="255"/>
      <c r="I86" s="231">
        <f t="shared" si="24"/>
        <v>0</v>
      </c>
      <c r="J86" s="231"/>
    </row>
    <row r="87" spans="1:11">
      <c r="B87" s="2">
        <v>16</v>
      </c>
      <c r="C87" s="3" t="s">
        <v>1583</v>
      </c>
      <c r="D87" s="2">
        <f t="shared" si="22"/>
        <v>41</v>
      </c>
      <c r="E87" s="2">
        <f t="shared" si="23"/>
        <v>44</v>
      </c>
      <c r="F87" s="2">
        <v>4</v>
      </c>
      <c r="G87" s="255" t="str">
        <f t="shared" si="21"/>
        <v/>
      </c>
      <c r="H87" s="255"/>
      <c r="I87" s="231">
        <f t="shared" si="24"/>
        <v>0</v>
      </c>
      <c r="J87" s="231"/>
    </row>
    <row r="88" spans="1:11">
      <c r="B88" s="2">
        <v>17</v>
      </c>
      <c r="C88" s="3" t="s">
        <v>1584</v>
      </c>
      <c r="D88" s="2">
        <f t="shared" si="22"/>
        <v>45</v>
      </c>
      <c r="E88" s="2">
        <f t="shared" si="23"/>
        <v>48</v>
      </c>
      <c r="F88" s="2">
        <v>4</v>
      </c>
      <c r="G88" s="255" t="str">
        <f>TRIM(MID($C$69,(D88-1)*3+1,F88*3))</f>
        <v/>
      </c>
      <c r="H88" s="255"/>
      <c r="I88" s="231">
        <f t="shared" si="24"/>
        <v>0</v>
      </c>
      <c r="J88" s="231"/>
    </row>
    <row r="89" spans="1:11">
      <c r="B89" s="54" t="s">
        <v>1574</v>
      </c>
    </row>
    <row r="91" spans="1:11">
      <c r="B91" s="52"/>
    </row>
    <row r="92" spans="1:11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</row>
    <row r="93" spans="1:11" ht="18.75">
      <c r="B93" s="14" t="s">
        <v>1585</v>
      </c>
    </row>
    <row r="95" spans="1:11">
      <c r="B95" s="7" t="s">
        <v>1104</v>
      </c>
      <c r="C95" s="163"/>
    </row>
    <row r="97" spans="2:15">
      <c r="B97" s="15" t="s">
        <v>1105</v>
      </c>
      <c r="C97" s="15" t="s">
        <v>1106</v>
      </c>
      <c r="D97" s="15" t="s">
        <v>1107</v>
      </c>
      <c r="E97" s="15" t="s">
        <v>1108</v>
      </c>
      <c r="F97" s="15" t="s">
        <v>1109</v>
      </c>
      <c r="G97" s="307" t="s">
        <v>1110</v>
      </c>
      <c r="H97" s="307"/>
      <c r="I97" s="307" t="s">
        <v>1111</v>
      </c>
      <c r="J97" s="307"/>
      <c r="L97" s="293" t="s">
        <v>1112</v>
      </c>
      <c r="M97" s="294"/>
      <c r="N97" s="295"/>
    </row>
    <row r="98" spans="2:15">
      <c r="B98" s="2">
        <v>1</v>
      </c>
      <c r="C98" s="3" t="s">
        <v>1113</v>
      </c>
      <c r="D98" s="2">
        <v>1</v>
      </c>
      <c r="E98" s="2">
        <f>D98+F98-1</f>
        <v>1</v>
      </c>
      <c r="F98" s="2">
        <v>1</v>
      </c>
      <c r="G98" s="2" t="str">
        <f>TRIM(MID($C$95,1,1))</f>
        <v/>
      </c>
      <c r="H98" s="2" t="str">
        <f>TRIM(MID($C$95,2,1))</f>
        <v/>
      </c>
      <c r="I98" s="2">
        <f>HEX2DEC(SUBSTITUTE(G98," ",""))</f>
        <v>0</v>
      </c>
      <c r="J98" s="2">
        <f>HEX2DEC(SUBSTITUTE(H98," ",""))</f>
        <v>0</v>
      </c>
      <c r="L98" s="69" t="str">
        <f>IF(MOD(INT(HEX2BIN(G98,4)/(2^(3-1))),2)=1,CONCATENATE("This is a Retry"),CONCATENATE("This is NOT a Retry"))</f>
        <v>This is NOT a Retry</v>
      </c>
      <c r="M98" s="68"/>
      <c r="N98" s="68"/>
    </row>
    <row r="99" spans="2:15">
      <c r="B99" s="2">
        <v>2</v>
      </c>
      <c r="C99" s="3" t="s">
        <v>1205</v>
      </c>
      <c r="D99" s="2">
        <f t="shared" ref="D99:D106" si="25">E98+1</f>
        <v>2</v>
      </c>
      <c r="E99" s="2">
        <f>D99+F99-1</f>
        <v>2</v>
      </c>
      <c r="F99" s="2">
        <v>1</v>
      </c>
      <c r="G99" s="2" t="str">
        <f>TRIM(MID($C$95,4,1))</f>
        <v/>
      </c>
      <c r="H99" s="2" t="str">
        <f>TRIM(MID($C$95,5,1))</f>
        <v/>
      </c>
      <c r="I99" s="2">
        <f>HEX2DEC(SUBSTITUTE(G99," ",""))</f>
        <v>0</v>
      </c>
      <c r="J99" s="2">
        <f>HEX2DEC(SUBSTITUTE(H99," ",""))</f>
        <v>0</v>
      </c>
      <c r="L99" s="69" t="str">
        <f>IF(ISNA(VLOOKUP(CONCATENATE(G99,H99),'IGS Configuration Values'!$B$127:$D$129,2,FALSE))=TRUE,"Invalid Type/Subtype",VLOOKUP(CONCATENATE(G99,H99),'IGS Configuration Values'!$B$127:$D$129,2,FALSE))</f>
        <v>Invalid Type/Subtype</v>
      </c>
      <c r="M99" s="68"/>
      <c r="N99" s="68"/>
    </row>
    <row r="100" spans="2:15">
      <c r="B100" s="2">
        <v>3</v>
      </c>
      <c r="C100" s="3" t="s">
        <v>1115</v>
      </c>
      <c r="D100" s="2">
        <f t="shared" si="25"/>
        <v>3</v>
      </c>
      <c r="E100" s="2">
        <f t="shared" ref="E100:E106" si="26">D100+F100-1</f>
        <v>4</v>
      </c>
      <c r="F100" s="2">
        <v>2</v>
      </c>
      <c r="G100" s="255" t="str">
        <f>TRIM(MID($C$95,(D100-1)*3+1,F100*3))</f>
        <v/>
      </c>
      <c r="H100" s="255"/>
      <c r="I100" s="231">
        <f t="shared" ref="I100:I106" si="27">HEX2DEC(SUBSTITUTE(G100," ",""))</f>
        <v>0</v>
      </c>
      <c r="J100" s="231"/>
    </row>
    <row r="101" spans="2:15">
      <c r="B101" s="2">
        <v>4</v>
      </c>
      <c r="C101" s="3" t="s">
        <v>1413</v>
      </c>
      <c r="D101" s="2">
        <f t="shared" si="25"/>
        <v>5</v>
      </c>
      <c r="E101" s="2">
        <f t="shared" si="26"/>
        <v>7</v>
      </c>
      <c r="F101" s="2">
        <v>3</v>
      </c>
      <c r="G101" s="255" t="str">
        <f t="shared" ref="G101:G106" si="28">TRIM(MID($C$95,(D101-1)*3+1,F101*3))</f>
        <v/>
      </c>
      <c r="H101" s="255"/>
      <c r="I101" s="231" t="str">
        <f>CONCATENATE(TEXT(HEX2DEC(SUBSTITUTE(MID(G101,1,2)," ","")),"00"),":",TEXT(HEX2DEC(SUBSTITUTE(MID(G101,4,2)," ","")),"00"),":",TEXT(HEX2DEC(SUBSTITUTE(MID(G101,7,2)," ","")),"00"))</f>
        <v>00:00:00</v>
      </c>
      <c r="J101" s="231"/>
    </row>
    <row r="102" spans="2:15">
      <c r="B102" s="2">
        <v>5</v>
      </c>
      <c r="C102" s="3" t="s">
        <v>1537</v>
      </c>
      <c r="D102" s="2">
        <f t="shared" si="25"/>
        <v>8</v>
      </c>
      <c r="E102" s="2">
        <f t="shared" si="26"/>
        <v>8</v>
      </c>
      <c r="F102" s="2">
        <v>1</v>
      </c>
      <c r="G102" s="255" t="str">
        <f t="shared" si="28"/>
        <v/>
      </c>
      <c r="H102" s="255"/>
      <c r="I102" s="231">
        <f t="shared" si="27"/>
        <v>0</v>
      </c>
      <c r="J102" s="231"/>
    </row>
    <row r="103" spans="2:15">
      <c r="B103" s="2">
        <v>6</v>
      </c>
      <c r="C103" s="3" t="s">
        <v>1402</v>
      </c>
      <c r="D103" s="2">
        <f t="shared" si="25"/>
        <v>9</v>
      </c>
      <c r="E103" s="2">
        <f t="shared" si="26"/>
        <v>9</v>
      </c>
      <c r="F103" s="2">
        <v>1</v>
      </c>
      <c r="G103" s="255" t="str">
        <f t="shared" si="28"/>
        <v/>
      </c>
      <c r="H103" s="255"/>
      <c r="I103" s="231">
        <f t="shared" si="27"/>
        <v>0</v>
      </c>
      <c r="J103" s="231"/>
      <c r="L103" s="69" t="str">
        <f>IF(ISNA(VLOOKUP(G103,'IGS Configuration Values'!$B$190:$D$193,2,FALSE))=TRUE,"Invalid Subclass",VLOOKUP(G103,'IGS Configuration Values'!$B$190:$D$193,2,FALSE))</f>
        <v>Invalid Subclass</v>
      </c>
      <c r="M103" s="68"/>
      <c r="N103" s="68"/>
      <c r="O103" s="68"/>
    </row>
    <row r="104" spans="2:15">
      <c r="B104" s="2">
        <v>7</v>
      </c>
      <c r="C104" s="3" t="s">
        <v>1541</v>
      </c>
      <c r="D104" s="2">
        <f t="shared" si="25"/>
        <v>10</v>
      </c>
      <c r="E104" s="2">
        <f t="shared" si="26"/>
        <v>10</v>
      </c>
      <c r="F104" s="2">
        <v>1</v>
      </c>
      <c r="G104" s="255" t="str">
        <f t="shared" si="28"/>
        <v/>
      </c>
      <c r="H104" s="255"/>
      <c r="I104" s="231">
        <f t="shared" si="27"/>
        <v>0</v>
      </c>
      <c r="J104" s="231"/>
    </row>
    <row r="105" spans="2:15">
      <c r="B105" s="2">
        <v>8</v>
      </c>
      <c r="C105" s="3" t="s">
        <v>1543</v>
      </c>
      <c r="D105" s="2">
        <f t="shared" si="25"/>
        <v>11</v>
      </c>
      <c r="E105" s="2">
        <f t="shared" si="26"/>
        <v>12</v>
      </c>
      <c r="F105" s="2">
        <v>2</v>
      </c>
      <c r="G105" s="255" t="str">
        <f t="shared" si="28"/>
        <v/>
      </c>
      <c r="H105" s="255"/>
      <c r="I105" s="231">
        <f t="shared" si="27"/>
        <v>0</v>
      </c>
      <c r="J105" s="231"/>
    </row>
    <row r="106" spans="2:15">
      <c r="B106" s="2">
        <v>9</v>
      </c>
      <c r="C106" s="3" t="s">
        <v>1122</v>
      </c>
      <c r="D106" s="2">
        <f t="shared" si="25"/>
        <v>13</v>
      </c>
      <c r="E106" s="2">
        <f t="shared" si="26"/>
        <v>16</v>
      </c>
      <c r="F106" s="2">
        <v>4</v>
      </c>
      <c r="G106" s="255" t="str">
        <f t="shared" si="28"/>
        <v/>
      </c>
      <c r="H106" s="255"/>
      <c r="I106" s="231">
        <f t="shared" si="27"/>
        <v>0</v>
      </c>
      <c r="J106" s="231"/>
    </row>
    <row r="107" spans="2:15">
      <c r="B107" s="2">
        <v>10</v>
      </c>
      <c r="C107" s="3" t="s">
        <v>1586</v>
      </c>
      <c r="D107" s="2">
        <f t="shared" ref="D107:D140" si="29">E106+1</f>
        <v>17</v>
      </c>
      <c r="E107" s="2">
        <f t="shared" ref="E107:E140" si="30">D107+F107-1</f>
        <v>18</v>
      </c>
      <c r="F107" s="2">
        <v>2</v>
      </c>
      <c r="G107" s="255" t="str">
        <f t="shared" ref="G107:G140" si="31">TRIM(MID($C$95,(D107-1)*3+1,F107*3))</f>
        <v/>
      </c>
      <c r="H107" s="255"/>
      <c r="I107" s="231">
        <f t="shared" ref="I107:I140" si="32">HEX2DEC(SUBSTITUTE(G107," ",""))</f>
        <v>0</v>
      </c>
      <c r="J107" s="231"/>
    </row>
    <row r="108" spans="2:15">
      <c r="B108" s="2">
        <v>11</v>
      </c>
      <c r="C108" s="3" t="s">
        <v>1587</v>
      </c>
      <c r="D108" s="2">
        <f t="shared" si="29"/>
        <v>19</v>
      </c>
      <c r="E108" s="2">
        <f t="shared" si="30"/>
        <v>22</v>
      </c>
      <c r="F108" s="2">
        <v>4</v>
      </c>
      <c r="G108" s="255" t="str">
        <f t="shared" si="31"/>
        <v/>
      </c>
      <c r="H108" s="255"/>
      <c r="I108" s="231">
        <f t="shared" si="32"/>
        <v>0</v>
      </c>
      <c r="J108" s="231"/>
    </row>
    <row r="109" spans="2:15">
      <c r="B109" s="2">
        <v>12</v>
      </c>
      <c r="C109" s="3" t="s">
        <v>1588</v>
      </c>
      <c r="D109" s="2">
        <f t="shared" si="29"/>
        <v>23</v>
      </c>
      <c r="E109" s="2">
        <f t="shared" si="30"/>
        <v>26</v>
      </c>
      <c r="F109" s="2">
        <v>4</v>
      </c>
      <c r="G109" s="255" t="str">
        <f t="shared" si="31"/>
        <v/>
      </c>
      <c r="H109" s="255"/>
      <c r="I109" s="231">
        <f t="shared" si="32"/>
        <v>0</v>
      </c>
      <c r="J109" s="231"/>
    </row>
    <row r="110" spans="2:15">
      <c r="B110" s="2">
        <v>13</v>
      </c>
      <c r="C110" s="3" t="s">
        <v>1589</v>
      </c>
      <c r="D110" s="2">
        <f t="shared" si="29"/>
        <v>27</v>
      </c>
      <c r="E110" s="2">
        <f t="shared" si="30"/>
        <v>30</v>
      </c>
      <c r="F110" s="2">
        <v>4</v>
      </c>
      <c r="G110" s="255" t="str">
        <f t="shared" si="31"/>
        <v/>
      </c>
      <c r="H110" s="255"/>
      <c r="I110" s="231">
        <f t="shared" si="32"/>
        <v>0</v>
      </c>
      <c r="J110" s="231"/>
    </row>
    <row r="111" spans="2:15">
      <c r="B111" s="2">
        <v>14</v>
      </c>
      <c r="C111" s="3" t="s">
        <v>1590</v>
      </c>
      <c r="D111" s="2">
        <f t="shared" si="29"/>
        <v>31</v>
      </c>
      <c r="E111" s="2">
        <f t="shared" si="30"/>
        <v>34</v>
      </c>
      <c r="F111" s="2">
        <v>4</v>
      </c>
      <c r="G111" s="255" t="str">
        <f t="shared" si="31"/>
        <v/>
      </c>
      <c r="H111" s="255"/>
      <c r="I111" s="231">
        <f t="shared" si="32"/>
        <v>0</v>
      </c>
      <c r="J111" s="231"/>
    </row>
    <row r="112" spans="2:15">
      <c r="B112" s="2">
        <v>15</v>
      </c>
      <c r="C112" s="3" t="s">
        <v>1591</v>
      </c>
      <c r="D112" s="2">
        <f t="shared" si="29"/>
        <v>35</v>
      </c>
      <c r="E112" s="2">
        <f t="shared" si="30"/>
        <v>38</v>
      </c>
      <c r="F112" s="2">
        <v>4</v>
      </c>
      <c r="G112" s="255" t="str">
        <f t="shared" si="31"/>
        <v/>
      </c>
      <c r="H112" s="255"/>
      <c r="I112" s="231">
        <f t="shared" si="32"/>
        <v>0</v>
      </c>
      <c r="J112" s="231"/>
    </row>
    <row r="113" spans="2:16">
      <c r="B113" s="2">
        <v>16</v>
      </c>
      <c r="C113" s="3" t="s">
        <v>1592</v>
      </c>
      <c r="D113" s="2">
        <f t="shared" si="29"/>
        <v>39</v>
      </c>
      <c r="E113" s="2">
        <f t="shared" si="30"/>
        <v>42</v>
      </c>
      <c r="F113" s="2">
        <v>4</v>
      </c>
      <c r="G113" s="255" t="str">
        <f t="shared" si="31"/>
        <v/>
      </c>
      <c r="H113" s="255"/>
      <c r="I113" s="231">
        <f t="shared" si="32"/>
        <v>0</v>
      </c>
      <c r="J113" s="231"/>
    </row>
    <row r="114" spans="2:16">
      <c r="B114" s="2">
        <v>17</v>
      </c>
      <c r="C114" s="3" t="s">
        <v>1593</v>
      </c>
      <c r="D114" s="2">
        <f t="shared" si="29"/>
        <v>43</v>
      </c>
      <c r="E114" s="2">
        <f t="shared" si="30"/>
        <v>46</v>
      </c>
      <c r="F114" s="2">
        <v>4</v>
      </c>
      <c r="G114" s="255" t="str">
        <f t="shared" si="31"/>
        <v/>
      </c>
      <c r="H114" s="255"/>
      <c r="I114" s="231">
        <f t="shared" si="32"/>
        <v>0</v>
      </c>
      <c r="J114" s="231"/>
    </row>
    <row r="115" spans="2:16">
      <c r="B115" s="2">
        <v>18</v>
      </c>
      <c r="C115" s="3" t="s">
        <v>1594</v>
      </c>
      <c r="D115" s="2">
        <f t="shared" si="29"/>
        <v>47</v>
      </c>
      <c r="E115" s="2">
        <f t="shared" si="30"/>
        <v>50</v>
      </c>
      <c r="F115" s="2">
        <v>4</v>
      </c>
      <c r="G115" s="255" t="str">
        <f t="shared" si="31"/>
        <v/>
      </c>
      <c r="H115" s="255"/>
      <c r="I115" s="231">
        <f t="shared" si="32"/>
        <v>0</v>
      </c>
      <c r="J115" s="231"/>
    </row>
    <row r="116" spans="2:16">
      <c r="B116" s="2">
        <v>19</v>
      </c>
      <c r="C116" s="3" t="s">
        <v>1595</v>
      </c>
      <c r="D116" s="2">
        <f t="shared" si="29"/>
        <v>51</v>
      </c>
      <c r="E116" s="2">
        <f t="shared" si="30"/>
        <v>54</v>
      </c>
      <c r="F116" s="2">
        <v>4</v>
      </c>
      <c r="G116" s="255" t="str">
        <f t="shared" si="31"/>
        <v/>
      </c>
      <c r="H116" s="255"/>
      <c r="I116" s="231">
        <f t="shared" si="32"/>
        <v>0</v>
      </c>
      <c r="J116" s="231"/>
    </row>
    <row r="117" spans="2:16">
      <c r="B117" s="2">
        <v>20</v>
      </c>
      <c r="C117" s="3" t="s">
        <v>1596</v>
      </c>
      <c r="D117" s="2">
        <f t="shared" si="29"/>
        <v>55</v>
      </c>
      <c r="E117" s="2">
        <f t="shared" si="30"/>
        <v>58</v>
      </c>
      <c r="F117" s="2">
        <v>4</v>
      </c>
      <c r="G117" s="255" t="str">
        <f t="shared" si="31"/>
        <v/>
      </c>
      <c r="H117" s="255"/>
      <c r="I117" s="231">
        <f t="shared" si="32"/>
        <v>0</v>
      </c>
      <c r="J117" s="231"/>
    </row>
    <row r="118" spans="2:16">
      <c r="B118" s="2">
        <v>21</v>
      </c>
      <c r="C118" s="3" t="s">
        <v>1597</v>
      </c>
      <c r="D118" s="2">
        <f t="shared" si="29"/>
        <v>59</v>
      </c>
      <c r="E118" s="2">
        <f t="shared" si="30"/>
        <v>62</v>
      </c>
      <c r="F118" s="2">
        <v>4</v>
      </c>
      <c r="G118" s="255" t="str">
        <f t="shared" si="31"/>
        <v/>
      </c>
      <c r="H118" s="255"/>
      <c r="I118" s="231">
        <f t="shared" si="32"/>
        <v>0</v>
      </c>
      <c r="J118" s="231"/>
    </row>
    <row r="119" spans="2:16">
      <c r="B119" s="2">
        <v>22</v>
      </c>
      <c r="C119" s="3" t="s">
        <v>1598</v>
      </c>
      <c r="D119" s="2">
        <f t="shared" si="29"/>
        <v>63</v>
      </c>
      <c r="E119" s="2">
        <f t="shared" si="30"/>
        <v>66</v>
      </c>
      <c r="F119" s="2">
        <v>4</v>
      </c>
      <c r="G119" s="255" t="str">
        <f t="shared" si="31"/>
        <v/>
      </c>
      <c r="H119" s="255"/>
      <c r="I119" s="231">
        <f t="shared" si="32"/>
        <v>0</v>
      </c>
      <c r="J119" s="231"/>
    </row>
    <row r="120" spans="2:16">
      <c r="B120" s="2">
        <v>23</v>
      </c>
      <c r="C120" s="3" t="s">
        <v>1599</v>
      </c>
      <c r="D120" s="2">
        <f t="shared" si="29"/>
        <v>67</v>
      </c>
      <c r="E120" s="2">
        <f t="shared" si="30"/>
        <v>70</v>
      </c>
      <c r="F120" s="2">
        <v>4</v>
      </c>
      <c r="G120" s="255" t="str">
        <f t="shared" si="31"/>
        <v/>
      </c>
      <c r="H120" s="255"/>
      <c r="I120" s="231">
        <f t="shared" si="32"/>
        <v>0</v>
      </c>
      <c r="J120" s="231"/>
    </row>
    <row r="121" spans="2:16">
      <c r="B121" s="2">
        <v>24</v>
      </c>
      <c r="C121" s="3" t="s">
        <v>1600</v>
      </c>
      <c r="D121" s="2">
        <f t="shared" si="29"/>
        <v>71</v>
      </c>
      <c r="E121" s="2">
        <f t="shared" si="30"/>
        <v>74</v>
      </c>
      <c r="F121" s="2">
        <v>4</v>
      </c>
      <c r="G121" s="255" t="str">
        <f t="shared" si="31"/>
        <v/>
      </c>
      <c r="H121" s="255"/>
      <c r="I121" s="231">
        <f t="shared" si="32"/>
        <v>0</v>
      </c>
      <c r="J121" s="231"/>
    </row>
    <row r="122" spans="2:16">
      <c r="B122" s="2">
        <v>25</v>
      </c>
      <c r="C122" s="3" t="s">
        <v>1601</v>
      </c>
      <c r="D122" s="2">
        <f t="shared" si="29"/>
        <v>75</v>
      </c>
      <c r="E122" s="2">
        <f t="shared" si="30"/>
        <v>78</v>
      </c>
      <c r="F122" s="2">
        <v>4</v>
      </c>
      <c r="G122" s="255" t="str">
        <f t="shared" si="31"/>
        <v/>
      </c>
      <c r="H122" s="255"/>
      <c r="I122" s="231">
        <f t="shared" si="32"/>
        <v>0</v>
      </c>
      <c r="J122" s="231"/>
    </row>
    <row r="123" spans="2:16">
      <c r="B123" s="2">
        <v>26</v>
      </c>
      <c r="C123" s="3" t="s">
        <v>1602</v>
      </c>
      <c r="D123" s="2">
        <f t="shared" si="29"/>
        <v>79</v>
      </c>
      <c r="E123" s="2">
        <f t="shared" si="30"/>
        <v>79</v>
      </c>
      <c r="F123" s="2">
        <v>1</v>
      </c>
      <c r="G123" s="255" t="str">
        <f t="shared" si="31"/>
        <v/>
      </c>
      <c r="H123" s="255"/>
      <c r="I123" s="231">
        <f t="shared" si="32"/>
        <v>0</v>
      </c>
      <c r="J123" s="231"/>
      <c r="K123" s="51" t="s">
        <v>46</v>
      </c>
      <c r="L123" s="377" t="s">
        <v>1603</v>
      </c>
      <c r="M123" s="378"/>
      <c r="N123" s="378"/>
      <c r="O123" s="378"/>
      <c r="P123" s="379"/>
    </row>
    <row r="124" spans="2:16">
      <c r="B124" s="2">
        <v>27</v>
      </c>
      <c r="C124" s="3" t="s">
        <v>1604</v>
      </c>
      <c r="D124" s="2">
        <f t="shared" si="29"/>
        <v>80</v>
      </c>
      <c r="E124" s="2">
        <f t="shared" si="30"/>
        <v>83</v>
      </c>
      <c r="F124" s="2">
        <v>4</v>
      </c>
      <c r="G124" s="255" t="str">
        <f t="shared" si="31"/>
        <v/>
      </c>
      <c r="H124" s="255"/>
      <c r="I124" s="231">
        <f t="shared" si="32"/>
        <v>0</v>
      </c>
      <c r="J124" s="231"/>
      <c r="L124" s="383" t="s">
        <v>1605</v>
      </c>
      <c r="M124" s="384"/>
      <c r="N124" s="384"/>
      <c r="O124" s="384"/>
      <c r="P124" s="385"/>
    </row>
    <row r="125" spans="2:16">
      <c r="B125" s="2">
        <v>28</v>
      </c>
      <c r="C125" s="3" t="s">
        <v>1606</v>
      </c>
      <c r="D125" s="2">
        <f t="shared" si="29"/>
        <v>84</v>
      </c>
      <c r="E125" s="2">
        <f t="shared" si="30"/>
        <v>87</v>
      </c>
      <c r="F125" s="2">
        <v>4</v>
      </c>
      <c r="G125" s="255" t="str">
        <f t="shared" si="31"/>
        <v/>
      </c>
      <c r="H125" s="255"/>
      <c r="I125" s="231">
        <f t="shared" si="32"/>
        <v>0</v>
      </c>
      <c r="J125" s="231"/>
      <c r="L125" s="386"/>
      <c r="M125" s="387"/>
      <c r="N125" s="387"/>
      <c r="O125" s="387"/>
      <c r="P125" s="388"/>
    </row>
    <row r="126" spans="2:16">
      <c r="B126" s="2">
        <v>29</v>
      </c>
      <c r="C126" s="3" t="s">
        <v>1607</v>
      </c>
      <c r="D126" s="2">
        <f t="shared" si="29"/>
        <v>88</v>
      </c>
      <c r="E126" s="2">
        <f t="shared" si="30"/>
        <v>91</v>
      </c>
      <c r="F126" s="2">
        <v>4</v>
      </c>
      <c r="G126" s="255" t="str">
        <f t="shared" si="31"/>
        <v/>
      </c>
      <c r="H126" s="255"/>
      <c r="I126" s="231">
        <f t="shared" si="32"/>
        <v>0</v>
      </c>
      <c r="J126" s="231"/>
      <c r="L126" s="389"/>
      <c r="M126" s="390"/>
      <c r="N126" s="390"/>
      <c r="O126" s="390"/>
      <c r="P126" s="391"/>
    </row>
    <row r="127" spans="2:16">
      <c r="B127" s="2">
        <v>30</v>
      </c>
      <c r="C127" s="3" t="s">
        <v>1608</v>
      </c>
      <c r="D127" s="2">
        <f t="shared" si="29"/>
        <v>92</v>
      </c>
      <c r="E127" s="2">
        <f t="shared" si="30"/>
        <v>95</v>
      </c>
      <c r="F127" s="2">
        <v>4</v>
      </c>
      <c r="G127" s="255" t="str">
        <f t="shared" si="31"/>
        <v/>
      </c>
      <c r="H127" s="255"/>
      <c r="I127" s="231">
        <f t="shared" si="32"/>
        <v>0</v>
      </c>
      <c r="J127" s="231"/>
      <c r="L127" s="383" t="s">
        <v>1609</v>
      </c>
      <c r="M127" s="384"/>
      <c r="N127" s="384"/>
      <c r="O127" s="384"/>
      <c r="P127" s="385"/>
    </row>
    <row r="128" spans="2:16">
      <c r="B128" s="2">
        <v>31</v>
      </c>
      <c r="C128" s="3" t="s">
        <v>1610</v>
      </c>
      <c r="D128" s="2">
        <f t="shared" si="29"/>
        <v>96</v>
      </c>
      <c r="E128" s="2">
        <f t="shared" si="30"/>
        <v>99</v>
      </c>
      <c r="F128" s="2">
        <v>4</v>
      </c>
      <c r="G128" s="255" t="str">
        <f t="shared" si="31"/>
        <v/>
      </c>
      <c r="H128" s="255"/>
      <c r="I128" s="231">
        <f t="shared" si="32"/>
        <v>0</v>
      </c>
      <c r="J128" s="231"/>
      <c r="L128" s="386"/>
      <c r="M128" s="387"/>
      <c r="N128" s="387"/>
      <c r="O128" s="387"/>
      <c r="P128" s="388"/>
    </row>
    <row r="129" spans="1:16">
      <c r="B129" s="2">
        <v>32</v>
      </c>
      <c r="C129" s="3" t="s">
        <v>1611</v>
      </c>
      <c r="D129" s="2">
        <f t="shared" si="29"/>
        <v>100</v>
      </c>
      <c r="E129" s="2">
        <f t="shared" si="30"/>
        <v>103</v>
      </c>
      <c r="F129" s="2">
        <v>4</v>
      </c>
      <c r="G129" s="255" t="str">
        <f t="shared" si="31"/>
        <v/>
      </c>
      <c r="H129" s="255"/>
      <c r="I129" s="231">
        <f t="shared" si="32"/>
        <v>0</v>
      </c>
      <c r="J129" s="231"/>
      <c r="L129" s="389"/>
      <c r="M129" s="390"/>
      <c r="N129" s="390"/>
      <c r="O129" s="390"/>
      <c r="P129" s="391"/>
    </row>
    <row r="130" spans="1:16">
      <c r="B130" s="2">
        <v>33</v>
      </c>
      <c r="C130" s="3" t="s">
        <v>1612</v>
      </c>
      <c r="D130" s="2">
        <f t="shared" si="29"/>
        <v>104</v>
      </c>
      <c r="E130" s="2">
        <f t="shared" si="30"/>
        <v>107</v>
      </c>
      <c r="F130" s="2">
        <v>4</v>
      </c>
      <c r="G130" s="255" t="str">
        <f t="shared" si="31"/>
        <v/>
      </c>
      <c r="H130" s="255"/>
      <c r="I130" s="231">
        <f t="shared" si="32"/>
        <v>0</v>
      </c>
      <c r="J130" s="231"/>
    </row>
    <row r="131" spans="1:16">
      <c r="B131" s="2">
        <v>34</v>
      </c>
      <c r="C131" s="3" t="s">
        <v>1613</v>
      </c>
      <c r="D131" s="2">
        <f t="shared" si="29"/>
        <v>108</v>
      </c>
      <c r="E131" s="2">
        <f t="shared" si="30"/>
        <v>111</v>
      </c>
      <c r="F131" s="2">
        <v>4</v>
      </c>
      <c r="G131" s="255" t="str">
        <f t="shared" si="31"/>
        <v/>
      </c>
      <c r="H131" s="255"/>
      <c r="I131" s="231">
        <f t="shared" si="32"/>
        <v>0</v>
      </c>
      <c r="J131" s="231"/>
    </row>
    <row r="132" spans="1:16">
      <c r="B132" s="2">
        <v>35</v>
      </c>
      <c r="C132" s="3" t="s">
        <v>1614</v>
      </c>
      <c r="D132" s="2">
        <f t="shared" si="29"/>
        <v>112</v>
      </c>
      <c r="E132" s="2">
        <f t="shared" si="30"/>
        <v>115</v>
      </c>
      <c r="F132" s="2">
        <v>4</v>
      </c>
      <c r="G132" s="255" t="str">
        <f t="shared" si="31"/>
        <v/>
      </c>
      <c r="H132" s="255"/>
      <c r="I132" s="231">
        <f t="shared" si="32"/>
        <v>0</v>
      </c>
      <c r="J132" s="231"/>
    </row>
    <row r="133" spans="1:16">
      <c r="B133" s="2">
        <v>36</v>
      </c>
      <c r="C133" s="3" t="s">
        <v>1615</v>
      </c>
      <c r="D133" s="2">
        <f t="shared" si="29"/>
        <v>116</v>
      </c>
      <c r="E133" s="2">
        <f t="shared" si="30"/>
        <v>119</v>
      </c>
      <c r="F133" s="2">
        <v>4</v>
      </c>
      <c r="G133" s="255" t="str">
        <f t="shared" si="31"/>
        <v/>
      </c>
      <c r="H133" s="255"/>
      <c r="I133" s="231">
        <f t="shared" si="32"/>
        <v>0</v>
      </c>
      <c r="J133" s="231"/>
    </row>
    <row r="134" spans="1:16">
      <c r="B134" s="2">
        <v>37</v>
      </c>
      <c r="C134" s="3" t="s">
        <v>1616</v>
      </c>
      <c r="D134" s="2">
        <f t="shared" si="29"/>
        <v>120</v>
      </c>
      <c r="E134" s="2">
        <f t="shared" si="30"/>
        <v>123</v>
      </c>
      <c r="F134" s="2">
        <v>4</v>
      </c>
      <c r="G134" s="255" t="str">
        <f t="shared" si="31"/>
        <v/>
      </c>
      <c r="H134" s="255"/>
      <c r="I134" s="231">
        <f t="shared" si="32"/>
        <v>0</v>
      </c>
      <c r="J134" s="231"/>
    </row>
    <row r="135" spans="1:16">
      <c r="B135" s="2">
        <v>38</v>
      </c>
      <c r="C135" s="3" t="s">
        <v>1617</v>
      </c>
      <c r="D135" s="2">
        <f t="shared" si="29"/>
        <v>124</v>
      </c>
      <c r="E135" s="2">
        <f t="shared" si="30"/>
        <v>127</v>
      </c>
      <c r="F135" s="2">
        <v>4</v>
      </c>
      <c r="G135" s="255" t="str">
        <f t="shared" si="31"/>
        <v/>
      </c>
      <c r="H135" s="255"/>
      <c r="I135" s="231">
        <f t="shared" si="32"/>
        <v>0</v>
      </c>
      <c r="J135" s="231"/>
    </row>
    <row r="136" spans="1:16">
      <c r="B136" s="2">
        <v>39</v>
      </c>
      <c r="C136" s="3" t="s">
        <v>1618</v>
      </c>
      <c r="D136" s="2">
        <f t="shared" si="29"/>
        <v>128</v>
      </c>
      <c r="E136" s="2">
        <f t="shared" si="30"/>
        <v>131</v>
      </c>
      <c r="F136" s="2">
        <v>4</v>
      </c>
      <c r="G136" s="255" t="str">
        <f t="shared" si="31"/>
        <v/>
      </c>
      <c r="H136" s="255"/>
      <c r="I136" s="231">
        <f t="shared" si="32"/>
        <v>0</v>
      </c>
      <c r="J136" s="231"/>
    </row>
    <row r="137" spans="1:16">
      <c r="B137" s="2">
        <v>40</v>
      </c>
      <c r="C137" s="3" t="s">
        <v>1619</v>
      </c>
      <c r="D137" s="2">
        <f t="shared" si="29"/>
        <v>132</v>
      </c>
      <c r="E137" s="2">
        <f t="shared" si="30"/>
        <v>135</v>
      </c>
      <c r="F137" s="2">
        <v>4</v>
      </c>
      <c r="G137" s="255" t="str">
        <f t="shared" si="31"/>
        <v/>
      </c>
      <c r="H137" s="255"/>
      <c r="I137" s="231">
        <f t="shared" si="32"/>
        <v>0</v>
      </c>
      <c r="J137" s="231"/>
    </row>
    <row r="138" spans="1:16">
      <c r="B138" s="2">
        <v>41</v>
      </c>
      <c r="C138" s="3" t="s">
        <v>1620</v>
      </c>
      <c r="D138" s="2">
        <f t="shared" si="29"/>
        <v>136</v>
      </c>
      <c r="E138" s="2">
        <f t="shared" si="30"/>
        <v>139</v>
      </c>
      <c r="F138" s="2">
        <v>4</v>
      </c>
      <c r="G138" s="255" t="str">
        <f t="shared" si="31"/>
        <v/>
      </c>
      <c r="H138" s="255"/>
      <c r="I138" s="231">
        <f t="shared" si="32"/>
        <v>0</v>
      </c>
      <c r="J138" s="231"/>
    </row>
    <row r="139" spans="1:16">
      <c r="B139" s="2">
        <v>42</v>
      </c>
      <c r="C139" s="3" t="s">
        <v>1621</v>
      </c>
      <c r="D139" s="2">
        <f t="shared" si="29"/>
        <v>140</v>
      </c>
      <c r="E139" s="2">
        <f t="shared" si="30"/>
        <v>143</v>
      </c>
      <c r="F139" s="2">
        <v>4</v>
      </c>
      <c r="G139" s="255" t="str">
        <f t="shared" si="31"/>
        <v/>
      </c>
      <c r="H139" s="255"/>
      <c r="I139" s="231">
        <f t="shared" si="32"/>
        <v>0</v>
      </c>
      <c r="J139" s="231"/>
    </row>
    <row r="140" spans="1:16">
      <c r="B140" s="2">
        <v>43</v>
      </c>
      <c r="C140" s="3" t="s">
        <v>1622</v>
      </c>
      <c r="D140" s="2">
        <f t="shared" si="29"/>
        <v>144</v>
      </c>
      <c r="E140" s="2">
        <f t="shared" si="30"/>
        <v>147</v>
      </c>
      <c r="F140" s="2">
        <v>4</v>
      </c>
      <c r="G140" s="255" t="str">
        <f t="shared" si="31"/>
        <v/>
      </c>
      <c r="H140" s="255"/>
      <c r="I140" s="231">
        <f t="shared" si="32"/>
        <v>0</v>
      </c>
      <c r="J140" s="231"/>
    </row>
    <row r="141" spans="1:16">
      <c r="B141" s="54" t="s">
        <v>1574</v>
      </c>
    </row>
    <row r="142" spans="1:16">
      <c r="B142" s="52"/>
    </row>
    <row r="144" spans="1:16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</row>
    <row r="145" spans="2:16" ht="18.75">
      <c r="B145" s="14" t="s">
        <v>1623</v>
      </c>
    </row>
    <row r="147" spans="2:16">
      <c r="B147" s="7" t="s">
        <v>1104</v>
      </c>
      <c r="C147" s="163"/>
    </row>
    <row r="149" spans="2:16">
      <c r="B149" s="15" t="s">
        <v>1105</v>
      </c>
      <c r="C149" s="15" t="s">
        <v>1106</v>
      </c>
      <c r="D149" s="15" t="s">
        <v>1107</v>
      </c>
      <c r="E149" s="15" t="s">
        <v>1108</v>
      </c>
      <c r="F149" s="15" t="s">
        <v>1109</v>
      </c>
      <c r="G149" s="307" t="s">
        <v>1110</v>
      </c>
      <c r="H149" s="307"/>
      <c r="I149" s="307" t="s">
        <v>1111</v>
      </c>
      <c r="J149" s="307"/>
      <c r="L149" s="293" t="s">
        <v>1112</v>
      </c>
      <c r="M149" s="294"/>
      <c r="N149" s="295"/>
    </row>
    <row r="150" spans="2:16">
      <c r="B150" s="2">
        <v>1</v>
      </c>
      <c r="C150" s="3" t="s">
        <v>1113</v>
      </c>
      <c r="D150" s="2">
        <v>1</v>
      </c>
      <c r="E150" s="2">
        <f>D150+F150-1</f>
        <v>1</v>
      </c>
      <c r="F150" s="2">
        <v>1</v>
      </c>
      <c r="G150" s="2" t="str">
        <f>TRIM(MID($C$147,1,1))</f>
        <v/>
      </c>
      <c r="H150" s="2" t="str">
        <f>TRIM(MID($C$147,2,1))</f>
        <v/>
      </c>
      <c r="I150" s="2">
        <f>HEX2DEC(SUBSTITUTE(G150," ",""))</f>
        <v>0</v>
      </c>
      <c r="J150" s="2">
        <f>HEX2DEC(SUBSTITUTE(H150," ",""))</f>
        <v>0</v>
      </c>
      <c r="L150" s="69" t="str">
        <f>IF(MOD(INT(HEX2BIN(G150,4)/(2^(3-1))),2)=1,CONCATENATE("This is a Retry"),CONCATENATE("This is NOT a Retry"))</f>
        <v>This is NOT a Retry</v>
      </c>
      <c r="M150" s="68"/>
      <c r="N150" s="68"/>
    </row>
    <row r="151" spans="2:16">
      <c r="B151" s="2">
        <v>2</v>
      </c>
      <c r="C151" s="3" t="s">
        <v>1205</v>
      </c>
      <c r="D151" s="2">
        <f t="shared" ref="D151:D158" si="33">E150+1</f>
        <v>2</v>
      </c>
      <c r="E151" s="2">
        <f>D151+F151-1</f>
        <v>2</v>
      </c>
      <c r="F151" s="2">
        <v>1</v>
      </c>
      <c r="G151" s="2" t="str">
        <f>TRIM(MID($C$147,4,1))</f>
        <v/>
      </c>
      <c r="H151" s="2" t="str">
        <f>TRIM(MID($C$147,5,1))</f>
        <v/>
      </c>
      <c r="I151" s="2">
        <f>HEX2DEC(SUBSTITUTE(G151," ",""))</f>
        <v>0</v>
      </c>
      <c r="J151" s="2">
        <f>HEX2DEC(SUBSTITUTE(H151," ",""))</f>
        <v>0</v>
      </c>
      <c r="L151" s="69" t="str">
        <f>IF(ISNA(VLOOKUP(CONCATENATE(G151,H151),'IGS Configuration Values'!$B$127:$D$129,2,FALSE))=TRUE,"Invalid Type/Subtype",VLOOKUP(CONCATENATE(G151,H151),'IGS Configuration Values'!$B$127:$D$129,2,FALSE))</f>
        <v>Invalid Type/Subtype</v>
      </c>
      <c r="M151" s="68"/>
      <c r="N151" s="68"/>
    </row>
    <row r="152" spans="2:16">
      <c r="B152" s="2">
        <v>3</v>
      </c>
      <c r="C152" s="3" t="s">
        <v>1115</v>
      </c>
      <c r="D152" s="2">
        <f t="shared" si="33"/>
        <v>3</v>
      </c>
      <c r="E152" s="2">
        <f t="shared" ref="E152:E158" si="34">D152+F152-1</f>
        <v>4</v>
      </c>
      <c r="F152" s="2">
        <v>2</v>
      </c>
      <c r="G152" s="255" t="str">
        <f>TRIM(MID($C$147,(D152-1)*3+1,F152*3))</f>
        <v/>
      </c>
      <c r="H152" s="255"/>
      <c r="I152" s="231">
        <f t="shared" ref="I152:I163" si="35">HEX2DEC(SUBSTITUTE(G152," ",""))</f>
        <v>0</v>
      </c>
      <c r="J152" s="231"/>
    </row>
    <row r="153" spans="2:16">
      <c r="B153" s="2">
        <v>4</v>
      </c>
      <c r="C153" s="3" t="s">
        <v>1413</v>
      </c>
      <c r="D153" s="2">
        <f t="shared" si="33"/>
        <v>5</v>
      </c>
      <c r="E153" s="2">
        <f t="shared" si="34"/>
        <v>7</v>
      </c>
      <c r="F153" s="2">
        <v>3</v>
      </c>
      <c r="G153" s="255" t="str">
        <f t="shared" ref="G153:G163" si="36">TRIM(MID($C$147,(D153-1)*3+1,F153*3))</f>
        <v/>
      </c>
      <c r="H153" s="255"/>
      <c r="I153" s="231" t="str">
        <f>CONCATENATE(TEXT(HEX2DEC(SUBSTITUTE(MID(G153,1,2)," ","")),"00"),":",TEXT(HEX2DEC(SUBSTITUTE(MID(G153,4,2)," ","")),"00"),":",TEXT(HEX2DEC(SUBSTITUTE(MID(G153,7,2)," ","")),"00"))</f>
        <v>00:00:00</v>
      </c>
      <c r="J153" s="231"/>
    </row>
    <row r="154" spans="2:16">
      <c r="B154" s="2">
        <v>5</v>
      </c>
      <c r="C154" s="3" t="s">
        <v>1537</v>
      </c>
      <c r="D154" s="2">
        <f t="shared" si="33"/>
        <v>8</v>
      </c>
      <c r="E154" s="2">
        <f t="shared" si="34"/>
        <v>8</v>
      </c>
      <c r="F154" s="2">
        <v>1</v>
      </c>
      <c r="G154" s="255" t="str">
        <f t="shared" si="36"/>
        <v/>
      </c>
      <c r="H154" s="255"/>
      <c r="I154" s="231">
        <f t="shared" si="35"/>
        <v>0</v>
      </c>
      <c r="J154" s="231"/>
    </row>
    <row r="155" spans="2:16">
      <c r="B155" s="2">
        <v>6</v>
      </c>
      <c r="C155" s="3" t="s">
        <v>1402</v>
      </c>
      <c r="D155" s="2">
        <f t="shared" si="33"/>
        <v>9</v>
      </c>
      <c r="E155" s="2">
        <f t="shared" si="34"/>
        <v>9</v>
      </c>
      <c r="F155" s="2">
        <v>1</v>
      </c>
      <c r="G155" s="255" t="str">
        <f t="shared" si="36"/>
        <v/>
      </c>
      <c r="H155" s="255"/>
      <c r="I155" s="231">
        <f t="shared" si="35"/>
        <v>0</v>
      </c>
      <c r="J155" s="231"/>
      <c r="L155" s="69" t="str">
        <f>IF(ISNA(VLOOKUP(G155,'IGS Configuration Values'!$B$190:$D$193,2,FALSE))=TRUE,"Invalid Subclass",VLOOKUP(G155,'IGS Configuration Values'!$B$190:$D$193,2,FALSE))</f>
        <v>Invalid Subclass</v>
      </c>
      <c r="M155" s="68"/>
      <c r="N155" s="68"/>
      <c r="O155" s="68"/>
      <c r="P155" s="68"/>
    </row>
    <row r="156" spans="2:16">
      <c r="B156" s="2">
        <v>7</v>
      </c>
      <c r="C156" s="3" t="s">
        <v>1541</v>
      </c>
      <c r="D156" s="2">
        <f t="shared" si="33"/>
        <v>10</v>
      </c>
      <c r="E156" s="2">
        <f t="shared" si="34"/>
        <v>10</v>
      </c>
      <c r="F156" s="2">
        <v>1</v>
      </c>
      <c r="G156" s="255" t="str">
        <f t="shared" si="36"/>
        <v/>
      </c>
      <c r="H156" s="255"/>
      <c r="I156" s="231">
        <f t="shared" si="35"/>
        <v>0</v>
      </c>
      <c r="J156" s="231"/>
    </row>
    <row r="157" spans="2:16">
      <c r="B157" s="2">
        <v>8</v>
      </c>
      <c r="C157" s="3" t="s">
        <v>1543</v>
      </c>
      <c r="D157" s="2">
        <f t="shared" si="33"/>
        <v>11</v>
      </c>
      <c r="E157" s="2">
        <f t="shared" si="34"/>
        <v>12</v>
      </c>
      <c r="F157" s="2">
        <v>2</v>
      </c>
      <c r="G157" s="255" t="str">
        <f t="shared" si="36"/>
        <v/>
      </c>
      <c r="H157" s="255"/>
      <c r="I157" s="231">
        <f t="shared" si="35"/>
        <v>0</v>
      </c>
      <c r="J157" s="231"/>
    </row>
    <row r="158" spans="2:16">
      <c r="B158" s="2">
        <v>9</v>
      </c>
      <c r="C158" s="3" t="s">
        <v>1122</v>
      </c>
      <c r="D158" s="2">
        <f t="shared" si="33"/>
        <v>13</v>
      </c>
      <c r="E158" s="2">
        <f t="shared" si="34"/>
        <v>16</v>
      </c>
      <c r="F158" s="2">
        <v>4</v>
      </c>
      <c r="G158" s="255" t="str">
        <f t="shared" si="36"/>
        <v/>
      </c>
      <c r="H158" s="255"/>
      <c r="I158" s="231">
        <f t="shared" si="35"/>
        <v>0</v>
      </c>
      <c r="J158" s="231"/>
    </row>
    <row r="159" spans="2:16">
      <c r="B159" s="2">
        <v>10</v>
      </c>
      <c r="C159" s="3" t="s">
        <v>1624</v>
      </c>
      <c r="D159" s="2">
        <f t="shared" ref="D159:D164" si="37">E158+1</f>
        <v>17</v>
      </c>
      <c r="E159" s="2">
        <f t="shared" ref="E159:E164" si="38">D159+F159-1</f>
        <v>20</v>
      </c>
      <c r="F159" s="2">
        <v>4</v>
      </c>
      <c r="G159" s="255" t="str">
        <f t="shared" si="36"/>
        <v/>
      </c>
      <c r="H159" s="255"/>
      <c r="I159" s="231">
        <f t="shared" si="35"/>
        <v>0</v>
      </c>
      <c r="J159" s="231"/>
    </row>
    <row r="160" spans="2:16">
      <c r="B160" s="2">
        <v>11</v>
      </c>
      <c r="C160" s="3" t="s">
        <v>1625</v>
      </c>
      <c r="D160" s="2">
        <f t="shared" si="37"/>
        <v>21</v>
      </c>
      <c r="E160" s="2">
        <f t="shared" si="38"/>
        <v>24</v>
      </c>
      <c r="F160" s="2">
        <v>4</v>
      </c>
      <c r="G160" s="255" t="str">
        <f t="shared" si="36"/>
        <v/>
      </c>
      <c r="H160" s="255"/>
      <c r="I160" s="231">
        <f t="shared" si="35"/>
        <v>0</v>
      </c>
      <c r="J160" s="231"/>
    </row>
    <row r="161" spans="1:14">
      <c r="B161" s="2">
        <v>12</v>
      </c>
      <c r="C161" s="3" t="s">
        <v>1626</v>
      </c>
      <c r="D161" s="2">
        <f t="shared" si="37"/>
        <v>25</v>
      </c>
      <c r="E161" s="2">
        <f t="shared" si="38"/>
        <v>28</v>
      </c>
      <c r="F161" s="2">
        <v>4</v>
      </c>
      <c r="G161" s="255" t="str">
        <f t="shared" si="36"/>
        <v/>
      </c>
      <c r="H161" s="255"/>
      <c r="I161" s="231">
        <f t="shared" si="35"/>
        <v>0</v>
      </c>
      <c r="J161" s="231"/>
    </row>
    <row r="162" spans="1:14">
      <c r="B162" s="2">
        <v>13</v>
      </c>
      <c r="C162" s="3" t="s">
        <v>1627</v>
      </c>
      <c r="D162" s="2">
        <f t="shared" si="37"/>
        <v>29</v>
      </c>
      <c r="E162" s="2">
        <f t="shared" si="38"/>
        <v>32</v>
      </c>
      <c r="F162" s="2">
        <v>4</v>
      </c>
      <c r="G162" s="255" t="str">
        <f t="shared" si="36"/>
        <v/>
      </c>
      <c r="H162" s="255"/>
      <c r="I162" s="231">
        <f t="shared" si="35"/>
        <v>0</v>
      </c>
      <c r="J162" s="231"/>
    </row>
    <row r="163" spans="1:14">
      <c r="B163" s="2">
        <v>14</v>
      </c>
      <c r="C163" s="3" t="s">
        <v>1628</v>
      </c>
      <c r="D163" s="2">
        <f t="shared" si="37"/>
        <v>33</v>
      </c>
      <c r="E163" s="2">
        <f t="shared" si="38"/>
        <v>36</v>
      </c>
      <c r="F163" s="2">
        <v>4</v>
      </c>
      <c r="G163" s="255" t="str">
        <f t="shared" si="36"/>
        <v/>
      </c>
      <c r="H163" s="255"/>
      <c r="I163" s="231">
        <f t="shared" si="35"/>
        <v>0</v>
      </c>
      <c r="J163" s="231"/>
    </row>
    <row r="164" spans="1:14">
      <c r="B164" s="2">
        <v>15</v>
      </c>
      <c r="C164" s="3" t="s">
        <v>1629</v>
      </c>
      <c r="D164" s="2">
        <f t="shared" si="37"/>
        <v>37</v>
      </c>
      <c r="E164" s="2">
        <f t="shared" si="38"/>
        <v>44</v>
      </c>
      <c r="F164" s="2">
        <v>8</v>
      </c>
      <c r="G164" s="2" t="str">
        <f>TRIM(MID($C$147,(D164-1)*3+1,F164*3/2))</f>
        <v/>
      </c>
      <c r="H164" s="2" t="str">
        <f>TRIM(MID($C$147,(D164+4-1)*3+1,F164*3/2))</f>
        <v/>
      </c>
      <c r="I164" s="324">
        <f>(HEX2DEC(SUBSTITUTE(G164," ",""))*2^32+HEX2DEC(SUBSTITUTE(H164," ","")))</f>
        <v>0</v>
      </c>
      <c r="J164" s="325"/>
    </row>
    <row r="165" spans="1:14">
      <c r="B165" s="54" t="s">
        <v>1574</v>
      </c>
    </row>
    <row r="166" spans="1:14">
      <c r="B166" s="54" t="s">
        <v>1575</v>
      </c>
    </row>
    <row r="167" spans="1:14">
      <c r="B167" s="52"/>
    </row>
    <row r="169" spans="1:14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</row>
    <row r="170" spans="1:14" ht="18.75">
      <c r="B170" s="14" t="s">
        <v>1630</v>
      </c>
    </row>
    <row r="172" spans="1:14">
      <c r="B172" s="7" t="s">
        <v>1104</v>
      </c>
      <c r="C172" s="163"/>
    </row>
    <row r="174" spans="1:14">
      <c r="B174" s="15" t="s">
        <v>1105</v>
      </c>
      <c r="C174" s="15" t="s">
        <v>1106</v>
      </c>
      <c r="D174" s="15" t="s">
        <v>1107</v>
      </c>
      <c r="E174" s="15" t="s">
        <v>1108</v>
      </c>
      <c r="F174" s="15" t="s">
        <v>1109</v>
      </c>
      <c r="G174" s="307" t="s">
        <v>1110</v>
      </c>
      <c r="H174" s="307"/>
      <c r="I174" s="307" t="s">
        <v>1111</v>
      </c>
      <c r="J174" s="307"/>
      <c r="L174" s="293" t="s">
        <v>1112</v>
      </c>
      <c r="M174" s="294"/>
      <c r="N174" s="295"/>
    </row>
    <row r="175" spans="1:14">
      <c r="B175" s="2">
        <v>1</v>
      </c>
      <c r="C175" s="3" t="s">
        <v>1113</v>
      </c>
      <c r="D175" s="2">
        <v>1</v>
      </c>
      <c r="E175" s="2">
        <f t="shared" ref="E175:E181" si="39">D175+F175-1</f>
        <v>1</v>
      </c>
      <c r="F175" s="2">
        <v>1</v>
      </c>
      <c r="G175" s="2" t="str">
        <f>TRIM(MID($C$172,1,1))</f>
        <v/>
      </c>
      <c r="H175" s="2" t="str">
        <f>TRIM(MID($C$172,2,1))</f>
        <v/>
      </c>
      <c r="I175" s="2">
        <f>HEX2DEC(SUBSTITUTE(G175," ",""))</f>
        <v>0</v>
      </c>
      <c r="J175" s="2">
        <f>HEX2DEC(SUBSTITUTE(H175," ",""))</f>
        <v>0</v>
      </c>
      <c r="L175" s="69" t="str">
        <f>IF(MOD(INT(HEX2BIN(G175,4)/(2^(3-1))),2)=1,CONCATENATE("This is a Retry"),CONCATENATE("This is NOT a Retry"))</f>
        <v>This is NOT a Retry</v>
      </c>
      <c r="M175" s="68"/>
      <c r="N175" s="68"/>
    </row>
    <row r="176" spans="1:14">
      <c r="B176" s="2">
        <v>2</v>
      </c>
      <c r="C176" s="3" t="s">
        <v>1631</v>
      </c>
      <c r="D176" s="2">
        <f t="shared" ref="D176:D181" si="40">E175+1</f>
        <v>2</v>
      </c>
      <c r="E176" s="2">
        <f t="shared" si="39"/>
        <v>2</v>
      </c>
      <c r="F176" s="2">
        <v>1</v>
      </c>
      <c r="G176" s="2" t="str">
        <f>TRIM(MID($C$172,4,1))</f>
        <v/>
      </c>
      <c r="H176" s="2" t="str">
        <f>TRIM(MID($C$172,5,1))</f>
        <v/>
      </c>
      <c r="I176" s="2">
        <f>HEX2DEC(SUBSTITUTE(G176," ",""))</f>
        <v>0</v>
      </c>
      <c r="J176" s="2">
        <f>HEX2DEC(SUBSTITUTE(H176," ",""))</f>
        <v>0</v>
      </c>
      <c r="L176" s="69" t="str">
        <f>IF(ISNA(VLOOKUP(CONCATENATE(G176,H176),'IGS Configuration Values'!$B$127:$D$129,2,FALSE))=TRUE,"Invalid Type/Subtype",VLOOKUP(CONCATENATE(G176,H176),'IGS Configuration Values'!$B$127:$D$129,2,FALSE))</f>
        <v>Invalid Type/Subtype</v>
      </c>
      <c r="M176" s="68"/>
      <c r="N176" s="68"/>
    </row>
    <row r="177" spans="2:14">
      <c r="B177" s="2">
        <v>3</v>
      </c>
      <c r="C177" s="3" t="s">
        <v>1115</v>
      </c>
      <c r="D177" s="2">
        <f t="shared" si="40"/>
        <v>3</v>
      </c>
      <c r="E177" s="2">
        <f t="shared" si="39"/>
        <v>4</v>
      </c>
      <c r="F177" s="2">
        <v>2</v>
      </c>
      <c r="G177" s="255" t="str">
        <f>TRIM(MID($C$172,(D177-1)*3+1,F177*3))</f>
        <v/>
      </c>
      <c r="H177" s="255"/>
      <c r="I177" s="231">
        <f>HEX2DEC(SUBSTITUTE(G177," ",""))</f>
        <v>0</v>
      </c>
      <c r="J177" s="231"/>
    </row>
    <row r="178" spans="2:14">
      <c r="B178" s="2">
        <v>4</v>
      </c>
      <c r="C178" s="3" t="s">
        <v>1632</v>
      </c>
      <c r="D178" s="2">
        <f t="shared" si="40"/>
        <v>5</v>
      </c>
      <c r="E178" s="2">
        <f t="shared" si="39"/>
        <v>5</v>
      </c>
      <c r="F178" s="2">
        <v>1</v>
      </c>
      <c r="G178" s="255" t="str">
        <f>TRIM(MID($C$172,(D178-1)*3+1,F178*3))</f>
        <v/>
      </c>
      <c r="H178" s="255"/>
      <c r="I178" s="231">
        <f>HEX2DEC(SUBSTITUTE(G178," ",""))</f>
        <v>0</v>
      </c>
      <c r="J178" s="231"/>
    </row>
    <row r="179" spans="2:14">
      <c r="B179" s="2">
        <v>5</v>
      </c>
      <c r="C179" s="3" t="s">
        <v>1400</v>
      </c>
      <c r="D179" s="2">
        <f t="shared" si="40"/>
        <v>6</v>
      </c>
      <c r="E179" s="2">
        <f t="shared" si="39"/>
        <v>6</v>
      </c>
      <c r="F179" s="2">
        <v>1</v>
      </c>
      <c r="G179" s="255" t="str">
        <f>TRIM(MID($C$172,(D179-1)*3+1,F179*3))</f>
        <v/>
      </c>
      <c r="H179" s="255"/>
      <c r="I179" s="231">
        <f>HEX2DEC(SUBSTITUTE(G179," ",""))</f>
        <v>0</v>
      </c>
      <c r="J179" s="231"/>
    </row>
    <row r="180" spans="2:14">
      <c r="B180" s="2">
        <v>6</v>
      </c>
      <c r="C180" s="3" t="s">
        <v>1402</v>
      </c>
      <c r="D180" s="2">
        <f t="shared" si="40"/>
        <v>7</v>
      </c>
      <c r="E180" s="2">
        <f t="shared" si="39"/>
        <v>7</v>
      </c>
      <c r="F180" s="2">
        <v>1</v>
      </c>
      <c r="G180" s="255" t="str">
        <f>TRIM(MID($C$172,(D180-1)*3+1,F180*3))</f>
        <v/>
      </c>
      <c r="H180" s="255"/>
      <c r="I180" s="231">
        <f>HEX2DEC(SUBSTITUTE(G180," ",""))</f>
        <v>0</v>
      </c>
      <c r="J180" s="231"/>
    </row>
    <row r="181" spans="2:14">
      <c r="B181" s="2">
        <v>7</v>
      </c>
      <c r="C181" s="3" t="s">
        <v>1633</v>
      </c>
      <c r="D181" s="2">
        <f t="shared" si="40"/>
        <v>8</v>
      </c>
      <c r="E181" s="2">
        <f t="shared" si="39"/>
        <v>8</v>
      </c>
      <c r="F181" s="2">
        <v>1</v>
      </c>
      <c r="G181" s="255" t="str">
        <f>TRIM(MID($C$172,(D181-1)*3+1,F181*3))</f>
        <v/>
      </c>
      <c r="H181" s="255"/>
      <c r="I181" s="231">
        <f>HEX2DEC(SUBSTITUTE(G181," ",""))</f>
        <v>0</v>
      </c>
      <c r="J181" s="231"/>
      <c r="L181" s="69" t="str">
        <f>IF(ISNA(VLOOKUP(G181,'IGS Configuration Values'!B198:D198,2,FALSE))=TRUE,"Invalid Error Code",VLOOKUP(G181,'IGS Configuration Values'!B198:D198,2,FALSE))</f>
        <v>Invalid Error Code</v>
      </c>
      <c r="M181" s="68"/>
      <c r="N181" s="68"/>
    </row>
    <row r="182" spans="2:14">
      <c r="L182" s="377" t="s">
        <v>1634</v>
      </c>
      <c r="M182" s="378"/>
      <c r="N182" s="379"/>
    </row>
    <row r="183" spans="2:14">
      <c r="L183" s="55" t="s">
        <v>1635</v>
      </c>
      <c r="M183" s="49"/>
      <c r="N183" s="50"/>
    </row>
  </sheetData>
  <mergeCells count="249"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7:H97"/>
    <mergeCell ref="I97:J97"/>
    <mergeCell ref="G100:H100"/>
    <mergeCell ref="I100:J100"/>
    <mergeCell ref="G101:H101"/>
    <mergeCell ref="I101:J101"/>
    <mergeCell ref="G86:H86"/>
    <mergeCell ref="G87:H87"/>
    <mergeCell ref="G88:H88"/>
    <mergeCell ref="I81:J81"/>
    <mergeCell ref="I82:J82"/>
    <mergeCell ref="I83:J83"/>
    <mergeCell ref="I84:J84"/>
    <mergeCell ref="I85:J85"/>
    <mergeCell ref="I86:J86"/>
    <mergeCell ref="I87:J87"/>
    <mergeCell ref="I88:J88"/>
    <mergeCell ref="G81:H81"/>
    <mergeCell ref="G82:H82"/>
    <mergeCell ref="G83:H83"/>
    <mergeCell ref="G84:H84"/>
    <mergeCell ref="G85:H85"/>
    <mergeCell ref="G80:H80"/>
    <mergeCell ref="I80:J80"/>
    <mergeCell ref="G27:H27"/>
    <mergeCell ref="I27:J27"/>
    <mergeCell ref="G75:H75"/>
    <mergeCell ref="I75:J75"/>
    <mergeCell ref="G77:H77"/>
    <mergeCell ref="I77:J77"/>
    <mergeCell ref="G78:H78"/>
    <mergeCell ref="I78:J78"/>
    <mergeCell ref="G79:H79"/>
    <mergeCell ref="I79:J79"/>
    <mergeCell ref="G71:H71"/>
    <mergeCell ref="I71:J71"/>
    <mergeCell ref="G74:H74"/>
    <mergeCell ref="I74:J74"/>
    <mergeCell ref="G76:H76"/>
    <mergeCell ref="I76:J76"/>
    <mergeCell ref="I52:J52"/>
    <mergeCell ref="I59:J59"/>
    <mergeCell ref="I60:J60"/>
    <mergeCell ref="G49:H49"/>
    <mergeCell ref="I49:J49"/>
    <mergeCell ref="G50:H50"/>
    <mergeCell ref="I50:J50"/>
    <mergeCell ref="G51:H51"/>
    <mergeCell ref="I51:J51"/>
    <mergeCell ref="I46:J46"/>
    <mergeCell ref="G47:H47"/>
    <mergeCell ref="I47:J47"/>
    <mergeCell ref="G48:H48"/>
    <mergeCell ref="I48:J48"/>
    <mergeCell ref="G43:H43"/>
    <mergeCell ref="I43:J43"/>
    <mergeCell ref="G44:H44"/>
    <mergeCell ref="I44:J44"/>
    <mergeCell ref="G45:H45"/>
    <mergeCell ref="I45:J45"/>
    <mergeCell ref="I40:J40"/>
    <mergeCell ref="G41:H41"/>
    <mergeCell ref="I41:J41"/>
    <mergeCell ref="G42:H42"/>
    <mergeCell ref="I42:J42"/>
    <mergeCell ref="G37:H37"/>
    <mergeCell ref="I37:J37"/>
    <mergeCell ref="G38:H38"/>
    <mergeCell ref="I38:J38"/>
    <mergeCell ref="G39:H39"/>
    <mergeCell ref="I39:J39"/>
    <mergeCell ref="G34:H34"/>
    <mergeCell ref="I34:J34"/>
    <mergeCell ref="G35:H35"/>
    <mergeCell ref="I35:J35"/>
    <mergeCell ref="G36:H36"/>
    <mergeCell ref="I36:J36"/>
    <mergeCell ref="G31:H31"/>
    <mergeCell ref="I31:J31"/>
    <mergeCell ref="G32:H32"/>
    <mergeCell ref="I32:J32"/>
    <mergeCell ref="G33:H33"/>
    <mergeCell ref="I33:J33"/>
    <mergeCell ref="G30:H30"/>
    <mergeCell ref="I30:J30"/>
    <mergeCell ref="G10:H10"/>
    <mergeCell ref="I10:J10"/>
    <mergeCell ref="G23:H23"/>
    <mergeCell ref="I23:J23"/>
    <mergeCell ref="G26:H26"/>
    <mergeCell ref="I26:J26"/>
    <mergeCell ref="G14:H14"/>
    <mergeCell ref="I14:J14"/>
    <mergeCell ref="G15:H15"/>
    <mergeCell ref="I15:J15"/>
    <mergeCell ref="G124:H124"/>
    <mergeCell ref="I124:J124"/>
    <mergeCell ref="G125:H125"/>
    <mergeCell ref="I125:J125"/>
    <mergeCell ref="G132:H132"/>
    <mergeCell ref="I132:J132"/>
    <mergeCell ref="G133:H133"/>
    <mergeCell ref="T5:X5"/>
    <mergeCell ref="T8:X8"/>
    <mergeCell ref="G11:H11"/>
    <mergeCell ref="I11:J11"/>
    <mergeCell ref="G12:H12"/>
    <mergeCell ref="I12:J12"/>
    <mergeCell ref="G13:H13"/>
    <mergeCell ref="I13:J13"/>
    <mergeCell ref="G6:H6"/>
    <mergeCell ref="I6:J6"/>
    <mergeCell ref="G9:H9"/>
    <mergeCell ref="I9:J9"/>
    <mergeCell ref="L6:N6"/>
    <mergeCell ref="G28:H28"/>
    <mergeCell ref="I28:J28"/>
    <mergeCell ref="G29:H29"/>
    <mergeCell ref="I29:J29"/>
    <mergeCell ref="G162:H162"/>
    <mergeCell ref="G163:H163"/>
    <mergeCell ref="I159:J159"/>
    <mergeCell ref="I160:J160"/>
    <mergeCell ref="I161:J161"/>
    <mergeCell ref="I162:J162"/>
    <mergeCell ref="I163:J163"/>
    <mergeCell ref="L123:P123"/>
    <mergeCell ref="L124:P126"/>
    <mergeCell ref="L127:P129"/>
    <mergeCell ref="G149:H149"/>
    <mergeCell ref="I149:J149"/>
    <mergeCell ref="G152:H152"/>
    <mergeCell ref="I152:J152"/>
    <mergeCell ref="G153:H153"/>
    <mergeCell ref="I153:J153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56:H156"/>
    <mergeCell ref="I156:J156"/>
    <mergeCell ref="G157:H157"/>
    <mergeCell ref="I157:J157"/>
    <mergeCell ref="G158:H158"/>
    <mergeCell ref="I158:J158"/>
    <mergeCell ref="G159:H159"/>
    <mergeCell ref="G160:H160"/>
    <mergeCell ref="G161:H161"/>
    <mergeCell ref="I58:J58"/>
    <mergeCell ref="L23:N23"/>
    <mergeCell ref="L71:N71"/>
    <mergeCell ref="L97:N97"/>
    <mergeCell ref="L149:N149"/>
    <mergeCell ref="L174:N174"/>
    <mergeCell ref="G181:H181"/>
    <mergeCell ref="I181:J181"/>
    <mergeCell ref="L182:N182"/>
    <mergeCell ref="G174:H174"/>
    <mergeCell ref="I174:J174"/>
    <mergeCell ref="G177:H177"/>
    <mergeCell ref="I177:J177"/>
    <mergeCell ref="G178:H178"/>
    <mergeCell ref="I178:J178"/>
    <mergeCell ref="G179:H179"/>
    <mergeCell ref="I179:J179"/>
    <mergeCell ref="G180:H180"/>
    <mergeCell ref="I180:J180"/>
    <mergeCell ref="I164:J164"/>
    <mergeCell ref="G154:H154"/>
    <mergeCell ref="I154:J154"/>
    <mergeCell ref="G155:H155"/>
    <mergeCell ref="I155:J155"/>
    <mergeCell ref="G53:H53"/>
    <mergeCell ref="I53:J53"/>
    <mergeCell ref="G54:H54"/>
    <mergeCell ref="G55:H55"/>
    <mergeCell ref="G56:H56"/>
    <mergeCell ref="G57:H57"/>
    <mergeCell ref="I54:J54"/>
    <mergeCell ref="I55:J55"/>
    <mergeCell ref="I56:J56"/>
    <mergeCell ref="I57:J57"/>
  </mergeCell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olha12">
    <tabColor theme="5" tint="-0.249977111117893"/>
  </sheetPr>
  <dimension ref="A1:N249"/>
  <sheetViews>
    <sheetView topLeftCell="B4" workbookViewId="0">
      <selection activeCell="I256" sqref="I256"/>
    </sheetView>
  </sheetViews>
  <sheetFormatPr defaultRowHeight="15" outlineLevelRow="1"/>
  <cols>
    <col min="1" max="1" width="2.140625" customWidth="1"/>
    <col min="2" max="2" width="17.85546875" customWidth="1"/>
    <col min="3" max="3" width="31" customWidth="1"/>
    <col min="4" max="4" width="5.140625" bestFit="1" customWidth="1"/>
    <col min="5" max="5" width="4.28515625" bestFit="1" customWidth="1"/>
    <col min="6" max="6" width="4.5703125" bestFit="1" customWidth="1"/>
    <col min="7" max="8" width="15.140625" customWidth="1"/>
    <col min="9" max="9" width="21.42578125" bestFit="1" customWidth="1"/>
    <col min="10" max="10" width="24.85546875" bestFit="1" customWidth="1"/>
    <col min="11" max="11" width="4.85546875" style="30" customWidth="1"/>
  </cols>
  <sheetData>
    <row r="1" spans="1:14">
      <c r="A1" s="20"/>
      <c r="B1" s="161" t="s">
        <v>0</v>
      </c>
      <c r="C1" s="20"/>
      <c r="D1" s="20"/>
      <c r="E1" s="20"/>
      <c r="F1" s="20"/>
      <c r="G1" s="20"/>
      <c r="H1" s="20"/>
      <c r="I1" s="20"/>
      <c r="J1" s="20"/>
      <c r="K1" s="157"/>
    </row>
    <row r="2" spans="1:14" ht="18.75">
      <c r="B2" s="14" t="s">
        <v>1636</v>
      </c>
      <c r="L2" t="s">
        <v>1135</v>
      </c>
      <c r="M2" s="163"/>
    </row>
    <row r="4" spans="1:14">
      <c r="B4" s="7" t="s">
        <v>1104</v>
      </c>
      <c r="C4" s="163"/>
    </row>
    <row r="6" spans="1:14">
      <c r="B6" s="15" t="s">
        <v>1105</v>
      </c>
      <c r="C6" s="15" t="s">
        <v>1106</v>
      </c>
      <c r="D6" s="15" t="s">
        <v>1107</v>
      </c>
      <c r="E6" s="15" t="s">
        <v>1108</v>
      </c>
      <c r="F6" s="15" t="s">
        <v>1109</v>
      </c>
      <c r="G6" s="307" t="s">
        <v>1110</v>
      </c>
      <c r="H6" s="307"/>
      <c r="I6" s="307" t="s">
        <v>1111</v>
      </c>
      <c r="J6" s="307"/>
      <c r="L6" s="293" t="s">
        <v>1112</v>
      </c>
      <c r="M6" s="294"/>
      <c r="N6" s="295"/>
    </row>
    <row r="7" spans="1:14">
      <c r="B7" s="2">
        <v>1</v>
      </c>
      <c r="C7" s="3" t="s">
        <v>1113</v>
      </c>
      <c r="D7" s="2">
        <v>1</v>
      </c>
      <c r="E7" s="2">
        <f t="shared" ref="E7:E18" si="0">D7+F7-1</f>
        <v>1</v>
      </c>
      <c r="F7" s="2">
        <v>1</v>
      </c>
      <c r="G7" s="2" t="str">
        <f>TRIM(MID($C$4,1,1))</f>
        <v/>
      </c>
      <c r="H7" s="2" t="str">
        <f>TRIM(MID($C$4,2,1))</f>
        <v/>
      </c>
      <c r="I7" s="2">
        <f>HEX2DEC(SUBSTITUTE(G7," ",""))</f>
        <v>0</v>
      </c>
      <c r="J7" s="2">
        <f>HEX2DEC(SUBSTITUTE(H7," ",""))</f>
        <v>0</v>
      </c>
      <c r="L7" s="68" t="str">
        <f>IF(MOD(INT(HEX2BIN(G7,4)/(2^(3-1))),2)=1,CONCATENATE("This is a Retry"),CONCATENATE("This is NOT a Retry"))</f>
        <v>This is NOT a Retry</v>
      </c>
      <c r="M7" s="68"/>
      <c r="N7" s="68"/>
    </row>
    <row r="8" spans="1:14">
      <c r="B8" s="2">
        <v>2</v>
      </c>
      <c r="C8" s="3" t="s">
        <v>1234</v>
      </c>
      <c r="D8" s="2">
        <f t="shared" ref="D8:D15" si="1">E7+1</f>
        <v>2</v>
      </c>
      <c r="E8" s="2">
        <f t="shared" si="0"/>
        <v>2</v>
      </c>
      <c r="F8" s="2">
        <v>1</v>
      </c>
      <c r="G8" s="2" t="str">
        <f>TRIM(MID($C$4,4,1))</f>
        <v/>
      </c>
      <c r="H8" s="2" t="str">
        <f>TRIM(MID($C$4,5,1))</f>
        <v/>
      </c>
      <c r="I8" s="2">
        <f>HEX2DEC(SUBSTITUTE(G8," ",""))</f>
        <v>0</v>
      </c>
      <c r="J8" s="2">
        <f>HEX2DEC(SUBSTITUTE(H8," ",""))</f>
        <v>0</v>
      </c>
      <c r="L8" s="92" t="str">
        <f>IF(ISNA(VLOOKUP(CONCATENATE(G8,H8),'IGS Configuration Values'!$B$22:$D$27,2,FALSE))=TRUE,"Invalid Type/Subtype",VLOOKUP(CONCATENATE(G8,H8),'IGS Configuration Values'!$B$22:$D$27,2,FALSE))</f>
        <v>Invalid Type/Subtype</v>
      </c>
      <c r="M8" s="68"/>
      <c r="N8" s="68"/>
    </row>
    <row r="9" spans="1:14">
      <c r="B9" s="2">
        <v>3</v>
      </c>
      <c r="C9" s="3" t="s">
        <v>1115</v>
      </c>
      <c r="D9" s="2">
        <f t="shared" si="1"/>
        <v>3</v>
      </c>
      <c r="E9" s="2">
        <f t="shared" si="0"/>
        <v>4</v>
      </c>
      <c r="F9" s="2">
        <v>2</v>
      </c>
      <c r="G9" s="255" t="str">
        <f>TRIM(MID($C$4,(D9-1)*3+1,F9*3))</f>
        <v/>
      </c>
      <c r="H9" s="255"/>
      <c r="I9" s="231">
        <f>HEX2DEC(SUBSTITUTE(G9," ",""))</f>
        <v>0</v>
      </c>
      <c r="J9" s="231"/>
    </row>
    <row r="10" spans="1:14">
      <c r="B10" s="2">
        <v>5</v>
      </c>
      <c r="C10" s="3" t="s">
        <v>1119</v>
      </c>
      <c r="D10" s="2">
        <f t="shared" si="1"/>
        <v>5</v>
      </c>
      <c r="E10" s="2">
        <f t="shared" si="0"/>
        <v>5</v>
      </c>
      <c r="F10" s="2">
        <v>1</v>
      </c>
      <c r="G10" s="255" t="str">
        <f>TRIM(MID($C$4,(D10-1)*3+1,F10*3))</f>
        <v/>
      </c>
      <c r="H10" s="255"/>
      <c r="I10" s="231">
        <f>HEX2DEC(SUBSTITUTE(G10," ",""))</f>
        <v>0</v>
      </c>
      <c r="J10" s="231"/>
      <c r="L10" s="92" t="str">
        <f>IF(ISNA(VLOOKUP(CONCATENATE(G10,G11),'IGS Configuration Values'!$B$17:$C$17,2,FALSE))=TRUE,"Invalid Game Type/Index",VLOOKUP(CONCATENATE(G10,G11),'IGS Configuration Values'!$B$17:$C$17,2,FALSE))</f>
        <v>Invalid Game Type/Index</v>
      </c>
      <c r="M10" s="68"/>
      <c r="N10" s="68"/>
    </row>
    <row r="11" spans="1:14">
      <c r="B11" s="2">
        <v>6</v>
      </c>
      <c r="C11" s="3" t="s">
        <v>1120</v>
      </c>
      <c r="D11" s="2">
        <f t="shared" si="1"/>
        <v>6</v>
      </c>
      <c r="E11" s="2">
        <f t="shared" si="0"/>
        <v>6</v>
      </c>
      <c r="F11" s="2">
        <v>1</v>
      </c>
      <c r="G11" s="255" t="str">
        <f>TRIM(MID($C$4,(D11-1)*3+1,F11*3))</f>
        <v/>
      </c>
      <c r="H11" s="255"/>
      <c r="I11" s="231">
        <f>HEX2DEC(SUBSTITUTE(G11," ",""))</f>
        <v>0</v>
      </c>
      <c r="J11" s="231"/>
    </row>
    <row r="12" spans="1:14">
      <c r="B12" s="2">
        <v>7</v>
      </c>
      <c r="C12" s="3" t="s">
        <v>1637</v>
      </c>
      <c r="D12" s="2">
        <f t="shared" si="1"/>
        <v>7</v>
      </c>
      <c r="E12" s="2">
        <f t="shared" si="0"/>
        <v>7</v>
      </c>
      <c r="F12" s="2">
        <v>1</v>
      </c>
      <c r="G12" s="2" t="str">
        <f>TRIM(MID($C$4,19,1))</f>
        <v/>
      </c>
      <c r="H12" s="2" t="str">
        <f>TRIM(MID($C$4,20,1))</f>
        <v/>
      </c>
      <c r="I12" s="2">
        <f>HEX2DEC(SUBSTITUTE(G12," ",""))</f>
        <v>0</v>
      </c>
      <c r="J12" s="2">
        <f>HEX2DEC(SUBSTITUTE(H12," ",""))</f>
        <v>0</v>
      </c>
    </row>
    <row r="13" spans="1:14">
      <c r="B13" s="2">
        <v>8</v>
      </c>
      <c r="C13" s="3" t="s">
        <v>200</v>
      </c>
      <c r="D13" s="2">
        <f t="shared" si="1"/>
        <v>8</v>
      </c>
      <c r="E13" s="2">
        <f t="shared" si="0"/>
        <v>8</v>
      </c>
      <c r="F13" s="2">
        <v>1</v>
      </c>
      <c r="G13" s="255" t="str">
        <f>TRIM(MID($C$4,(D13-1)*3+1,F13*3))</f>
        <v/>
      </c>
      <c r="H13" s="255"/>
      <c r="I13" s="231">
        <f>HEX2DEC(SUBSTITUTE(G13," ",""))</f>
        <v>0</v>
      </c>
      <c r="J13" s="231"/>
      <c r="L13" s="68" t="str">
        <f>IF(ISNA(VLOOKUP(G13,'IGS Configuration Values'!B203:D205,2,FALSE))=TRUE,"Invalid System Code",VLOOKUP(G13,'IGS Configuration Values'!B203:D205,2,FALSE))</f>
        <v>Invalid System Code</v>
      </c>
      <c r="M13" s="68"/>
      <c r="N13" s="68"/>
    </row>
    <row r="14" spans="1:14">
      <c r="B14" s="2">
        <v>9</v>
      </c>
      <c r="C14" s="3" t="s">
        <v>1638</v>
      </c>
      <c r="D14" s="2">
        <f t="shared" si="1"/>
        <v>9</v>
      </c>
      <c r="E14" s="2">
        <f t="shared" si="0"/>
        <v>17</v>
      </c>
      <c r="F14" s="2">
        <v>9</v>
      </c>
      <c r="G14" s="255" t="str">
        <f>TRIM(MID($C$4,(D14-1)*3+1,F14*3))</f>
        <v/>
      </c>
      <c r="H14" s="255"/>
      <c r="I14" s="231" t="e">
        <f>CONCATENATE(CHAR(HEX2DEC(IF(MID(G14,1,2)="00",20,MID(G14,1,2)))),CHAR(HEX2DEC(IF(MID(G14,4,2)="00",20,MID(G14,4,2)))),CHAR(HEX2DEC(IF(MID(G14,7,2)="00",20,MID(G14,7,2)))),CHAR(HEX2DEC(IF(MID(G14,10,2)="00",20,MID(G14,10,2)))),CHAR(HEX2DEC(IF(MID(G14,13,2)="00",20,MID(G14,13,2)))),CHAR(HEX2DEC(IF(MID(G14,16,2)="00",20,MID(G14,16,2)))),CHAR(HEX2DEC(IF(MID(G14,19,2)="00",20,MID(G14,19,2)))),CHAR(HEX2DEC(IF(MID(G14,22,2)="00",20,MID(G14,22,2)))),CHAR(HEX2DEC(IF(MID(G14,25,2)="00",20,MID(G14,25,2)))))</f>
        <v>#VALUE!</v>
      </c>
      <c r="J14" s="394"/>
      <c r="L14" s="51" t="s">
        <v>1639</v>
      </c>
    </row>
    <row r="15" spans="1:14">
      <c r="B15" s="2">
        <v>10</v>
      </c>
      <c r="C15" s="3" t="s">
        <v>1640</v>
      </c>
      <c r="D15" s="2">
        <f t="shared" si="1"/>
        <v>18</v>
      </c>
      <c r="E15" s="2">
        <f t="shared" si="0"/>
        <v>250</v>
      </c>
      <c r="F15" s="2">
        <v>233</v>
      </c>
      <c r="G15" s="392" t="str">
        <f>TRIM(MID($C$4,(D15-1)*3+1,F15*3))</f>
        <v/>
      </c>
      <c r="H15" s="393"/>
      <c r="I15" s="24" t="str">
        <f>CONCATENATE(I16,I17,I18,I19,I20,I21,I22,I23,I24,I25,I26,I27,I28,I29,I30,I31,I32,I33,I34,I35,I36,I37,I38,I39,I40,I41,I42,I43,I44,I45,I46,I47,I48,I49,I50,I51,I52,I53,I54,I55,I56,I57,I58,I59,I60,I61,I62,I63,I64,I65,I66,I67,I68,I69,I70,I71,I72,I73,I74,I75,I76,I77,I78,I79,I80,I81,I82,I83,I84,I85,I86,I87,I88,I89,I90,I91,I92,I93,I94,I95,I96,I97,I98,I99,I100,I101,I102,I103,I104,I105,I106,I107,I108,I109,I110,I111,I112,I113,I114,I115,I116,I117,I118,I119,I120,I121,I122,I123,I124,I125,I126,I127,I128,I129,I130,I131,I132,I133,I134,I135,I136,I137,I138,I139,I140,I141,I142,I143,I144,I145,I146,I147,I148,I149,I150,I151,I152,I153,I154,I155,I156,I157,I158,I159,I160,I161,I162,I163,I164,I165,I166,I167,I168,I169,I170,I171,I172,I173,I174,I175,I176,I177,I178,I179,I180,I181,I182,I183,I184,I185,I186,I187,I188,I189,I190,I191,I192,I193,I194,I195,I196,I197,I198,I199,I200,I201,I202,I203,I204,I205,I206,I207,I208,I209,I210,I211,I212,I213,I214,I215,I216,I217,I218,I219,I220,I221,I222,I223,I224,I225,I226,I227,I228,I229,I230,I231,I232,I233,I234,I235,I236,I237,I238,I239,I240,I241,I242,I243,I244,I245,I246,I247,I248)</f>
        <v/>
      </c>
      <c r="J15" s="25"/>
      <c r="K15" s="158"/>
    </row>
    <row r="16" spans="1:14" hidden="1" outlineLevel="1">
      <c r="B16" s="16"/>
      <c r="C16" s="19" t="s">
        <v>1641</v>
      </c>
      <c r="D16" s="18">
        <f>E14+1</f>
        <v>18</v>
      </c>
      <c r="E16" s="18">
        <f t="shared" si="0"/>
        <v>18</v>
      </c>
      <c r="F16" s="18">
        <v>1</v>
      </c>
      <c r="G16" s="301" t="str">
        <f>TRIM(MID($C$4,(D16-1)*3+1,F16*3))</f>
        <v/>
      </c>
      <c r="H16" s="301"/>
      <c r="I16" s="305" t="str">
        <f>IF(ISERROR(IF(K16=0,"",IF(K16=1,CHAR(HEX2DEC(G16)),IF(K16=2,VLOOKUP(CONCATENATE(G16," ",G17),'IGS Configuration Values'!$C$241:$D$496,2,FALSE),"N/D"))))=TRUE,"",IF(K16=0,"",IF(K16=1,CHAR(HEX2DEC(G16)),IF(K16=2,VLOOKUP(CONCATENATE(G16," ",G17),'IGS Configuration Values'!$C$241:$D$496,2,FALSE),"N/D"))))</f>
        <v/>
      </c>
      <c r="J16" s="323"/>
      <c r="K16" s="158">
        <f>IF(L16=2,0,IF(HEX2DEC(G16)&lt;128,1,IF(HEX2DEC(G16)&gt;127,2,"ERRO")))</f>
        <v>1</v>
      </c>
      <c r="L16">
        <v>0</v>
      </c>
    </row>
    <row r="17" spans="3:11" hidden="1" outlineLevel="1">
      <c r="C17" s="19" t="s">
        <v>1642</v>
      </c>
      <c r="D17" s="18">
        <f>E16+1</f>
        <v>19</v>
      </c>
      <c r="E17" s="18">
        <f t="shared" si="0"/>
        <v>19</v>
      </c>
      <c r="F17" s="18">
        <v>1</v>
      </c>
      <c r="G17" s="301" t="str">
        <f t="shared" ref="G17:G37" si="2">TRIM(MID($C$4,(D17-1)*3+1,F17*3))</f>
        <v/>
      </c>
      <c r="H17" s="301"/>
      <c r="I17" s="305" t="str">
        <f>IF(ISERROR(IF(K17=0,"",IF(K17=1,CHAR(HEX2DEC(G17)),IF(K17=2,VLOOKUP(CONCATENATE(G17," ",G18),'IGS Configuration Values'!$C$241:$D$496,2,FALSE),"N/D"))))=TRUE,"",IF(K17=0,"",IF(K17=1,CHAR(HEX2DEC(G17)),IF(K17=2,VLOOKUP(CONCATENATE(G17," ",G18),'IGS Configuration Values'!$C$241:$D$496,2,FALSE),"N/D"))))</f>
        <v/>
      </c>
      <c r="J17" s="323"/>
      <c r="K17" s="158">
        <f t="shared" ref="K17:K80" si="3">IF(K16=2,0,IF(HEX2DEC(G17)&lt;128,1,IF(HEX2DEC(G17)&gt;127,2,"ERRO")))</f>
        <v>1</v>
      </c>
    </row>
    <row r="18" spans="3:11" hidden="1" outlineLevel="1">
      <c r="C18" s="19" t="s">
        <v>1643</v>
      </c>
      <c r="D18" s="18">
        <f>E17+1</f>
        <v>20</v>
      </c>
      <c r="E18" s="18">
        <f t="shared" si="0"/>
        <v>20</v>
      </c>
      <c r="F18" s="18">
        <v>1</v>
      </c>
      <c r="G18" s="301" t="str">
        <f t="shared" si="2"/>
        <v/>
      </c>
      <c r="H18" s="301"/>
      <c r="I18" s="305" t="str">
        <f>IF(ISERROR(IF(K18=0,"",IF(K18=1,CHAR(HEX2DEC(G18)),IF(K18=2,VLOOKUP(CONCATENATE(G18," ",G19),'IGS Configuration Values'!$C$241:$D$496,2,FALSE),"N/D"))))=TRUE,"",IF(K18=0,"",IF(K18=1,CHAR(HEX2DEC(G18)),IF(K18=2,VLOOKUP(CONCATENATE(G18," ",G19),'IGS Configuration Values'!$C$241:$D$496,2,FALSE),"N/D"))))</f>
        <v/>
      </c>
      <c r="J18" s="323"/>
      <c r="K18" s="158">
        <f t="shared" si="3"/>
        <v>1</v>
      </c>
    </row>
    <row r="19" spans="3:11" hidden="1" outlineLevel="1">
      <c r="C19" s="19" t="s">
        <v>1644</v>
      </c>
      <c r="D19" s="18">
        <f t="shared" ref="D19:D37" si="4">E18+1</f>
        <v>21</v>
      </c>
      <c r="E19" s="18">
        <f t="shared" ref="E19:E37" si="5">D19+F19-1</f>
        <v>21</v>
      </c>
      <c r="F19" s="18">
        <v>1</v>
      </c>
      <c r="G19" s="301" t="str">
        <f t="shared" si="2"/>
        <v/>
      </c>
      <c r="H19" s="301"/>
      <c r="I19" s="305" t="str">
        <f>IF(ISERROR(IF(K19=0,"",IF(K19=1,CHAR(HEX2DEC(G19)),IF(K19=2,VLOOKUP(CONCATENATE(G19," ",G20),'IGS Configuration Values'!$C$241:$D$496,2,FALSE),"N/D"))))=TRUE,"",IF(K19=0,"",IF(K19=1,CHAR(HEX2DEC(G19)),IF(K19=2,VLOOKUP(CONCATENATE(G19," ",G20),'IGS Configuration Values'!$C$241:$D$496,2,FALSE),"N/D"))))</f>
        <v/>
      </c>
      <c r="J19" s="323"/>
      <c r="K19" s="158">
        <f t="shared" si="3"/>
        <v>1</v>
      </c>
    </row>
    <row r="20" spans="3:11" hidden="1" outlineLevel="1">
      <c r="C20" s="19" t="s">
        <v>1645</v>
      </c>
      <c r="D20" s="18">
        <f t="shared" si="4"/>
        <v>22</v>
      </c>
      <c r="E20" s="18">
        <f t="shared" si="5"/>
        <v>22</v>
      </c>
      <c r="F20" s="18">
        <v>1</v>
      </c>
      <c r="G20" s="301" t="str">
        <f t="shared" si="2"/>
        <v/>
      </c>
      <c r="H20" s="301"/>
      <c r="I20" s="305" t="str">
        <f>IF(ISERROR(IF(K20=0,"",IF(K20=1,CHAR(HEX2DEC(G20)),IF(K20=2,VLOOKUP(CONCATENATE(G20," ",G21),'IGS Configuration Values'!$C$241:$D$496,2,FALSE),"N/D"))))=TRUE,"",IF(K20=0,"",IF(K20=1,CHAR(HEX2DEC(G20)),IF(K20=2,VLOOKUP(CONCATENATE(G20," ",G21),'IGS Configuration Values'!$C$241:$D$496,2,FALSE),"N/D"))))</f>
        <v/>
      </c>
      <c r="J20" s="323"/>
      <c r="K20" s="158">
        <f t="shared" si="3"/>
        <v>1</v>
      </c>
    </row>
    <row r="21" spans="3:11" hidden="1" outlineLevel="1">
      <c r="C21" s="19" t="s">
        <v>1646</v>
      </c>
      <c r="D21" s="18">
        <f t="shared" si="4"/>
        <v>23</v>
      </c>
      <c r="E21" s="18">
        <f t="shared" si="5"/>
        <v>23</v>
      </c>
      <c r="F21" s="18">
        <v>1</v>
      </c>
      <c r="G21" s="301" t="str">
        <f t="shared" si="2"/>
        <v/>
      </c>
      <c r="H21" s="301"/>
      <c r="I21" s="305" t="str">
        <f>IF(ISERROR(IF(K21=0,"",IF(K21=1,CHAR(HEX2DEC(G21)),IF(K21=2,VLOOKUP(CONCATENATE(G21," ",G22),'IGS Configuration Values'!$C$241:$D$496,2,FALSE),"N/D"))))=TRUE,"",IF(K21=0,"",IF(K21=1,CHAR(HEX2DEC(G21)),IF(K21=2,VLOOKUP(CONCATENATE(G21," ",G22),'IGS Configuration Values'!$C$241:$D$496,2,FALSE),"N/D"))))</f>
        <v/>
      </c>
      <c r="J21" s="323"/>
      <c r="K21" s="158">
        <f t="shared" si="3"/>
        <v>1</v>
      </c>
    </row>
    <row r="22" spans="3:11" hidden="1" outlineLevel="1">
      <c r="C22" s="19" t="s">
        <v>1647</v>
      </c>
      <c r="D22" s="18">
        <f t="shared" si="4"/>
        <v>24</v>
      </c>
      <c r="E22" s="18">
        <f t="shared" si="5"/>
        <v>24</v>
      </c>
      <c r="F22" s="18">
        <v>1</v>
      </c>
      <c r="G22" s="301" t="str">
        <f t="shared" si="2"/>
        <v/>
      </c>
      <c r="H22" s="301"/>
      <c r="I22" s="305" t="str">
        <f>IF(ISERROR(IF(K22=0,"",IF(K22=1,CHAR(HEX2DEC(G22)),IF(K22=2,VLOOKUP(CONCATENATE(G22," ",G23),'IGS Configuration Values'!$C$241:$D$496,2,FALSE),"N/D"))))=TRUE,"",IF(K22=0,"",IF(K22=1,CHAR(HEX2DEC(G22)),IF(K22=2,VLOOKUP(CONCATENATE(G22," ",G23),'IGS Configuration Values'!$C$241:$D$496,2,FALSE),"N/D"))))</f>
        <v/>
      </c>
      <c r="J22" s="323"/>
      <c r="K22" s="158">
        <f t="shared" si="3"/>
        <v>1</v>
      </c>
    </row>
    <row r="23" spans="3:11" hidden="1" outlineLevel="1">
      <c r="C23" s="19" t="s">
        <v>1648</v>
      </c>
      <c r="D23" s="18">
        <f t="shared" si="4"/>
        <v>25</v>
      </c>
      <c r="E23" s="18">
        <f t="shared" si="5"/>
        <v>25</v>
      </c>
      <c r="F23" s="18">
        <v>1</v>
      </c>
      <c r="G23" s="301" t="str">
        <f t="shared" si="2"/>
        <v/>
      </c>
      <c r="H23" s="301"/>
      <c r="I23" s="305" t="str">
        <f>IF(ISERROR(IF(K23=0,"",IF(K23=1,CHAR(HEX2DEC(G23)),IF(K23=2,VLOOKUP(CONCATENATE(G23," ",G24),'IGS Configuration Values'!$C$241:$D$496,2,FALSE),"N/D"))))=TRUE,"",IF(K23=0,"",IF(K23=1,CHAR(HEX2DEC(G23)),IF(K23=2,VLOOKUP(CONCATENATE(G23," ",G24),'IGS Configuration Values'!$C$241:$D$496,2,FALSE),"N/D"))))</f>
        <v/>
      </c>
      <c r="J23" s="323"/>
      <c r="K23" s="158">
        <f t="shared" si="3"/>
        <v>1</v>
      </c>
    </row>
    <row r="24" spans="3:11" hidden="1" outlineLevel="1">
      <c r="C24" s="19" t="s">
        <v>1649</v>
      </c>
      <c r="D24" s="18">
        <f t="shared" si="4"/>
        <v>26</v>
      </c>
      <c r="E24" s="18">
        <f t="shared" si="5"/>
        <v>26</v>
      </c>
      <c r="F24" s="18">
        <v>1</v>
      </c>
      <c r="G24" s="301" t="str">
        <f t="shared" si="2"/>
        <v/>
      </c>
      <c r="H24" s="301"/>
      <c r="I24" s="305" t="str">
        <f>IF(ISERROR(IF(K24=0,"",IF(K24=1,CHAR(HEX2DEC(G24)),IF(K24=2,VLOOKUP(CONCATENATE(G24," ",G25),'IGS Configuration Values'!$C$241:$D$496,2,FALSE),"N/D"))))=TRUE,"",IF(K24=0,"",IF(K24=1,CHAR(HEX2DEC(G24)),IF(K24=2,VLOOKUP(CONCATENATE(G24," ",G25),'IGS Configuration Values'!$C$241:$D$496,2,FALSE),"N/D"))))</f>
        <v/>
      </c>
      <c r="J24" s="323"/>
      <c r="K24" s="158">
        <f t="shared" si="3"/>
        <v>1</v>
      </c>
    </row>
    <row r="25" spans="3:11" hidden="1" outlineLevel="1">
      <c r="C25" s="19" t="s">
        <v>1650</v>
      </c>
      <c r="D25" s="18">
        <f t="shared" si="4"/>
        <v>27</v>
      </c>
      <c r="E25" s="18">
        <f t="shared" si="5"/>
        <v>27</v>
      </c>
      <c r="F25" s="18">
        <v>1</v>
      </c>
      <c r="G25" s="301" t="str">
        <f t="shared" si="2"/>
        <v/>
      </c>
      <c r="H25" s="301"/>
      <c r="I25" s="305" t="str">
        <f>IF(ISERROR(IF(K25=0,"",IF(K25=1,CHAR(HEX2DEC(G25)),IF(K25=2,VLOOKUP(CONCATENATE(G25," ",G26),'IGS Configuration Values'!$C$241:$D$496,2,FALSE),"N/D"))))=TRUE,"",IF(K25=0,"",IF(K25=1,CHAR(HEX2DEC(G25)),IF(K25=2,VLOOKUP(CONCATENATE(G25," ",G26),'IGS Configuration Values'!$C$241:$D$496,2,FALSE),"N/D"))))</f>
        <v/>
      </c>
      <c r="J25" s="323"/>
      <c r="K25" s="158">
        <f t="shared" si="3"/>
        <v>1</v>
      </c>
    </row>
    <row r="26" spans="3:11" hidden="1" outlineLevel="1">
      <c r="C26" s="19" t="s">
        <v>1651</v>
      </c>
      <c r="D26" s="18">
        <f t="shared" si="4"/>
        <v>28</v>
      </c>
      <c r="E26" s="18">
        <f t="shared" si="5"/>
        <v>28</v>
      </c>
      <c r="F26" s="18">
        <v>1</v>
      </c>
      <c r="G26" s="301" t="str">
        <f t="shared" si="2"/>
        <v/>
      </c>
      <c r="H26" s="301"/>
      <c r="I26" s="305" t="str">
        <f>IF(ISERROR(IF(K26=0,"",IF(K26=1,CHAR(HEX2DEC(G26)),IF(K26=2,VLOOKUP(CONCATENATE(G26," ",G27),'IGS Configuration Values'!$C$241:$D$496,2,FALSE),"N/D"))))=TRUE,"",IF(K26=0,"",IF(K26=1,CHAR(HEX2DEC(G26)),IF(K26=2,VLOOKUP(CONCATENATE(G26," ",G27),'IGS Configuration Values'!$C$241:$D$496,2,FALSE),"N/D"))))</f>
        <v/>
      </c>
      <c r="J26" s="323"/>
      <c r="K26" s="158">
        <f t="shared" si="3"/>
        <v>1</v>
      </c>
    </row>
    <row r="27" spans="3:11" hidden="1" outlineLevel="1">
      <c r="C27" s="19" t="s">
        <v>1652</v>
      </c>
      <c r="D27" s="18">
        <f t="shared" si="4"/>
        <v>29</v>
      </c>
      <c r="E27" s="18">
        <f t="shared" si="5"/>
        <v>29</v>
      </c>
      <c r="F27" s="18">
        <v>1</v>
      </c>
      <c r="G27" s="301" t="str">
        <f t="shared" si="2"/>
        <v/>
      </c>
      <c r="H27" s="301"/>
      <c r="I27" s="305" t="str">
        <f>IF(ISERROR(IF(K27=0,"",IF(K27=1,CHAR(HEX2DEC(G27)),IF(K27=2,VLOOKUP(CONCATENATE(G27," ",G28),'IGS Configuration Values'!$C$241:$D$496,2,FALSE),"N/D"))))=TRUE,"",IF(K27=0,"",IF(K27=1,CHAR(HEX2DEC(G27)),IF(K27=2,VLOOKUP(CONCATENATE(G27," ",G28),'IGS Configuration Values'!$C$241:$D$496,2,FALSE),"N/D"))))</f>
        <v/>
      </c>
      <c r="J27" s="323"/>
      <c r="K27" s="158">
        <f t="shared" si="3"/>
        <v>1</v>
      </c>
    </row>
    <row r="28" spans="3:11" hidden="1" outlineLevel="1">
      <c r="C28" s="19" t="s">
        <v>1653</v>
      </c>
      <c r="D28" s="18">
        <f t="shared" si="4"/>
        <v>30</v>
      </c>
      <c r="E28" s="18">
        <f t="shared" si="5"/>
        <v>30</v>
      </c>
      <c r="F28" s="18">
        <v>1</v>
      </c>
      <c r="G28" s="301" t="str">
        <f t="shared" si="2"/>
        <v/>
      </c>
      <c r="H28" s="301"/>
      <c r="I28" s="305" t="str">
        <f>IF(ISERROR(IF(K28=0,"",IF(K28=1,CHAR(HEX2DEC(G28)),IF(K28=2,VLOOKUP(CONCATENATE(G28," ",G29),'IGS Configuration Values'!$C$241:$D$496,2,FALSE),"N/D"))))=TRUE,"",IF(K28=0,"",IF(K28=1,CHAR(HEX2DEC(G28)),IF(K28=2,VLOOKUP(CONCATENATE(G28," ",G29),'IGS Configuration Values'!$C$241:$D$496,2,FALSE),"N/D"))))</f>
        <v/>
      </c>
      <c r="J28" s="323"/>
      <c r="K28" s="158">
        <f t="shared" si="3"/>
        <v>1</v>
      </c>
    </row>
    <row r="29" spans="3:11" hidden="1" outlineLevel="1">
      <c r="C29" s="19" t="s">
        <v>1654</v>
      </c>
      <c r="D29" s="18">
        <f t="shared" si="4"/>
        <v>31</v>
      </c>
      <c r="E29" s="18">
        <f t="shared" si="5"/>
        <v>31</v>
      </c>
      <c r="F29" s="18">
        <v>1</v>
      </c>
      <c r="G29" s="301" t="str">
        <f t="shared" si="2"/>
        <v/>
      </c>
      <c r="H29" s="301"/>
      <c r="I29" s="305" t="str">
        <f>IF(ISERROR(IF(K29=0,"",IF(K29=1,CHAR(HEX2DEC(G29)),IF(K29=2,VLOOKUP(CONCATENATE(G29," ",G30),'IGS Configuration Values'!$C$241:$D$496,2,FALSE),"N/D"))))=TRUE,"",IF(K29=0,"",IF(K29=1,CHAR(HEX2DEC(G29)),IF(K29=2,VLOOKUP(CONCATENATE(G29," ",G30),'IGS Configuration Values'!$C$241:$D$496,2,FALSE),"N/D"))))</f>
        <v/>
      </c>
      <c r="J29" s="323"/>
      <c r="K29" s="158">
        <f t="shared" si="3"/>
        <v>1</v>
      </c>
    </row>
    <row r="30" spans="3:11" hidden="1" outlineLevel="1">
      <c r="C30" s="19" t="s">
        <v>1655</v>
      </c>
      <c r="D30" s="18">
        <f t="shared" si="4"/>
        <v>32</v>
      </c>
      <c r="E30" s="18">
        <f t="shared" si="5"/>
        <v>32</v>
      </c>
      <c r="F30" s="18">
        <v>1</v>
      </c>
      <c r="G30" s="301" t="str">
        <f t="shared" si="2"/>
        <v/>
      </c>
      <c r="H30" s="301"/>
      <c r="I30" s="305" t="str">
        <f>IF(ISERROR(IF(K30=0,"",IF(K30=1,CHAR(HEX2DEC(G30)),IF(K30=2,VLOOKUP(CONCATENATE(G30," ",G31),'IGS Configuration Values'!$C$241:$D$496,2,FALSE),"N/D"))))=TRUE,"",IF(K30=0,"",IF(K30=1,CHAR(HEX2DEC(G30)),IF(K30=2,VLOOKUP(CONCATENATE(G30," ",G31),'IGS Configuration Values'!$C$241:$D$496,2,FALSE),"N/D"))))</f>
        <v/>
      </c>
      <c r="J30" s="323"/>
      <c r="K30" s="158">
        <f t="shared" si="3"/>
        <v>1</v>
      </c>
    </row>
    <row r="31" spans="3:11" hidden="1" outlineLevel="1">
      <c r="C31" s="19" t="s">
        <v>1656</v>
      </c>
      <c r="D31" s="18">
        <f t="shared" si="4"/>
        <v>33</v>
      </c>
      <c r="E31" s="18">
        <f t="shared" si="5"/>
        <v>33</v>
      </c>
      <c r="F31" s="18">
        <v>1</v>
      </c>
      <c r="G31" s="301" t="str">
        <f t="shared" si="2"/>
        <v/>
      </c>
      <c r="H31" s="301"/>
      <c r="I31" s="305" t="str">
        <f>IF(ISERROR(IF(K31=0,"",IF(K31=1,CHAR(HEX2DEC(G31)),IF(K31=2,VLOOKUP(CONCATENATE(G31," ",G32),'IGS Configuration Values'!$C$241:$D$496,2,FALSE),"N/D"))))=TRUE,"",IF(K31=0,"",IF(K31=1,CHAR(HEX2DEC(G31)),IF(K31=2,VLOOKUP(CONCATENATE(G31," ",G32),'IGS Configuration Values'!$C$241:$D$496,2,FALSE),"N/D"))))</f>
        <v/>
      </c>
      <c r="J31" s="323"/>
      <c r="K31" s="158">
        <f t="shared" si="3"/>
        <v>1</v>
      </c>
    </row>
    <row r="32" spans="3:11" hidden="1" outlineLevel="1">
      <c r="C32" s="19" t="s">
        <v>1657</v>
      </c>
      <c r="D32" s="18">
        <f t="shared" si="4"/>
        <v>34</v>
      </c>
      <c r="E32" s="18">
        <f t="shared" si="5"/>
        <v>34</v>
      </c>
      <c r="F32" s="18">
        <v>1</v>
      </c>
      <c r="G32" s="301" t="str">
        <f t="shared" si="2"/>
        <v/>
      </c>
      <c r="H32" s="301"/>
      <c r="I32" s="305" t="str">
        <f>IF(ISERROR(IF(K32=0,"",IF(K32=1,CHAR(HEX2DEC(G32)),IF(K32=2,VLOOKUP(CONCATENATE(G32," ",G33),'IGS Configuration Values'!$C$241:$D$496,2,FALSE),"N/D"))))=TRUE,"",IF(K32=0,"",IF(K32=1,CHAR(HEX2DEC(G32)),IF(K32=2,VLOOKUP(CONCATENATE(G32," ",G33),'IGS Configuration Values'!$C$241:$D$496,2,FALSE),"N/D"))))</f>
        <v/>
      </c>
      <c r="J32" s="323"/>
      <c r="K32" s="158">
        <f t="shared" si="3"/>
        <v>1</v>
      </c>
    </row>
    <row r="33" spans="3:11" hidden="1" outlineLevel="1">
      <c r="C33" s="19" t="s">
        <v>1658</v>
      </c>
      <c r="D33" s="18">
        <f t="shared" si="4"/>
        <v>35</v>
      </c>
      <c r="E33" s="18">
        <f t="shared" si="5"/>
        <v>35</v>
      </c>
      <c r="F33" s="18">
        <v>1</v>
      </c>
      <c r="G33" s="301" t="str">
        <f t="shared" si="2"/>
        <v/>
      </c>
      <c r="H33" s="301"/>
      <c r="I33" s="305" t="str">
        <f>IF(ISERROR(IF(K33=0,"",IF(K33=1,CHAR(HEX2DEC(G33)),IF(K33=2,VLOOKUP(CONCATENATE(G33," ",G34),'IGS Configuration Values'!$C$241:$D$496,2,FALSE),"N/D"))))=TRUE,"",IF(K33=0,"",IF(K33=1,CHAR(HEX2DEC(G33)),IF(K33=2,VLOOKUP(CONCATENATE(G33," ",G34),'IGS Configuration Values'!$C$241:$D$496,2,FALSE),"N/D"))))</f>
        <v/>
      </c>
      <c r="J33" s="323"/>
      <c r="K33" s="158">
        <f t="shared" si="3"/>
        <v>1</v>
      </c>
    </row>
    <row r="34" spans="3:11" hidden="1" outlineLevel="1">
      <c r="C34" s="19" t="s">
        <v>1659</v>
      </c>
      <c r="D34" s="18">
        <f t="shared" si="4"/>
        <v>36</v>
      </c>
      <c r="E34" s="18">
        <f t="shared" si="5"/>
        <v>36</v>
      </c>
      <c r="F34" s="18">
        <v>1</v>
      </c>
      <c r="G34" s="301" t="str">
        <f t="shared" si="2"/>
        <v/>
      </c>
      <c r="H34" s="301"/>
      <c r="I34" s="305" t="str">
        <f>IF(ISERROR(IF(K34=0,"",IF(K34=1,CHAR(HEX2DEC(G34)),IF(K34=2,VLOOKUP(CONCATENATE(G34," ",G35),'IGS Configuration Values'!$C$241:$D$496,2,FALSE),"N/D"))))=TRUE,"",IF(K34=0,"",IF(K34=1,CHAR(HEX2DEC(G34)),IF(K34=2,VLOOKUP(CONCATENATE(G34," ",G35),'IGS Configuration Values'!$C$241:$D$496,2,FALSE),"N/D"))))</f>
        <v/>
      </c>
      <c r="J34" s="323"/>
      <c r="K34" s="158">
        <f t="shared" si="3"/>
        <v>1</v>
      </c>
    </row>
    <row r="35" spans="3:11" hidden="1" outlineLevel="1">
      <c r="C35" s="19" t="s">
        <v>1660</v>
      </c>
      <c r="D35" s="18">
        <f t="shared" si="4"/>
        <v>37</v>
      </c>
      <c r="E35" s="18">
        <f t="shared" si="5"/>
        <v>37</v>
      </c>
      <c r="F35" s="18">
        <v>1</v>
      </c>
      <c r="G35" s="301" t="str">
        <f t="shared" si="2"/>
        <v/>
      </c>
      <c r="H35" s="301"/>
      <c r="I35" s="305" t="str">
        <f>IF(ISERROR(IF(K35=0,"",IF(K35=1,CHAR(HEX2DEC(G35)),IF(K35=2,VLOOKUP(CONCATENATE(G35," ",G36),'IGS Configuration Values'!$C$241:$D$496,2,FALSE),"N/D"))))=TRUE,"",IF(K35=0,"",IF(K35=1,CHAR(HEX2DEC(G35)),IF(K35=2,VLOOKUP(CONCATENATE(G35," ",G36),'IGS Configuration Values'!$C$241:$D$496,2,FALSE),"N/D"))))</f>
        <v/>
      </c>
      <c r="J35" s="323"/>
      <c r="K35" s="158">
        <f t="shared" si="3"/>
        <v>1</v>
      </c>
    </row>
    <row r="36" spans="3:11" hidden="1" outlineLevel="1">
      <c r="C36" s="19" t="s">
        <v>1661</v>
      </c>
      <c r="D36" s="18">
        <f t="shared" si="4"/>
        <v>38</v>
      </c>
      <c r="E36" s="18">
        <f t="shared" si="5"/>
        <v>38</v>
      </c>
      <c r="F36" s="18">
        <v>1</v>
      </c>
      <c r="G36" s="301" t="str">
        <f t="shared" si="2"/>
        <v/>
      </c>
      <c r="H36" s="301"/>
      <c r="I36" s="305" t="str">
        <f>IF(ISERROR(IF(K36=0,"",IF(K36=1,CHAR(HEX2DEC(G36)),IF(K36=2,VLOOKUP(CONCATENATE(G36," ",G37),'IGS Configuration Values'!$C$241:$D$496,2,FALSE),"N/D"))))=TRUE,"",IF(K36=0,"",IF(K36=1,CHAR(HEX2DEC(G36)),IF(K36=2,VLOOKUP(CONCATENATE(G36," ",G37),'IGS Configuration Values'!$C$241:$D$496,2,FALSE),"N/D"))))</f>
        <v/>
      </c>
      <c r="J36" s="323"/>
      <c r="K36" s="158">
        <f t="shared" si="3"/>
        <v>1</v>
      </c>
    </row>
    <row r="37" spans="3:11" hidden="1" outlineLevel="1">
      <c r="C37" s="19" t="s">
        <v>1662</v>
      </c>
      <c r="D37" s="18">
        <f t="shared" si="4"/>
        <v>39</v>
      </c>
      <c r="E37" s="18">
        <f t="shared" si="5"/>
        <v>39</v>
      </c>
      <c r="F37" s="18">
        <v>1</v>
      </c>
      <c r="G37" s="301" t="str">
        <f t="shared" si="2"/>
        <v/>
      </c>
      <c r="H37" s="301"/>
      <c r="I37" s="305" t="str">
        <f>IF(ISERROR(IF(K37=0,"",IF(K37=1,CHAR(HEX2DEC(G37)),IF(K37=2,VLOOKUP(CONCATENATE(G37," ",G38),'IGS Configuration Values'!$C$241:$D$496,2,FALSE),"N/D"))))=TRUE,"",IF(K37=0,"",IF(K37=1,CHAR(HEX2DEC(G37)),IF(K37=2,VLOOKUP(CONCATENATE(G37," ",G38),'IGS Configuration Values'!$C$241:$D$496,2,FALSE),"N/D"))))</f>
        <v/>
      </c>
      <c r="J37" s="323"/>
      <c r="K37" s="158">
        <f t="shared" si="3"/>
        <v>1</v>
      </c>
    </row>
    <row r="38" spans="3:11" hidden="1" outlineLevel="1">
      <c r="C38" s="19" t="s">
        <v>1663</v>
      </c>
      <c r="D38" s="18">
        <f t="shared" ref="D38:D74" si="6">E37+1</f>
        <v>40</v>
      </c>
      <c r="E38" s="18">
        <f t="shared" ref="E38:E74" si="7">D38+F38-1</f>
        <v>40</v>
      </c>
      <c r="F38" s="18">
        <v>1</v>
      </c>
      <c r="G38" s="301" t="str">
        <f t="shared" ref="G38:G74" si="8">TRIM(MID($C$4,(D38-1)*3+1,F38*3))</f>
        <v/>
      </c>
      <c r="H38" s="301"/>
      <c r="I38" s="305" t="str">
        <f>IF(ISERROR(IF(K38=0,"",IF(K38=1,CHAR(HEX2DEC(G38)),IF(K38=2,VLOOKUP(CONCATENATE(G38," ",G39),'IGS Configuration Values'!$C$241:$D$496,2,FALSE),"N/D"))))=TRUE,"",IF(K38=0,"",IF(K38=1,CHAR(HEX2DEC(G38)),IF(K38=2,VLOOKUP(CONCATENATE(G38," ",G39),'IGS Configuration Values'!$C$241:$D$496,2,FALSE),"N/D"))))</f>
        <v/>
      </c>
      <c r="J38" s="323"/>
      <c r="K38" s="158">
        <f t="shared" si="3"/>
        <v>1</v>
      </c>
    </row>
    <row r="39" spans="3:11" hidden="1" outlineLevel="1">
      <c r="C39" s="19" t="s">
        <v>1664</v>
      </c>
      <c r="D39" s="18">
        <f t="shared" si="6"/>
        <v>41</v>
      </c>
      <c r="E39" s="18">
        <f t="shared" si="7"/>
        <v>41</v>
      </c>
      <c r="F39" s="18">
        <v>1</v>
      </c>
      <c r="G39" s="301" t="str">
        <f t="shared" si="8"/>
        <v/>
      </c>
      <c r="H39" s="301"/>
      <c r="I39" s="305" t="str">
        <f>IF(ISERROR(IF(K39=0,"",IF(K39=1,CHAR(HEX2DEC(G39)),IF(K39=2,VLOOKUP(CONCATENATE(G39," ",G40),'IGS Configuration Values'!$C$241:$D$496,2,FALSE),"N/D"))))=TRUE,"",IF(K39=0,"",IF(K39=1,CHAR(HEX2DEC(G39)),IF(K39=2,VLOOKUP(CONCATENATE(G39," ",G40),'IGS Configuration Values'!$C$241:$D$496,2,FALSE),"N/D"))))</f>
        <v/>
      </c>
      <c r="J39" s="323"/>
      <c r="K39" s="158">
        <f t="shared" si="3"/>
        <v>1</v>
      </c>
    </row>
    <row r="40" spans="3:11" hidden="1" outlineLevel="1">
      <c r="C40" s="19" t="s">
        <v>1665</v>
      </c>
      <c r="D40" s="18">
        <f t="shared" si="6"/>
        <v>42</v>
      </c>
      <c r="E40" s="18">
        <f t="shared" si="7"/>
        <v>42</v>
      </c>
      <c r="F40" s="18">
        <v>1</v>
      </c>
      <c r="G40" s="301" t="str">
        <f t="shared" si="8"/>
        <v/>
      </c>
      <c r="H40" s="301"/>
      <c r="I40" s="305" t="str">
        <f>IF(ISERROR(IF(K40=0,"",IF(K40=1,CHAR(HEX2DEC(G40)),IF(K40=2,VLOOKUP(CONCATENATE(G40," ",G41),'IGS Configuration Values'!$C$241:$D$496,2,FALSE),"N/D"))))=TRUE,"",IF(K40=0,"",IF(K40=1,CHAR(HEX2DEC(G40)),IF(K40=2,VLOOKUP(CONCATENATE(G40," ",G41),'IGS Configuration Values'!$C$241:$D$496,2,FALSE),"N/D"))))</f>
        <v/>
      </c>
      <c r="J40" s="323"/>
      <c r="K40" s="158">
        <f t="shared" si="3"/>
        <v>1</v>
      </c>
    </row>
    <row r="41" spans="3:11" hidden="1" outlineLevel="1">
      <c r="C41" s="19" t="s">
        <v>1666</v>
      </c>
      <c r="D41" s="18">
        <f t="shared" si="6"/>
        <v>43</v>
      </c>
      <c r="E41" s="18">
        <f t="shared" si="7"/>
        <v>43</v>
      </c>
      <c r="F41" s="18">
        <v>1</v>
      </c>
      <c r="G41" s="301" t="str">
        <f t="shared" si="8"/>
        <v/>
      </c>
      <c r="H41" s="301"/>
      <c r="I41" s="305" t="str">
        <f>IF(ISERROR(IF(K41=0,"",IF(K41=1,CHAR(HEX2DEC(G41)),IF(K41=2,VLOOKUP(CONCATENATE(G41," ",G42),'IGS Configuration Values'!$C$241:$D$496,2,FALSE),"N/D"))))=TRUE,"",IF(K41=0,"",IF(K41=1,CHAR(HEX2DEC(G41)),IF(K41=2,VLOOKUP(CONCATENATE(G41," ",G42),'IGS Configuration Values'!$C$241:$D$496,2,FALSE),"N/D"))))</f>
        <v/>
      </c>
      <c r="J41" s="323"/>
      <c r="K41" s="158">
        <f t="shared" si="3"/>
        <v>1</v>
      </c>
    </row>
    <row r="42" spans="3:11" hidden="1" outlineLevel="1">
      <c r="C42" s="19" t="s">
        <v>1667</v>
      </c>
      <c r="D42" s="18">
        <f t="shared" si="6"/>
        <v>44</v>
      </c>
      <c r="E42" s="18">
        <f t="shared" si="7"/>
        <v>44</v>
      </c>
      <c r="F42" s="18">
        <v>1</v>
      </c>
      <c r="G42" s="301" t="str">
        <f t="shared" si="8"/>
        <v/>
      </c>
      <c r="H42" s="301"/>
      <c r="I42" s="305" t="str">
        <f>IF(ISERROR(IF(K42=0,"",IF(K42=1,CHAR(HEX2DEC(G42)),IF(K42=2,VLOOKUP(CONCATENATE(G42," ",G43),'IGS Configuration Values'!$C$241:$D$496,2,FALSE),"N/D"))))=TRUE,"",IF(K42=0,"",IF(K42=1,CHAR(HEX2DEC(G42)),IF(K42=2,VLOOKUP(CONCATENATE(G42," ",G43),'IGS Configuration Values'!$C$241:$D$496,2,FALSE),"N/D"))))</f>
        <v/>
      </c>
      <c r="J42" s="323"/>
      <c r="K42" s="158">
        <f t="shared" si="3"/>
        <v>1</v>
      </c>
    </row>
    <row r="43" spans="3:11" hidden="1" outlineLevel="1">
      <c r="C43" s="19" t="s">
        <v>1668</v>
      </c>
      <c r="D43" s="18">
        <f t="shared" si="6"/>
        <v>45</v>
      </c>
      <c r="E43" s="18">
        <f t="shared" si="7"/>
        <v>45</v>
      </c>
      <c r="F43" s="18">
        <v>1</v>
      </c>
      <c r="G43" s="301" t="str">
        <f t="shared" si="8"/>
        <v/>
      </c>
      <c r="H43" s="301"/>
      <c r="I43" s="305" t="str">
        <f>IF(ISERROR(IF(K43=0,"",IF(K43=1,CHAR(HEX2DEC(G43)),IF(K43=2,VLOOKUP(CONCATENATE(G43," ",G44),'IGS Configuration Values'!$C$241:$D$496,2,FALSE),"N/D"))))=TRUE,"",IF(K43=0,"",IF(K43=1,CHAR(HEX2DEC(G43)),IF(K43=2,VLOOKUP(CONCATENATE(G43," ",G44),'IGS Configuration Values'!$C$241:$D$496,2,FALSE),"N/D"))))</f>
        <v/>
      </c>
      <c r="J43" s="323"/>
      <c r="K43" s="158">
        <f t="shared" si="3"/>
        <v>1</v>
      </c>
    </row>
    <row r="44" spans="3:11" hidden="1" outlineLevel="1">
      <c r="C44" s="19" t="s">
        <v>1669</v>
      </c>
      <c r="D44" s="18">
        <f t="shared" si="6"/>
        <v>46</v>
      </c>
      <c r="E44" s="18">
        <f t="shared" si="7"/>
        <v>46</v>
      </c>
      <c r="F44" s="18">
        <v>1</v>
      </c>
      <c r="G44" s="301" t="str">
        <f t="shared" si="8"/>
        <v/>
      </c>
      <c r="H44" s="301"/>
      <c r="I44" s="305" t="str">
        <f>IF(ISERROR(IF(K44=0,"",IF(K44=1,CHAR(HEX2DEC(G44)),IF(K44=2,VLOOKUP(CONCATENATE(G44," ",G45),'IGS Configuration Values'!$C$241:$D$496,2,FALSE),"N/D"))))=TRUE,"",IF(K44=0,"",IF(K44=1,CHAR(HEX2DEC(G44)),IF(K44=2,VLOOKUP(CONCATENATE(G44," ",G45),'IGS Configuration Values'!$C$241:$D$496,2,FALSE),"N/D"))))</f>
        <v/>
      </c>
      <c r="J44" s="323"/>
      <c r="K44" s="158">
        <f t="shared" si="3"/>
        <v>1</v>
      </c>
    </row>
    <row r="45" spans="3:11" hidden="1" outlineLevel="1">
      <c r="C45" s="19" t="s">
        <v>1670</v>
      </c>
      <c r="D45" s="18">
        <f t="shared" si="6"/>
        <v>47</v>
      </c>
      <c r="E45" s="18">
        <f t="shared" si="7"/>
        <v>47</v>
      </c>
      <c r="F45" s="18">
        <v>1</v>
      </c>
      <c r="G45" s="301" t="str">
        <f t="shared" si="8"/>
        <v/>
      </c>
      <c r="H45" s="301"/>
      <c r="I45" s="305" t="str">
        <f>IF(ISERROR(IF(K45=0,"",IF(K45=1,CHAR(HEX2DEC(G45)),IF(K45=2,VLOOKUP(CONCATENATE(G45," ",G46),'IGS Configuration Values'!$C$241:$D$496,2,FALSE),"N/D"))))=TRUE,"",IF(K45=0,"",IF(K45=1,CHAR(HEX2DEC(G45)),IF(K45=2,VLOOKUP(CONCATENATE(G45," ",G46),'IGS Configuration Values'!$C$241:$D$496,2,FALSE),"N/D"))))</f>
        <v/>
      </c>
      <c r="J45" s="323"/>
      <c r="K45" s="158">
        <f t="shared" si="3"/>
        <v>1</v>
      </c>
    </row>
    <row r="46" spans="3:11" hidden="1" outlineLevel="1">
      <c r="C46" s="19" t="s">
        <v>1671</v>
      </c>
      <c r="D46" s="18">
        <f t="shared" si="6"/>
        <v>48</v>
      </c>
      <c r="E46" s="18">
        <f t="shared" si="7"/>
        <v>48</v>
      </c>
      <c r="F46" s="18">
        <v>1</v>
      </c>
      <c r="G46" s="301" t="str">
        <f t="shared" si="8"/>
        <v/>
      </c>
      <c r="H46" s="301"/>
      <c r="I46" s="305" t="str">
        <f>IF(ISERROR(IF(K46=0,"",IF(K46=1,CHAR(HEX2DEC(G46)),IF(K46=2,VLOOKUP(CONCATENATE(G46," ",G47),'IGS Configuration Values'!$C$241:$D$496,2,FALSE),"N/D"))))=TRUE,"",IF(K46=0,"",IF(K46=1,CHAR(HEX2DEC(G46)),IF(K46=2,VLOOKUP(CONCATENATE(G46," ",G47),'IGS Configuration Values'!$C$241:$D$496,2,FALSE),"N/D"))))</f>
        <v/>
      </c>
      <c r="J46" s="323"/>
      <c r="K46" s="158">
        <f t="shared" si="3"/>
        <v>1</v>
      </c>
    </row>
    <row r="47" spans="3:11" hidden="1" outlineLevel="1">
      <c r="C47" s="19" t="s">
        <v>1672</v>
      </c>
      <c r="D47" s="18">
        <f t="shared" si="6"/>
        <v>49</v>
      </c>
      <c r="E47" s="18">
        <f t="shared" si="7"/>
        <v>49</v>
      </c>
      <c r="F47" s="18">
        <v>1</v>
      </c>
      <c r="G47" s="301" t="str">
        <f t="shared" si="8"/>
        <v/>
      </c>
      <c r="H47" s="301"/>
      <c r="I47" s="305" t="str">
        <f>IF(ISERROR(IF(K47=0,"",IF(K47=1,CHAR(HEX2DEC(G47)),IF(K47=2,VLOOKUP(CONCATENATE(G47," ",G48),'IGS Configuration Values'!$C$241:$D$496,2,FALSE),"N/D"))))=TRUE,"",IF(K47=0,"",IF(K47=1,CHAR(HEX2DEC(G47)),IF(K47=2,VLOOKUP(CONCATENATE(G47," ",G48),'IGS Configuration Values'!$C$241:$D$496,2,FALSE),"N/D"))))</f>
        <v/>
      </c>
      <c r="J47" s="323"/>
      <c r="K47" s="158">
        <f t="shared" si="3"/>
        <v>1</v>
      </c>
    </row>
    <row r="48" spans="3:11" hidden="1" outlineLevel="1">
      <c r="C48" s="19" t="s">
        <v>1673</v>
      </c>
      <c r="D48" s="18">
        <f t="shared" si="6"/>
        <v>50</v>
      </c>
      <c r="E48" s="18">
        <f t="shared" si="7"/>
        <v>50</v>
      </c>
      <c r="F48" s="18">
        <v>1</v>
      </c>
      <c r="G48" s="301" t="str">
        <f t="shared" si="8"/>
        <v/>
      </c>
      <c r="H48" s="301"/>
      <c r="I48" s="305" t="str">
        <f>IF(ISERROR(IF(K48=0,"",IF(K48=1,CHAR(HEX2DEC(G48)),IF(K48=2,VLOOKUP(CONCATENATE(G48," ",G49),'IGS Configuration Values'!$C$241:$D$496,2,FALSE),"N/D"))))=TRUE,"",IF(K48=0,"",IF(K48=1,CHAR(HEX2DEC(G48)),IF(K48=2,VLOOKUP(CONCATENATE(G48," ",G49),'IGS Configuration Values'!$C$241:$D$496,2,FALSE),"N/D"))))</f>
        <v/>
      </c>
      <c r="J48" s="323"/>
      <c r="K48" s="158">
        <f t="shared" si="3"/>
        <v>1</v>
      </c>
    </row>
    <row r="49" spans="3:11" hidden="1" outlineLevel="1">
      <c r="C49" s="19" t="s">
        <v>1674</v>
      </c>
      <c r="D49" s="18">
        <f t="shared" si="6"/>
        <v>51</v>
      </c>
      <c r="E49" s="18">
        <f t="shared" si="7"/>
        <v>51</v>
      </c>
      <c r="F49" s="18">
        <v>1</v>
      </c>
      <c r="G49" s="301" t="str">
        <f t="shared" si="8"/>
        <v/>
      </c>
      <c r="H49" s="301"/>
      <c r="I49" s="305" t="str">
        <f>IF(ISERROR(IF(K49=0,"",IF(K49=1,CHAR(HEX2DEC(G49)),IF(K49=2,VLOOKUP(CONCATENATE(G49," ",G50),'IGS Configuration Values'!$C$241:$D$496,2,FALSE),"N/D"))))=TRUE,"",IF(K49=0,"",IF(K49=1,CHAR(HEX2DEC(G49)),IF(K49=2,VLOOKUP(CONCATENATE(G49," ",G50),'IGS Configuration Values'!$C$241:$D$496,2,FALSE),"N/D"))))</f>
        <v/>
      </c>
      <c r="J49" s="323"/>
      <c r="K49" s="158">
        <f t="shared" si="3"/>
        <v>1</v>
      </c>
    </row>
    <row r="50" spans="3:11" hidden="1" outlineLevel="1">
      <c r="C50" s="19" t="s">
        <v>1675</v>
      </c>
      <c r="D50" s="18">
        <f t="shared" si="6"/>
        <v>52</v>
      </c>
      <c r="E50" s="18">
        <f t="shared" si="7"/>
        <v>52</v>
      </c>
      <c r="F50" s="18">
        <v>1</v>
      </c>
      <c r="G50" s="301" t="str">
        <f t="shared" si="8"/>
        <v/>
      </c>
      <c r="H50" s="301"/>
      <c r="I50" s="305" t="str">
        <f>IF(ISERROR(IF(K50=0,"",IF(K50=1,CHAR(HEX2DEC(G50)),IF(K50=2,VLOOKUP(CONCATENATE(G50," ",G51),'IGS Configuration Values'!$C$241:$D$496,2,FALSE),"N/D"))))=TRUE,"",IF(K50=0,"",IF(K50=1,CHAR(HEX2DEC(G50)),IF(K50=2,VLOOKUP(CONCATENATE(G50," ",G51),'IGS Configuration Values'!$C$241:$D$496,2,FALSE),"N/D"))))</f>
        <v/>
      </c>
      <c r="J50" s="323"/>
      <c r="K50" s="158">
        <f t="shared" si="3"/>
        <v>1</v>
      </c>
    </row>
    <row r="51" spans="3:11" hidden="1" outlineLevel="1">
      <c r="C51" s="19" t="s">
        <v>1676</v>
      </c>
      <c r="D51" s="18">
        <f t="shared" si="6"/>
        <v>53</v>
      </c>
      <c r="E51" s="18">
        <f t="shared" si="7"/>
        <v>53</v>
      </c>
      <c r="F51" s="18">
        <v>1</v>
      </c>
      <c r="G51" s="301" t="str">
        <f t="shared" si="8"/>
        <v/>
      </c>
      <c r="H51" s="301"/>
      <c r="I51" s="305" t="str">
        <f>IF(ISERROR(IF(K51=0,"",IF(K51=1,CHAR(HEX2DEC(G51)),IF(K51=2,VLOOKUP(CONCATENATE(G51," ",G52),'IGS Configuration Values'!$C$241:$D$496,2,FALSE),"N/D"))))=TRUE,"",IF(K51=0,"",IF(K51=1,CHAR(HEX2DEC(G51)),IF(K51=2,VLOOKUP(CONCATENATE(G51," ",G52),'IGS Configuration Values'!$C$241:$D$496,2,FALSE),"N/D"))))</f>
        <v/>
      </c>
      <c r="J51" s="323"/>
      <c r="K51" s="158">
        <f t="shared" si="3"/>
        <v>1</v>
      </c>
    </row>
    <row r="52" spans="3:11" hidden="1" outlineLevel="1">
      <c r="C52" s="19" t="s">
        <v>1677</v>
      </c>
      <c r="D52" s="18">
        <f t="shared" si="6"/>
        <v>54</v>
      </c>
      <c r="E52" s="18">
        <f t="shared" si="7"/>
        <v>54</v>
      </c>
      <c r="F52" s="18">
        <v>1</v>
      </c>
      <c r="G52" s="301" t="str">
        <f t="shared" si="8"/>
        <v/>
      </c>
      <c r="H52" s="301"/>
      <c r="I52" s="305" t="str">
        <f>IF(ISERROR(IF(K52=0,"",IF(K52=1,CHAR(HEX2DEC(G52)),IF(K52=2,VLOOKUP(CONCATENATE(G52," ",G53),'IGS Configuration Values'!$C$241:$D$496,2,FALSE),"N/D"))))=TRUE,"",IF(K52=0,"",IF(K52=1,CHAR(HEX2DEC(G52)),IF(K52=2,VLOOKUP(CONCATENATE(G52," ",G53),'IGS Configuration Values'!$C$241:$D$496,2,FALSE),"N/D"))))</f>
        <v/>
      </c>
      <c r="J52" s="323"/>
      <c r="K52" s="158">
        <f t="shared" si="3"/>
        <v>1</v>
      </c>
    </row>
    <row r="53" spans="3:11" hidden="1" outlineLevel="1">
      <c r="C53" s="19" t="s">
        <v>1678</v>
      </c>
      <c r="D53" s="18">
        <f t="shared" si="6"/>
        <v>55</v>
      </c>
      <c r="E53" s="18">
        <f t="shared" si="7"/>
        <v>55</v>
      </c>
      <c r="F53" s="18">
        <v>1</v>
      </c>
      <c r="G53" s="301" t="str">
        <f t="shared" si="8"/>
        <v/>
      </c>
      <c r="H53" s="301"/>
      <c r="I53" s="305" t="str">
        <f>IF(ISERROR(IF(K53=0,"",IF(K53=1,CHAR(HEX2DEC(G53)),IF(K53=2,VLOOKUP(CONCATENATE(G53," ",G54),'IGS Configuration Values'!$C$241:$D$496,2,FALSE),"N/D"))))=TRUE,"",IF(K53=0,"",IF(K53=1,CHAR(HEX2DEC(G53)),IF(K53=2,VLOOKUP(CONCATENATE(G53," ",G54),'IGS Configuration Values'!$C$241:$D$496,2,FALSE),"N/D"))))</f>
        <v/>
      </c>
      <c r="J53" s="323"/>
      <c r="K53" s="158">
        <f t="shared" si="3"/>
        <v>1</v>
      </c>
    </row>
    <row r="54" spans="3:11" hidden="1" outlineLevel="1">
      <c r="C54" s="19" t="s">
        <v>1679</v>
      </c>
      <c r="D54" s="18">
        <f t="shared" si="6"/>
        <v>56</v>
      </c>
      <c r="E54" s="18">
        <f t="shared" si="7"/>
        <v>56</v>
      </c>
      <c r="F54" s="18">
        <v>1</v>
      </c>
      <c r="G54" s="301" t="str">
        <f t="shared" si="8"/>
        <v/>
      </c>
      <c r="H54" s="301"/>
      <c r="I54" s="305" t="str">
        <f>IF(ISERROR(IF(K54=0,"",IF(K54=1,CHAR(HEX2DEC(G54)),IF(K54=2,VLOOKUP(CONCATENATE(G54," ",G55),'IGS Configuration Values'!$C$241:$D$496,2,FALSE),"N/D"))))=TRUE,"",IF(K54=0,"",IF(K54=1,CHAR(HEX2DEC(G54)),IF(K54=2,VLOOKUP(CONCATENATE(G54," ",G55),'IGS Configuration Values'!$C$241:$D$496,2,FALSE),"N/D"))))</f>
        <v/>
      </c>
      <c r="J54" s="323"/>
      <c r="K54" s="158">
        <f t="shared" si="3"/>
        <v>1</v>
      </c>
    </row>
    <row r="55" spans="3:11" hidden="1" outlineLevel="1">
      <c r="C55" s="19" t="s">
        <v>1680</v>
      </c>
      <c r="D55" s="18">
        <f t="shared" si="6"/>
        <v>57</v>
      </c>
      <c r="E55" s="18">
        <f t="shared" si="7"/>
        <v>57</v>
      </c>
      <c r="F55" s="18">
        <v>1</v>
      </c>
      <c r="G55" s="301" t="str">
        <f t="shared" si="8"/>
        <v/>
      </c>
      <c r="H55" s="301"/>
      <c r="I55" s="305" t="str">
        <f>IF(ISERROR(IF(K55=0,"",IF(K55=1,CHAR(HEX2DEC(G55)),IF(K55=2,VLOOKUP(CONCATENATE(G55," ",G56),'IGS Configuration Values'!$C$241:$D$496,2,FALSE),"N/D"))))=TRUE,"",IF(K55=0,"",IF(K55=1,CHAR(HEX2DEC(G55)),IF(K55=2,VLOOKUP(CONCATENATE(G55," ",G56),'IGS Configuration Values'!$C$241:$D$496,2,FALSE),"N/D"))))</f>
        <v/>
      </c>
      <c r="J55" s="323"/>
      <c r="K55" s="158">
        <f t="shared" si="3"/>
        <v>1</v>
      </c>
    </row>
    <row r="56" spans="3:11" hidden="1" outlineLevel="1">
      <c r="C56" s="19" t="s">
        <v>1681</v>
      </c>
      <c r="D56" s="18">
        <f t="shared" si="6"/>
        <v>58</v>
      </c>
      <c r="E56" s="18">
        <f t="shared" si="7"/>
        <v>58</v>
      </c>
      <c r="F56" s="18">
        <v>1</v>
      </c>
      <c r="G56" s="301" t="str">
        <f t="shared" si="8"/>
        <v/>
      </c>
      <c r="H56" s="301"/>
      <c r="I56" s="305" t="str">
        <f>IF(ISERROR(IF(K56=0,"",IF(K56=1,CHAR(HEX2DEC(G56)),IF(K56=2,VLOOKUP(CONCATENATE(G56," ",G57),'IGS Configuration Values'!$C$241:$D$496,2,FALSE),"N/D"))))=TRUE,"",IF(K56=0,"",IF(K56=1,CHAR(HEX2DEC(G56)),IF(K56=2,VLOOKUP(CONCATENATE(G56," ",G57),'IGS Configuration Values'!$C$241:$D$496,2,FALSE),"N/D"))))</f>
        <v/>
      </c>
      <c r="J56" s="323"/>
      <c r="K56" s="158">
        <f t="shared" si="3"/>
        <v>1</v>
      </c>
    </row>
    <row r="57" spans="3:11" hidden="1" outlineLevel="1">
      <c r="C57" s="19" t="s">
        <v>1682</v>
      </c>
      <c r="D57" s="18">
        <f t="shared" si="6"/>
        <v>59</v>
      </c>
      <c r="E57" s="18">
        <f t="shared" si="7"/>
        <v>59</v>
      </c>
      <c r="F57" s="18">
        <v>1</v>
      </c>
      <c r="G57" s="301" t="str">
        <f t="shared" si="8"/>
        <v/>
      </c>
      <c r="H57" s="301"/>
      <c r="I57" s="305" t="str">
        <f>IF(ISERROR(IF(K57=0,"",IF(K57=1,CHAR(HEX2DEC(G57)),IF(K57=2,VLOOKUP(CONCATENATE(G57," ",G58),'IGS Configuration Values'!$C$241:$D$496,2,FALSE),"N/D"))))=TRUE,"",IF(K57=0,"",IF(K57=1,CHAR(HEX2DEC(G57)),IF(K57=2,VLOOKUP(CONCATENATE(G57," ",G58),'IGS Configuration Values'!$C$241:$D$496,2,FALSE),"N/D"))))</f>
        <v/>
      </c>
      <c r="J57" s="323"/>
      <c r="K57" s="158">
        <f t="shared" si="3"/>
        <v>1</v>
      </c>
    </row>
    <row r="58" spans="3:11" hidden="1" outlineLevel="1">
      <c r="C58" s="19" t="s">
        <v>1683</v>
      </c>
      <c r="D58" s="18">
        <f t="shared" si="6"/>
        <v>60</v>
      </c>
      <c r="E58" s="18">
        <f t="shared" si="7"/>
        <v>60</v>
      </c>
      <c r="F58" s="18">
        <v>1</v>
      </c>
      <c r="G58" s="301" t="str">
        <f t="shared" si="8"/>
        <v/>
      </c>
      <c r="H58" s="301"/>
      <c r="I58" s="305" t="str">
        <f>IF(ISERROR(IF(K58=0,"",IF(K58=1,CHAR(HEX2DEC(G58)),IF(K58=2,VLOOKUP(CONCATENATE(G58," ",G59),'IGS Configuration Values'!$C$241:$D$496,2,FALSE),"N/D"))))=TRUE,"",IF(K58=0,"",IF(K58=1,CHAR(HEX2DEC(G58)),IF(K58=2,VLOOKUP(CONCATENATE(G58," ",G59),'IGS Configuration Values'!$C$241:$D$496,2,FALSE),"N/D"))))</f>
        <v/>
      </c>
      <c r="J58" s="323"/>
      <c r="K58" s="158">
        <f t="shared" si="3"/>
        <v>1</v>
      </c>
    </row>
    <row r="59" spans="3:11" hidden="1" outlineLevel="1">
      <c r="C59" s="19" t="s">
        <v>1684</v>
      </c>
      <c r="D59" s="18">
        <f t="shared" si="6"/>
        <v>61</v>
      </c>
      <c r="E59" s="18">
        <f t="shared" si="7"/>
        <v>61</v>
      </c>
      <c r="F59" s="18">
        <v>1</v>
      </c>
      <c r="G59" s="301" t="str">
        <f t="shared" si="8"/>
        <v/>
      </c>
      <c r="H59" s="301"/>
      <c r="I59" s="305" t="str">
        <f>IF(ISERROR(IF(K59=0,"",IF(K59=1,CHAR(HEX2DEC(G59)),IF(K59=2,VLOOKUP(CONCATENATE(G59," ",G60),'IGS Configuration Values'!$C$241:$D$496,2,FALSE),"N/D"))))=TRUE,"",IF(K59=0,"",IF(K59=1,CHAR(HEX2DEC(G59)),IF(K59=2,VLOOKUP(CONCATENATE(G59," ",G60),'IGS Configuration Values'!$C$241:$D$496,2,FALSE),"N/D"))))</f>
        <v/>
      </c>
      <c r="J59" s="323"/>
      <c r="K59" s="158">
        <f t="shared" si="3"/>
        <v>1</v>
      </c>
    </row>
    <row r="60" spans="3:11" hidden="1" outlineLevel="1">
      <c r="C60" s="19" t="s">
        <v>1685</v>
      </c>
      <c r="D60" s="18">
        <f t="shared" si="6"/>
        <v>62</v>
      </c>
      <c r="E60" s="18">
        <f t="shared" si="7"/>
        <v>62</v>
      </c>
      <c r="F60" s="18">
        <v>1</v>
      </c>
      <c r="G60" s="301" t="str">
        <f t="shared" si="8"/>
        <v/>
      </c>
      <c r="H60" s="301"/>
      <c r="I60" s="305" t="str">
        <f>IF(ISERROR(IF(K60=0,"",IF(K60=1,CHAR(HEX2DEC(G60)),IF(K60=2,VLOOKUP(CONCATENATE(G60," ",G61),'IGS Configuration Values'!$C$241:$D$496,2,FALSE),"N/D"))))=TRUE,"",IF(K60=0,"",IF(K60=1,CHAR(HEX2DEC(G60)),IF(K60=2,VLOOKUP(CONCATENATE(G60," ",G61),'IGS Configuration Values'!$C$241:$D$496,2,FALSE),"N/D"))))</f>
        <v/>
      </c>
      <c r="J60" s="323"/>
      <c r="K60" s="158">
        <f t="shared" si="3"/>
        <v>1</v>
      </c>
    </row>
    <row r="61" spans="3:11" hidden="1" outlineLevel="1">
      <c r="C61" s="19" t="s">
        <v>1686</v>
      </c>
      <c r="D61" s="18">
        <f t="shared" si="6"/>
        <v>63</v>
      </c>
      <c r="E61" s="18">
        <f t="shared" si="7"/>
        <v>63</v>
      </c>
      <c r="F61" s="18">
        <v>1</v>
      </c>
      <c r="G61" s="301" t="str">
        <f t="shared" si="8"/>
        <v/>
      </c>
      <c r="H61" s="301"/>
      <c r="I61" s="305" t="str">
        <f>IF(ISERROR(IF(K61=0,"",IF(K61=1,CHAR(HEX2DEC(G61)),IF(K61=2,VLOOKUP(CONCATENATE(G61," ",G62),'IGS Configuration Values'!$C$241:$D$496,2,FALSE),"N/D"))))=TRUE,"",IF(K61=0,"",IF(K61=1,CHAR(HEX2DEC(G61)),IF(K61=2,VLOOKUP(CONCATENATE(G61," ",G62),'IGS Configuration Values'!$C$241:$D$496,2,FALSE),"N/D"))))</f>
        <v/>
      </c>
      <c r="J61" s="323"/>
      <c r="K61" s="158">
        <f t="shared" si="3"/>
        <v>1</v>
      </c>
    </row>
    <row r="62" spans="3:11" hidden="1" outlineLevel="1">
      <c r="C62" s="19" t="s">
        <v>1687</v>
      </c>
      <c r="D62" s="18">
        <f t="shared" si="6"/>
        <v>64</v>
      </c>
      <c r="E62" s="18">
        <f t="shared" si="7"/>
        <v>64</v>
      </c>
      <c r="F62" s="18">
        <v>1</v>
      </c>
      <c r="G62" s="301" t="str">
        <f t="shared" si="8"/>
        <v/>
      </c>
      <c r="H62" s="301"/>
      <c r="I62" s="305" t="str">
        <f>IF(ISERROR(IF(K62=0,"",IF(K62=1,CHAR(HEX2DEC(G62)),IF(K62=2,VLOOKUP(CONCATENATE(G62," ",G63),'IGS Configuration Values'!$C$241:$D$496,2,FALSE),"N/D"))))=TRUE,"",IF(K62=0,"",IF(K62=1,CHAR(HEX2DEC(G62)),IF(K62=2,VLOOKUP(CONCATENATE(G62," ",G63),'IGS Configuration Values'!$C$241:$D$496,2,FALSE),"N/D"))))</f>
        <v/>
      </c>
      <c r="J62" s="323"/>
      <c r="K62" s="158">
        <f t="shared" si="3"/>
        <v>1</v>
      </c>
    </row>
    <row r="63" spans="3:11" hidden="1" outlineLevel="1">
      <c r="C63" s="19" t="s">
        <v>1688</v>
      </c>
      <c r="D63" s="18">
        <f t="shared" si="6"/>
        <v>65</v>
      </c>
      <c r="E63" s="18">
        <f t="shared" si="7"/>
        <v>65</v>
      </c>
      <c r="F63" s="18">
        <v>1</v>
      </c>
      <c r="G63" s="301" t="str">
        <f t="shared" si="8"/>
        <v/>
      </c>
      <c r="H63" s="301"/>
      <c r="I63" s="305" t="str">
        <f>IF(ISERROR(IF(K63=0,"",IF(K63=1,CHAR(HEX2DEC(G63)),IF(K63=2,VLOOKUP(CONCATENATE(G63," ",G64),'IGS Configuration Values'!$C$241:$D$496,2,FALSE),"N/D"))))=TRUE,"",IF(K63=0,"",IF(K63=1,CHAR(HEX2DEC(G63)),IF(K63=2,VLOOKUP(CONCATENATE(G63," ",G64),'IGS Configuration Values'!$C$241:$D$496,2,FALSE),"N/D"))))</f>
        <v/>
      </c>
      <c r="J63" s="323"/>
      <c r="K63" s="158">
        <f t="shared" si="3"/>
        <v>1</v>
      </c>
    </row>
    <row r="64" spans="3:11" hidden="1" outlineLevel="1">
      <c r="C64" s="19" t="s">
        <v>1689</v>
      </c>
      <c r="D64" s="18">
        <f t="shared" si="6"/>
        <v>66</v>
      </c>
      <c r="E64" s="18">
        <f t="shared" si="7"/>
        <v>66</v>
      </c>
      <c r="F64" s="18">
        <v>1</v>
      </c>
      <c r="G64" s="301" t="str">
        <f t="shared" si="8"/>
        <v/>
      </c>
      <c r="H64" s="301"/>
      <c r="I64" s="305" t="str">
        <f>IF(ISERROR(IF(K64=0,"",IF(K64=1,CHAR(HEX2DEC(G64)),IF(K64=2,VLOOKUP(CONCATENATE(G64," ",G65),'IGS Configuration Values'!$C$241:$D$496,2,FALSE),"N/D"))))=TRUE,"",IF(K64=0,"",IF(K64=1,CHAR(HEX2DEC(G64)),IF(K64=2,VLOOKUP(CONCATENATE(G64," ",G65),'IGS Configuration Values'!$C$241:$D$496,2,FALSE),"N/D"))))</f>
        <v/>
      </c>
      <c r="J64" s="323"/>
      <c r="K64" s="158">
        <f t="shared" si="3"/>
        <v>1</v>
      </c>
    </row>
    <row r="65" spans="3:11" hidden="1" outlineLevel="1">
      <c r="C65" s="19" t="s">
        <v>1690</v>
      </c>
      <c r="D65" s="18">
        <f t="shared" si="6"/>
        <v>67</v>
      </c>
      <c r="E65" s="18">
        <f t="shared" si="7"/>
        <v>67</v>
      </c>
      <c r="F65" s="18">
        <v>1</v>
      </c>
      <c r="G65" s="301" t="str">
        <f t="shared" si="8"/>
        <v/>
      </c>
      <c r="H65" s="301"/>
      <c r="I65" s="305" t="str">
        <f>IF(ISERROR(IF(K65=0,"",IF(K65=1,CHAR(HEX2DEC(G65)),IF(K65=2,VLOOKUP(CONCATENATE(G65," ",G66),'IGS Configuration Values'!$C$241:$D$496,2,FALSE),"N/D"))))=TRUE,"",IF(K65=0,"",IF(K65=1,CHAR(HEX2DEC(G65)),IF(K65=2,VLOOKUP(CONCATENATE(G65," ",G66),'IGS Configuration Values'!$C$241:$D$496,2,FALSE),"N/D"))))</f>
        <v/>
      </c>
      <c r="J65" s="323"/>
      <c r="K65" s="158">
        <f t="shared" si="3"/>
        <v>1</v>
      </c>
    </row>
    <row r="66" spans="3:11" hidden="1" outlineLevel="1">
      <c r="C66" s="19" t="s">
        <v>1691</v>
      </c>
      <c r="D66" s="18">
        <f t="shared" si="6"/>
        <v>68</v>
      </c>
      <c r="E66" s="18">
        <f t="shared" si="7"/>
        <v>68</v>
      </c>
      <c r="F66" s="18">
        <v>1</v>
      </c>
      <c r="G66" s="301" t="str">
        <f t="shared" si="8"/>
        <v/>
      </c>
      <c r="H66" s="301"/>
      <c r="I66" s="305" t="str">
        <f>IF(ISERROR(IF(K66=0,"",IF(K66=1,CHAR(HEX2DEC(G66)),IF(K66=2,VLOOKUP(CONCATENATE(G66," ",G67),'IGS Configuration Values'!$C$241:$D$496,2,FALSE),"N/D"))))=TRUE,"",IF(K66=0,"",IF(K66=1,CHAR(HEX2DEC(G66)),IF(K66=2,VLOOKUP(CONCATENATE(G66," ",G67),'IGS Configuration Values'!$C$241:$D$496,2,FALSE),"N/D"))))</f>
        <v/>
      </c>
      <c r="J66" s="323"/>
      <c r="K66" s="158">
        <f t="shared" si="3"/>
        <v>1</v>
      </c>
    </row>
    <row r="67" spans="3:11" hidden="1" outlineLevel="1">
      <c r="C67" s="19" t="s">
        <v>1692</v>
      </c>
      <c r="D67" s="18">
        <f t="shared" si="6"/>
        <v>69</v>
      </c>
      <c r="E67" s="18">
        <f t="shared" si="7"/>
        <v>69</v>
      </c>
      <c r="F67" s="18">
        <v>1</v>
      </c>
      <c r="G67" s="301" t="str">
        <f t="shared" si="8"/>
        <v/>
      </c>
      <c r="H67" s="301"/>
      <c r="I67" s="305" t="str">
        <f>IF(ISERROR(IF(K67=0,"",IF(K67=1,CHAR(HEX2DEC(G67)),IF(K67=2,VLOOKUP(CONCATENATE(G67," ",G68),'IGS Configuration Values'!$C$241:$D$496,2,FALSE),"N/D"))))=TRUE,"",IF(K67=0,"",IF(K67=1,CHAR(HEX2DEC(G67)),IF(K67=2,VLOOKUP(CONCATENATE(G67," ",G68),'IGS Configuration Values'!$C$241:$D$496,2,FALSE),"N/D"))))</f>
        <v/>
      </c>
      <c r="J67" s="323"/>
      <c r="K67" s="158">
        <f t="shared" si="3"/>
        <v>1</v>
      </c>
    </row>
    <row r="68" spans="3:11" hidden="1" outlineLevel="1">
      <c r="C68" s="19" t="s">
        <v>1693</v>
      </c>
      <c r="D68" s="18">
        <f t="shared" si="6"/>
        <v>70</v>
      </c>
      <c r="E68" s="18">
        <f t="shared" si="7"/>
        <v>70</v>
      </c>
      <c r="F68" s="18">
        <v>1</v>
      </c>
      <c r="G68" s="301" t="str">
        <f t="shared" si="8"/>
        <v/>
      </c>
      <c r="H68" s="301"/>
      <c r="I68" s="305" t="str">
        <f>IF(ISERROR(IF(K68=0,"",IF(K68=1,CHAR(HEX2DEC(G68)),IF(K68=2,VLOOKUP(CONCATENATE(G68," ",G69),'IGS Configuration Values'!$C$241:$D$496,2,FALSE),"N/D"))))=TRUE,"",IF(K68=0,"",IF(K68=1,CHAR(HEX2DEC(G68)),IF(K68=2,VLOOKUP(CONCATENATE(G68," ",G69),'IGS Configuration Values'!$C$241:$D$496,2,FALSE),"N/D"))))</f>
        <v/>
      </c>
      <c r="J68" s="323"/>
      <c r="K68" s="158">
        <f t="shared" si="3"/>
        <v>1</v>
      </c>
    </row>
    <row r="69" spans="3:11" hidden="1" outlineLevel="1">
      <c r="C69" s="19" t="s">
        <v>1694</v>
      </c>
      <c r="D69" s="18">
        <f t="shared" si="6"/>
        <v>71</v>
      </c>
      <c r="E69" s="18">
        <f t="shared" si="7"/>
        <v>71</v>
      </c>
      <c r="F69" s="18">
        <v>1</v>
      </c>
      <c r="G69" s="301" t="str">
        <f t="shared" si="8"/>
        <v/>
      </c>
      <c r="H69" s="301"/>
      <c r="I69" s="305" t="str">
        <f>IF(ISERROR(IF(K69=0,"",IF(K69=1,CHAR(HEX2DEC(G69)),IF(K69=2,VLOOKUP(CONCATENATE(G69," ",G70),'IGS Configuration Values'!$C$241:$D$496,2,FALSE),"N/D"))))=TRUE,"",IF(K69=0,"",IF(K69=1,CHAR(HEX2DEC(G69)),IF(K69=2,VLOOKUP(CONCATENATE(G69," ",G70),'IGS Configuration Values'!$C$241:$D$496,2,FALSE),"N/D"))))</f>
        <v/>
      </c>
      <c r="J69" s="323"/>
      <c r="K69" s="158">
        <f t="shared" si="3"/>
        <v>1</v>
      </c>
    </row>
    <row r="70" spans="3:11" hidden="1" outlineLevel="1">
      <c r="C70" s="19" t="s">
        <v>1695</v>
      </c>
      <c r="D70" s="18">
        <f t="shared" si="6"/>
        <v>72</v>
      </c>
      <c r="E70" s="18">
        <f t="shared" si="7"/>
        <v>72</v>
      </c>
      <c r="F70" s="18">
        <v>1</v>
      </c>
      <c r="G70" s="301" t="str">
        <f t="shared" si="8"/>
        <v/>
      </c>
      <c r="H70" s="301"/>
      <c r="I70" s="305" t="str">
        <f>IF(ISERROR(IF(K70=0,"",IF(K70=1,CHAR(HEX2DEC(G70)),IF(K70=2,VLOOKUP(CONCATENATE(G70," ",G71),'IGS Configuration Values'!$C$241:$D$496,2,FALSE),"N/D"))))=TRUE,"",IF(K70=0,"",IF(K70=1,CHAR(HEX2DEC(G70)),IF(K70=2,VLOOKUP(CONCATENATE(G70," ",G71),'IGS Configuration Values'!$C$241:$D$496,2,FALSE),"N/D"))))</f>
        <v/>
      </c>
      <c r="J70" s="323"/>
      <c r="K70" s="158">
        <f t="shared" si="3"/>
        <v>1</v>
      </c>
    </row>
    <row r="71" spans="3:11" hidden="1" outlineLevel="1">
      <c r="C71" s="19" t="s">
        <v>1696</v>
      </c>
      <c r="D71" s="18">
        <f t="shared" si="6"/>
        <v>73</v>
      </c>
      <c r="E71" s="18">
        <f t="shared" si="7"/>
        <v>73</v>
      </c>
      <c r="F71" s="18">
        <v>1</v>
      </c>
      <c r="G71" s="301" t="str">
        <f t="shared" si="8"/>
        <v/>
      </c>
      <c r="H71" s="301"/>
      <c r="I71" s="305" t="str">
        <f>IF(ISERROR(IF(K71=0,"",IF(K71=1,CHAR(HEX2DEC(G71)),IF(K71=2,VLOOKUP(CONCATENATE(G71," ",G72),'IGS Configuration Values'!$C$241:$D$496,2,FALSE),"N/D"))))=TRUE,"",IF(K71=0,"",IF(K71=1,CHAR(HEX2DEC(G71)),IF(K71=2,VLOOKUP(CONCATENATE(G71," ",G72),'IGS Configuration Values'!$C$241:$D$496,2,FALSE),"N/D"))))</f>
        <v/>
      </c>
      <c r="J71" s="323"/>
      <c r="K71" s="158">
        <f t="shared" si="3"/>
        <v>1</v>
      </c>
    </row>
    <row r="72" spans="3:11" hidden="1" outlineLevel="1">
      <c r="C72" s="19" t="s">
        <v>1697</v>
      </c>
      <c r="D72" s="18">
        <f t="shared" si="6"/>
        <v>74</v>
      </c>
      <c r="E72" s="18">
        <f t="shared" si="7"/>
        <v>74</v>
      </c>
      <c r="F72" s="18">
        <v>1</v>
      </c>
      <c r="G72" s="301" t="str">
        <f t="shared" si="8"/>
        <v/>
      </c>
      <c r="H72" s="301"/>
      <c r="I72" s="305" t="str">
        <f>IF(ISERROR(IF(K72=0,"",IF(K72=1,CHAR(HEX2DEC(G72)),IF(K72=2,VLOOKUP(CONCATENATE(G72," ",G73),'IGS Configuration Values'!$C$241:$D$496,2,FALSE),"N/D"))))=TRUE,"",IF(K72=0,"",IF(K72=1,CHAR(HEX2DEC(G72)),IF(K72=2,VLOOKUP(CONCATENATE(G72," ",G73),'IGS Configuration Values'!$C$241:$D$496,2,FALSE),"N/D"))))</f>
        <v/>
      </c>
      <c r="J72" s="323"/>
      <c r="K72" s="158">
        <f t="shared" si="3"/>
        <v>1</v>
      </c>
    </row>
    <row r="73" spans="3:11" hidden="1" outlineLevel="1">
      <c r="C73" s="19" t="s">
        <v>1698</v>
      </c>
      <c r="D73" s="18">
        <f t="shared" si="6"/>
        <v>75</v>
      </c>
      <c r="E73" s="18">
        <f t="shared" si="7"/>
        <v>75</v>
      </c>
      <c r="F73" s="18">
        <v>1</v>
      </c>
      <c r="G73" s="301" t="str">
        <f t="shared" si="8"/>
        <v/>
      </c>
      <c r="H73" s="301"/>
      <c r="I73" s="305" t="str">
        <f>IF(ISERROR(IF(K73=0,"",IF(K73=1,CHAR(HEX2DEC(G73)),IF(K73=2,VLOOKUP(CONCATENATE(G73," ",G74),'IGS Configuration Values'!$C$241:$D$496,2,FALSE),"N/D"))))=TRUE,"",IF(K73=0,"",IF(K73=1,CHAR(HEX2DEC(G73)),IF(K73=2,VLOOKUP(CONCATENATE(G73," ",G74),'IGS Configuration Values'!$C$241:$D$496,2,FALSE),"N/D"))))</f>
        <v/>
      </c>
      <c r="J73" s="323"/>
      <c r="K73" s="158">
        <f t="shared" si="3"/>
        <v>1</v>
      </c>
    </row>
    <row r="74" spans="3:11" hidden="1" outlineLevel="1">
      <c r="C74" s="19" t="s">
        <v>1699</v>
      </c>
      <c r="D74" s="18">
        <f t="shared" si="6"/>
        <v>76</v>
      </c>
      <c r="E74" s="18">
        <f t="shared" si="7"/>
        <v>76</v>
      </c>
      <c r="F74" s="18">
        <v>1</v>
      </c>
      <c r="G74" s="301" t="str">
        <f t="shared" si="8"/>
        <v/>
      </c>
      <c r="H74" s="301"/>
      <c r="I74" s="305" t="str">
        <f>IF(ISERROR(IF(K74=0,"",IF(K74=1,CHAR(HEX2DEC(G74)),IF(K74=2,VLOOKUP(CONCATENATE(G74," ",G75),'IGS Configuration Values'!$C$241:$D$496,2,FALSE),"N/D"))))=TRUE,"",IF(K74=0,"",IF(K74=1,CHAR(HEX2DEC(G74)),IF(K74=2,VLOOKUP(CONCATENATE(G74," ",G75),'IGS Configuration Values'!$C$241:$D$496,2,FALSE),"N/D"))))</f>
        <v/>
      </c>
      <c r="J74" s="323"/>
      <c r="K74" s="158">
        <f t="shared" si="3"/>
        <v>1</v>
      </c>
    </row>
    <row r="75" spans="3:11" hidden="1" outlineLevel="1">
      <c r="C75" s="19" t="s">
        <v>1700</v>
      </c>
      <c r="D75" s="18">
        <f t="shared" ref="D75:D138" si="9">E74+1</f>
        <v>77</v>
      </c>
      <c r="E75" s="18">
        <f t="shared" ref="E75:E138" si="10">D75+F75-1</f>
        <v>77</v>
      </c>
      <c r="F75" s="18">
        <v>1</v>
      </c>
      <c r="G75" s="301" t="str">
        <f t="shared" ref="G75:G138" si="11">TRIM(MID($C$4,(D75-1)*3+1,F75*3))</f>
        <v/>
      </c>
      <c r="H75" s="301"/>
      <c r="I75" s="305" t="str">
        <f>IF(ISERROR(IF(K75=0,"",IF(K75=1,CHAR(HEX2DEC(G75)),IF(K75=2,VLOOKUP(CONCATENATE(G75," ",G76),'IGS Configuration Values'!$C$241:$D$496,2,FALSE),"N/D"))))=TRUE,"",IF(K75=0,"",IF(K75=1,CHAR(HEX2DEC(G75)),IF(K75=2,VLOOKUP(CONCATENATE(G75," ",G76),'IGS Configuration Values'!$C$241:$D$496,2,FALSE),"N/D"))))</f>
        <v/>
      </c>
      <c r="J75" s="323"/>
      <c r="K75" s="158">
        <f t="shared" si="3"/>
        <v>1</v>
      </c>
    </row>
    <row r="76" spans="3:11" hidden="1" outlineLevel="1">
      <c r="C76" s="19" t="s">
        <v>1701</v>
      </c>
      <c r="D76" s="18">
        <f t="shared" si="9"/>
        <v>78</v>
      </c>
      <c r="E76" s="18">
        <f t="shared" si="10"/>
        <v>78</v>
      </c>
      <c r="F76" s="18">
        <v>1</v>
      </c>
      <c r="G76" s="301" t="str">
        <f t="shared" si="11"/>
        <v/>
      </c>
      <c r="H76" s="301"/>
      <c r="I76" s="305" t="str">
        <f>IF(ISERROR(IF(K76=0,"",IF(K76=1,CHAR(HEX2DEC(G76)),IF(K76=2,VLOOKUP(CONCATENATE(G76," ",G77),'IGS Configuration Values'!$C$241:$D$496,2,FALSE),"N/D"))))=TRUE,"",IF(K76=0,"",IF(K76=1,CHAR(HEX2DEC(G76)),IF(K76=2,VLOOKUP(CONCATENATE(G76," ",G77),'IGS Configuration Values'!$C$241:$D$496,2,FALSE),"N/D"))))</f>
        <v/>
      </c>
      <c r="J76" s="323"/>
      <c r="K76" s="158">
        <f t="shared" si="3"/>
        <v>1</v>
      </c>
    </row>
    <row r="77" spans="3:11" hidden="1" outlineLevel="1">
      <c r="C77" s="19" t="s">
        <v>1702</v>
      </c>
      <c r="D77" s="18">
        <f t="shared" si="9"/>
        <v>79</v>
      </c>
      <c r="E77" s="18">
        <f t="shared" si="10"/>
        <v>79</v>
      </c>
      <c r="F77" s="18">
        <v>1</v>
      </c>
      <c r="G77" s="301" t="str">
        <f t="shared" si="11"/>
        <v/>
      </c>
      <c r="H77" s="301"/>
      <c r="I77" s="305" t="str">
        <f>IF(ISERROR(IF(K77=0,"",IF(K77=1,CHAR(HEX2DEC(G77)),IF(K77=2,VLOOKUP(CONCATENATE(G77," ",G78),'IGS Configuration Values'!$C$241:$D$496,2,FALSE),"N/D"))))=TRUE,"",IF(K77=0,"",IF(K77=1,CHAR(HEX2DEC(G77)),IF(K77=2,VLOOKUP(CONCATENATE(G77," ",G78),'IGS Configuration Values'!$C$241:$D$496,2,FALSE),"N/D"))))</f>
        <v/>
      </c>
      <c r="J77" s="323"/>
      <c r="K77" s="158">
        <f t="shared" si="3"/>
        <v>1</v>
      </c>
    </row>
    <row r="78" spans="3:11" hidden="1" outlineLevel="1">
      <c r="C78" s="19" t="s">
        <v>1703</v>
      </c>
      <c r="D78" s="18">
        <f t="shared" si="9"/>
        <v>80</v>
      </c>
      <c r="E78" s="18">
        <f t="shared" si="10"/>
        <v>80</v>
      </c>
      <c r="F78" s="18">
        <v>1</v>
      </c>
      <c r="G78" s="301" t="str">
        <f t="shared" si="11"/>
        <v/>
      </c>
      <c r="H78" s="301"/>
      <c r="I78" s="305" t="str">
        <f>IF(ISERROR(IF(K78=0,"",IF(K78=1,CHAR(HEX2DEC(G78)),IF(K78=2,VLOOKUP(CONCATENATE(G78," ",G79),'IGS Configuration Values'!$C$241:$D$496,2,FALSE),"N/D"))))=TRUE,"",IF(K78=0,"",IF(K78=1,CHAR(HEX2DEC(G78)),IF(K78=2,VLOOKUP(CONCATENATE(G78," ",G79),'IGS Configuration Values'!$C$241:$D$496,2,FALSE),"N/D"))))</f>
        <v/>
      </c>
      <c r="J78" s="323"/>
      <c r="K78" s="158">
        <f t="shared" si="3"/>
        <v>1</v>
      </c>
    </row>
    <row r="79" spans="3:11" hidden="1" outlineLevel="1">
      <c r="C79" s="19" t="s">
        <v>1704</v>
      </c>
      <c r="D79" s="18">
        <f t="shared" si="9"/>
        <v>81</v>
      </c>
      <c r="E79" s="18">
        <f t="shared" si="10"/>
        <v>81</v>
      </c>
      <c r="F79" s="18">
        <v>1</v>
      </c>
      <c r="G79" s="301" t="str">
        <f t="shared" si="11"/>
        <v/>
      </c>
      <c r="H79" s="301"/>
      <c r="I79" s="305" t="str">
        <f>IF(ISERROR(IF(K79=0,"",IF(K79=1,CHAR(HEX2DEC(G79)),IF(K79=2,VLOOKUP(CONCATENATE(G79," ",G80),'IGS Configuration Values'!$C$241:$D$496,2,FALSE),"N/D"))))=TRUE,"",IF(K79=0,"",IF(K79=1,CHAR(HEX2DEC(G79)),IF(K79=2,VLOOKUP(CONCATENATE(G79," ",G80),'IGS Configuration Values'!$C$241:$D$496,2,FALSE),"N/D"))))</f>
        <v/>
      </c>
      <c r="J79" s="323"/>
      <c r="K79" s="158">
        <f t="shared" si="3"/>
        <v>1</v>
      </c>
    </row>
    <row r="80" spans="3:11" hidden="1" outlineLevel="1">
      <c r="C80" s="19" t="s">
        <v>1705</v>
      </c>
      <c r="D80" s="18">
        <f t="shared" si="9"/>
        <v>82</v>
      </c>
      <c r="E80" s="18">
        <f t="shared" si="10"/>
        <v>82</v>
      </c>
      <c r="F80" s="18">
        <v>1</v>
      </c>
      <c r="G80" s="301" t="str">
        <f t="shared" si="11"/>
        <v/>
      </c>
      <c r="H80" s="301"/>
      <c r="I80" s="305" t="str">
        <f>IF(ISERROR(IF(K80=0,"",IF(K80=1,CHAR(HEX2DEC(G80)),IF(K80=2,VLOOKUP(CONCATENATE(G80," ",G81),'IGS Configuration Values'!$C$241:$D$496,2,FALSE),"N/D"))))=TRUE,"",IF(K80=0,"",IF(K80=1,CHAR(HEX2DEC(G80)),IF(K80=2,VLOOKUP(CONCATENATE(G80," ",G81),'IGS Configuration Values'!$C$241:$D$496,2,FALSE),"N/D"))))</f>
        <v/>
      </c>
      <c r="J80" s="323"/>
      <c r="K80" s="158">
        <f t="shared" si="3"/>
        <v>1</v>
      </c>
    </row>
    <row r="81" spans="3:11" hidden="1" outlineLevel="1">
      <c r="C81" s="19" t="s">
        <v>1706</v>
      </c>
      <c r="D81" s="18">
        <f t="shared" si="9"/>
        <v>83</v>
      </c>
      <c r="E81" s="18">
        <f t="shared" si="10"/>
        <v>83</v>
      </c>
      <c r="F81" s="18">
        <v>1</v>
      </c>
      <c r="G81" s="301" t="str">
        <f t="shared" si="11"/>
        <v/>
      </c>
      <c r="H81" s="301"/>
      <c r="I81" s="305" t="str">
        <f>IF(ISERROR(IF(K81=0,"",IF(K81=1,CHAR(HEX2DEC(G81)),IF(K81=2,VLOOKUP(CONCATENATE(G81," ",G82),'IGS Configuration Values'!$C$241:$D$496,2,FALSE),"N/D"))))=TRUE,"",IF(K81=0,"",IF(K81=1,CHAR(HEX2DEC(G81)),IF(K81=2,VLOOKUP(CONCATENATE(G81," ",G82),'IGS Configuration Values'!$C$241:$D$496,2,FALSE),"N/D"))))</f>
        <v/>
      </c>
      <c r="J81" s="323"/>
      <c r="K81" s="158">
        <f t="shared" ref="K81:K144" si="12">IF(K80=2,0,IF(HEX2DEC(G81)&lt;128,1,IF(HEX2DEC(G81)&gt;127,2,"ERRO")))</f>
        <v>1</v>
      </c>
    </row>
    <row r="82" spans="3:11" hidden="1" outlineLevel="1">
      <c r="C82" s="19" t="s">
        <v>1707</v>
      </c>
      <c r="D82" s="18">
        <f t="shared" si="9"/>
        <v>84</v>
      </c>
      <c r="E82" s="18">
        <f t="shared" si="10"/>
        <v>84</v>
      </c>
      <c r="F82" s="18">
        <v>1</v>
      </c>
      <c r="G82" s="301" t="str">
        <f t="shared" si="11"/>
        <v/>
      </c>
      <c r="H82" s="301"/>
      <c r="I82" s="305" t="str">
        <f>IF(ISERROR(IF(K82=0,"",IF(K82=1,CHAR(HEX2DEC(G82)),IF(K82=2,VLOOKUP(CONCATENATE(G82," ",G83),'IGS Configuration Values'!$C$241:$D$496,2,FALSE),"N/D"))))=TRUE,"",IF(K82=0,"",IF(K82=1,CHAR(HEX2DEC(G82)),IF(K82=2,VLOOKUP(CONCATENATE(G82," ",G83),'IGS Configuration Values'!$C$241:$D$496,2,FALSE),"N/D"))))</f>
        <v/>
      </c>
      <c r="J82" s="323"/>
      <c r="K82" s="158">
        <f t="shared" si="12"/>
        <v>1</v>
      </c>
    </row>
    <row r="83" spans="3:11" hidden="1" outlineLevel="1">
      <c r="C83" s="19" t="s">
        <v>1708</v>
      </c>
      <c r="D83" s="18">
        <f t="shared" si="9"/>
        <v>85</v>
      </c>
      <c r="E83" s="18">
        <f t="shared" si="10"/>
        <v>85</v>
      </c>
      <c r="F83" s="18">
        <v>1</v>
      </c>
      <c r="G83" s="301" t="str">
        <f t="shared" si="11"/>
        <v/>
      </c>
      <c r="H83" s="301"/>
      <c r="I83" s="305" t="str">
        <f>IF(ISERROR(IF(K83=0,"",IF(K83=1,CHAR(HEX2DEC(G83)),IF(K83=2,VLOOKUP(CONCATENATE(G83," ",G84),'IGS Configuration Values'!$C$241:$D$496,2,FALSE),"N/D"))))=TRUE,"",IF(K83=0,"",IF(K83=1,CHAR(HEX2DEC(G83)),IF(K83=2,VLOOKUP(CONCATENATE(G83," ",G84),'IGS Configuration Values'!$C$241:$D$496,2,FALSE),"N/D"))))</f>
        <v/>
      </c>
      <c r="J83" s="323"/>
      <c r="K83" s="158">
        <f t="shared" si="12"/>
        <v>1</v>
      </c>
    </row>
    <row r="84" spans="3:11" hidden="1" outlineLevel="1">
      <c r="C84" s="19" t="s">
        <v>1709</v>
      </c>
      <c r="D84" s="18">
        <f t="shared" si="9"/>
        <v>86</v>
      </c>
      <c r="E84" s="18">
        <f t="shared" si="10"/>
        <v>86</v>
      </c>
      <c r="F84" s="18">
        <v>1</v>
      </c>
      <c r="G84" s="301" t="str">
        <f t="shared" si="11"/>
        <v/>
      </c>
      <c r="H84" s="301"/>
      <c r="I84" s="305" t="str">
        <f>IF(ISERROR(IF(K84=0,"",IF(K84=1,CHAR(HEX2DEC(G84)),IF(K84=2,VLOOKUP(CONCATENATE(G84," ",G85),'IGS Configuration Values'!$C$241:$D$496,2,FALSE),"N/D"))))=TRUE,"",IF(K84=0,"",IF(K84=1,CHAR(HEX2DEC(G84)),IF(K84=2,VLOOKUP(CONCATENATE(G84," ",G85),'IGS Configuration Values'!$C$241:$D$496,2,FALSE),"N/D"))))</f>
        <v/>
      </c>
      <c r="J84" s="323"/>
      <c r="K84" s="158">
        <f t="shared" si="12"/>
        <v>1</v>
      </c>
    </row>
    <row r="85" spans="3:11" hidden="1" outlineLevel="1">
      <c r="C85" s="19" t="s">
        <v>1710</v>
      </c>
      <c r="D85" s="18">
        <f t="shared" si="9"/>
        <v>87</v>
      </c>
      <c r="E85" s="18">
        <f t="shared" si="10"/>
        <v>87</v>
      </c>
      <c r="F85" s="18">
        <v>1</v>
      </c>
      <c r="G85" s="301" t="str">
        <f t="shared" si="11"/>
        <v/>
      </c>
      <c r="H85" s="301"/>
      <c r="I85" s="305" t="str">
        <f>IF(ISERROR(IF(K85=0,"",IF(K85=1,CHAR(HEX2DEC(G85)),IF(K85=2,VLOOKUP(CONCATENATE(G85," ",G86),'IGS Configuration Values'!$C$241:$D$496,2,FALSE),"N/D"))))=TRUE,"",IF(K85=0,"",IF(K85=1,CHAR(HEX2DEC(G85)),IF(K85=2,VLOOKUP(CONCATENATE(G85," ",G86),'IGS Configuration Values'!$C$241:$D$496,2,FALSE),"N/D"))))</f>
        <v/>
      </c>
      <c r="J85" s="323"/>
      <c r="K85" s="158">
        <f t="shared" si="12"/>
        <v>1</v>
      </c>
    </row>
    <row r="86" spans="3:11" hidden="1" outlineLevel="1">
      <c r="C86" s="19" t="s">
        <v>1711</v>
      </c>
      <c r="D86" s="18">
        <f t="shared" si="9"/>
        <v>88</v>
      </c>
      <c r="E86" s="18">
        <f t="shared" si="10"/>
        <v>88</v>
      </c>
      <c r="F86" s="18">
        <v>1</v>
      </c>
      <c r="G86" s="301" t="str">
        <f t="shared" si="11"/>
        <v/>
      </c>
      <c r="H86" s="301"/>
      <c r="I86" s="305" t="str">
        <f>IF(ISERROR(IF(K86=0,"",IF(K86=1,CHAR(HEX2DEC(G86)),IF(K86=2,VLOOKUP(CONCATENATE(G86," ",G87),'IGS Configuration Values'!$C$241:$D$496,2,FALSE),"N/D"))))=TRUE,"",IF(K86=0,"",IF(K86=1,CHAR(HEX2DEC(G86)),IF(K86=2,VLOOKUP(CONCATENATE(G86," ",G87),'IGS Configuration Values'!$C$241:$D$496,2,FALSE),"N/D"))))</f>
        <v/>
      </c>
      <c r="J86" s="323"/>
      <c r="K86" s="158">
        <f t="shared" si="12"/>
        <v>1</v>
      </c>
    </row>
    <row r="87" spans="3:11" hidden="1" outlineLevel="1">
      <c r="C87" s="19" t="s">
        <v>1712</v>
      </c>
      <c r="D87" s="18">
        <f t="shared" si="9"/>
        <v>89</v>
      </c>
      <c r="E87" s="18">
        <f t="shared" si="10"/>
        <v>89</v>
      </c>
      <c r="F87" s="18">
        <v>1</v>
      </c>
      <c r="G87" s="301" t="str">
        <f t="shared" si="11"/>
        <v/>
      </c>
      <c r="H87" s="301"/>
      <c r="I87" s="305" t="str">
        <f>IF(ISERROR(IF(K87=0,"",IF(K87=1,CHAR(HEX2DEC(G87)),IF(K87=2,VLOOKUP(CONCATENATE(G87," ",G88),'IGS Configuration Values'!$C$241:$D$496,2,FALSE),"N/D"))))=TRUE,"",IF(K87=0,"",IF(K87=1,CHAR(HEX2DEC(G87)),IF(K87=2,VLOOKUP(CONCATENATE(G87," ",G88),'IGS Configuration Values'!$C$241:$D$496,2,FALSE),"N/D"))))</f>
        <v/>
      </c>
      <c r="J87" s="323"/>
      <c r="K87" s="158">
        <f t="shared" si="12"/>
        <v>1</v>
      </c>
    </row>
    <row r="88" spans="3:11" hidden="1" outlineLevel="1">
      <c r="C88" s="19" t="s">
        <v>1713</v>
      </c>
      <c r="D88" s="18">
        <f t="shared" si="9"/>
        <v>90</v>
      </c>
      <c r="E88" s="18">
        <f t="shared" si="10"/>
        <v>90</v>
      </c>
      <c r="F88" s="18">
        <v>1</v>
      </c>
      <c r="G88" s="301" t="str">
        <f t="shared" si="11"/>
        <v/>
      </c>
      <c r="H88" s="301"/>
      <c r="I88" s="305" t="str">
        <f>IF(ISERROR(IF(K88=0,"",IF(K88=1,CHAR(HEX2DEC(G88)),IF(K88=2,VLOOKUP(CONCATENATE(G88," ",G89),'IGS Configuration Values'!$C$241:$D$496,2,FALSE),"N/D"))))=TRUE,"",IF(K88=0,"",IF(K88=1,CHAR(HEX2DEC(G88)),IF(K88=2,VLOOKUP(CONCATENATE(G88," ",G89),'IGS Configuration Values'!$C$241:$D$496,2,FALSE),"N/D"))))</f>
        <v/>
      </c>
      <c r="J88" s="323"/>
      <c r="K88" s="158">
        <f t="shared" si="12"/>
        <v>1</v>
      </c>
    </row>
    <row r="89" spans="3:11" hidden="1" outlineLevel="1">
      <c r="C89" s="19" t="s">
        <v>1714</v>
      </c>
      <c r="D89" s="18">
        <f t="shared" si="9"/>
        <v>91</v>
      </c>
      <c r="E89" s="18">
        <f t="shared" si="10"/>
        <v>91</v>
      </c>
      <c r="F89" s="18">
        <v>1</v>
      </c>
      <c r="G89" s="301" t="str">
        <f t="shared" si="11"/>
        <v/>
      </c>
      <c r="H89" s="301"/>
      <c r="I89" s="305" t="str">
        <f>IF(ISERROR(IF(K89=0,"",IF(K89=1,CHAR(HEX2DEC(G89)),IF(K89=2,VLOOKUP(CONCATENATE(G89," ",G90),'IGS Configuration Values'!$C$241:$D$496,2,FALSE),"N/D"))))=TRUE,"",IF(K89=0,"",IF(K89=1,CHAR(HEX2DEC(G89)),IF(K89=2,VLOOKUP(CONCATENATE(G89," ",G90),'IGS Configuration Values'!$C$241:$D$496,2,FALSE),"N/D"))))</f>
        <v/>
      </c>
      <c r="J89" s="323"/>
      <c r="K89" s="158">
        <f t="shared" si="12"/>
        <v>1</v>
      </c>
    </row>
    <row r="90" spans="3:11" hidden="1" outlineLevel="1">
      <c r="C90" s="19" t="s">
        <v>1715</v>
      </c>
      <c r="D90" s="18">
        <f t="shared" si="9"/>
        <v>92</v>
      </c>
      <c r="E90" s="18">
        <f t="shared" si="10"/>
        <v>92</v>
      </c>
      <c r="F90" s="18">
        <v>1</v>
      </c>
      <c r="G90" s="301" t="str">
        <f t="shared" si="11"/>
        <v/>
      </c>
      <c r="H90" s="301"/>
      <c r="I90" s="305" t="str">
        <f>IF(ISERROR(IF(K90=0,"",IF(K90=1,CHAR(HEX2DEC(G90)),IF(K90=2,VLOOKUP(CONCATENATE(G90," ",G91),'IGS Configuration Values'!$C$241:$D$496,2,FALSE),"N/D"))))=TRUE,"",IF(K90=0,"",IF(K90=1,CHAR(HEX2DEC(G90)),IF(K90=2,VLOOKUP(CONCATENATE(G90," ",G91),'IGS Configuration Values'!$C$241:$D$496,2,FALSE),"N/D"))))</f>
        <v/>
      </c>
      <c r="J90" s="323"/>
      <c r="K90" s="158">
        <f t="shared" si="12"/>
        <v>1</v>
      </c>
    </row>
    <row r="91" spans="3:11" hidden="1" outlineLevel="1">
      <c r="C91" s="19" t="s">
        <v>1716</v>
      </c>
      <c r="D91" s="18">
        <f t="shared" si="9"/>
        <v>93</v>
      </c>
      <c r="E91" s="18">
        <f t="shared" si="10"/>
        <v>93</v>
      </c>
      <c r="F91" s="18">
        <v>1</v>
      </c>
      <c r="G91" s="301" t="str">
        <f t="shared" si="11"/>
        <v/>
      </c>
      <c r="H91" s="301"/>
      <c r="I91" s="305" t="str">
        <f>IF(ISERROR(IF(K91=0,"",IF(K91=1,CHAR(HEX2DEC(G91)),IF(K91=2,VLOOKUP(CONCATENATE(G91," ",G92),'IGS Configuration Values'!$C$241:$D$496,2,FALSE),"N/D"))))=TRUE,"",IF(K91=0,"",IF(K91=1,CHAR(HEX2DEC(G91)),IF(K91=2,VLOOKUP(CONCATENATE(G91," ",G92),'IGS Configuration Values'!$C$241:$D$496,2,FALSE),"N/D"))))</f>
        <v/>
      </c>
      <c r="J91" s="323"/>
      <c r="K91" s="158">
        <f t="shared" si="12"/>
        <v>1</v>
      </c>
    </row>
    <row r="92" spans="3:11" hidden="1" outlineLevel="1">
      <c r="C92" s="19" t="s">
        <v>1717</v>
      </c>
      <c r="D92" s="18">
        <f t="shared" si="9"/>
        <v>94</v>
      </c>
      <c r="E92" s="18">
        <f t="shared" si="10"/>
        <v>94</v>
      </c>
      <c r="F92" s="18">
        <v>1</v>
      </c>
      <c r="G92" s="301" t="str">
        <f t="shared" si="11"/>
        <v/>
      </c>
      <c r="H92" s="301"/>
      <c r="I92" s="305" t="str">
        <f>IF(ISERROR(IF(K92=0,"",IF(K92=1,CHAR(HEX2DEC(G92)),IF(K92=2,VLOOKUP(CONCATENATE(G92," ",G93),'IGS Configuration Values'!$C$241:$D$496,2,FALSE),"N/D"))))=TRUE,"",IF(K92=0,"",IF(K92=1,CHAR(HEX2DEC(G92)),IF(K92=2,VLOOKUP(CONCATENATE(G92," ",G93),'IGS Configuration Values'!$C$241:$D$496,2,FALSE),"N/D"))))</f>
        <v/>
      </c>
      <c r="J92" s="323"/>
      <c r="K92" s="158">
        <f t="shared" si="12"/>
        <v>1</v>
      </c>
    </row>
    <row r="93" spans="3:11" hidden="1" outlineLevel="1">
      <c r="C93" s="19" t="s">
        <v>1718</v>
      </c>
      <c r="D93" s="18">
        <f t="shared" si="9"/>
        <v>95</v>
      </c>
      <c r="E93" s="18">
        <f t="shared" si="10"/>
        <v>95</v>
      </c>
      <c r="F93" s="18">
        <v>1</v>
      </c>
      <c r="G93" s="301" t="str">
        <f t="shared" si="11"/>
        <v/>
      </c>
      <c r="H93" s="301"/>
      <c r="I93" s="305" t="str">
        <f>IF(ISERROR(IF(K93=0,"",IF(K93=1,CHAR(HEX2DEC(G93)),IF(K93=2,VLOOKUP(CONCATENATE(G93," ",G94),'IGS Configuration Values'!$C$241:$D$496,2,FALSE),"N/D"))))=TRUE,"",IF(K93=0,"",IF(K93=1,CHAR(HEX2DEC(G93)),IF(K93=2,VLOOKUP(CONCATENATE(G93," ",G94),'IGS Configuration Values'!$C$241:$D$496,2,FALSE),"N/D"))))</f>
        <v/>
      </c>
      <c r="J93" s="323"/>
      <c r="K93" s="158">
        <f t="shared" si="12"/>
        <v>1</v>
      </c>
    </row>
    <row r="94" spans="3:11" hidden="1" outlineLevel="1">
      <c r="C94" s="19" t="s">
        <v>1719</v>
      </c>
      <c r="D94" s="18">
        <f t="shared" si="9"/>
        <v>96</v>
      </c>
      <c r="E94" s="18">
        <f t="shared" si="10"/>
        <v>96</v>
      </c>
      <c r="F94" s="18">
        <v>1</v>
      </c>
      <c r="G94" s="301" t="str">
        <f t="shared" si="11"/>
        <v/>
      </c>
      <c r="H94" s="301"/>
      <c r="I94" s="305" t="str">
        <f>IF(ISERROR(IF(K94=0,"",IF(K94=1,CHAR(HEX2DEC(G94)),IF(K94=2,VLOOKUP(CONCATENATE(G94," ",G95),'IGS Configuration Values'!$C$241:$D$496,2,FALSE),"N/D"))))=TRUE,"",IF(K94=0,"",IF(K94=1,CHAR(HEX2DEC(G94)),IF(K94=2,VLOOKUP(CONCATENATE(G94," ",G95),'IGS Configuration Values'!$C$241:$D$496,2,FALSE),"N/D"))))</f>
        <v/>
      </c>
      <c r="J94" s="323"/>
      <c r="K94" s="158">
        <f t="shared" si="12"/>
        <v>1</v>
      </c>
    </row>
    <row r="95" spans="3:11" hidden="1" outlineLevel="1">
      <c r="C95" s="19" t="s">
        <v>1720</v>
      </c>
      <c r="D95" s="18">
        <f t="shared" si="9"/>
        <v>97</v>
      </c>
      <c r="E95" s="18">
        <f t="shared" si="10"/>
        <v>97</v>
      </c>
      <c r="F95" s="18">
        <v>1</v>
      </c>
      <c r="G95" s="301" t="str">
        <f t="shared" si="11"/>
        <v/>
      </c>
      <c r="H95" s="301"/>
      <c r="I95" s="305" t="str">
        <f>IF(ISERROR(IF(K95=0,"",IF(K95=1,CHAR(HEX2DEC(G95)),IF(K95=2,VLOOKUP(CONCATENATE(G95," ",G96),'IGS Configuration Values'!$C$241:$D$496,2,FALSE),"N/D"))))=TRUE,"",IF(K95=0,"",IF(K95=1,CHAR(HEX2DEC(G95)),IF(K95=2,VLOOKUP(CONCATENATE(G95," ",G96),'IGS Configuration Values'!$C$241:$D$496,2,FALSE),"N/D"))))</f>
        <v/>
      </c>
      <c r="J95" s="323"/>
      <c r="K95" s="158">
        <f t="shared" si="12"/>
        <v>1</v>
      </c>
    </row>
    <row r="96" spans="3:11" hidden="1" outlineLevel="1">
      <c r="C96" s="19" t="s">
        <v>1721</v>
      </c>
      <c r="D96" s="18">
        <f t="shared" si="9"/>
        <v>98</v>
      </c>
      <c r="E96" s="18">
        <f t="shared" si="10"/>
        <v>98</v>
      </c>
      <c r="F96" s="18">
        <v>1</v>
      </c>
      <c r="G96" s="301" t="str">
        <f t="shared" si="11"/>
        <v/>
      </c>
      <c r="H96" s="301"/>
      <c r="I96" s="305" t="str">
        <f>IF(ISERROR(IF(K96=0,"",IF(K96=1,CHAR(HEX2DEC(G96)),IF(K96=2,VLOOKUP(CONCATENATE(G96," ",G97),'IGS Configuration Values'!$C$241:$D$496,2,FALSE),"N/D"))))=TRUE,"",IF(K96=0,"",IF(K96=1,CHAR(HEX2DEC(G96)),IF(K96=2,VLOOKUP(CONCATENATE(G96," ",G97),'IGS Configuration Values'!$C$241:$D$496,2,FALSE),"N/D"))))</f>
        <v/>
      </c>
      <c r="J96" s="323"/>
      <c r="K96" s="158">
        <f t="shared" si="12"/>
        <v>1</v>
      </c>
    </row>
    <row r="97" spans="3:11" hidden="1" outlineLevel="1">
      <c r="C97" s="19" t="s">
        <v>1722</v>
      </c>
      <c r="D97" s="18">
        <f t="shared" si="9"/>
        <v>99</v>
      </c>
      <c r="E97" s="18">
        <f t="shared" si="10"/>
        <v>99</v>
      </c>
      <c r="F97" s="18">
        <v>1</v>
      </c>
      <c r="G97" s="301" t="str">
        <f t="shared" si="11"/>
        <v/>
      </c>
      <c r="H97" s="301"/>
      <c r="I97" s="305" t="str">
        <f>IF(ISERROR(IF(K97=0,"",IF(K97=1,CHAR(HEX2DEC(G97)),IF(K97=2,VLOOKUP(CONCATENATE(G97," ",G98),'IGS Configuration Values'!$C$241:$D$496,2,FALSE),"N/D"))))=TRUE,"",IF(K97=0,"",IF(K97=1,CHAR(HEX2DEC(G97)),IF(K97=2,VLOOKUP(CONCATENATE(G97," ",G98),'IGS Configuration Values'!$C$241:$D$496,2,FALSE),"N/D"))))</f>
        <v/>
      </c>
      <c r="J97" s="323"/>
      <c r="K97" s="158">
        <f t="shared" si="12"/>
        <v>1</v>
      </c>
    </row>
    <row r="98" spans="3:11" hidden="1" outlineLevel="1">
      <c r="C98" s="19" t="s">
        <v>1723</v>
      </c>
      <c r="D98" s="18">
        <f t="shared" si="9"/>
        <v>100</v>
      </c>
      <c r="E98" s="18">
        <f t="shared" si="10"/>
        <v>100</v>
      </c>
      <c r="F98" s="18">
        <v>1</v>
      </c>
      <c r="G98" s="301" t="str">
        <f t="shared" si="11"/>
        <v/>
      </c>
      <c r="H98" s="301"/>
      <c r="I98" s="305" t="str">
        <f>IF(ISERROR(IF(K98=0,"",IF(K98=1,CHAR(HEX2DEC(G98)),IF(K98=2,VLOOKUP(CONCATENATE(G98," ",G99),'IGS Configuration Values'!$C$241:$D$496,2,FALSE),"N/D"))))=TRUE,"",IF(K98=0,"",IF(K98=1,CHAR(HEX2DEC(G98)),IF(K98=2,VLOOKUP(CONCATENATE(G98," ",G99),'IGS Configuration Values'!$C$241:$D$496,2,FALSE),"N/D"))))</f>
        <v/>
      </c>
      <c r="J98" s="323"/>
      <c r="K98" s="158">
        <f t="shared" si="12"/>
        <v>1</v>
      </c>
    </row>
    <row r="99" spans="3:11" hidden="1" outlineLevel="1">
      <c r="C99" s="19" t="s">
        <v>1724</v>
      </c>
      <c r="D99" s="18">
        <f t="shared" si="9"/>
        <v>101</v>
      </c>
      <c r="E99" s="18">
        <f t="shared" si="10"/>
        <v>101</v>
      </c>
      <c r="F99" s="18">
        <v>1</v>
      </c>
      <c r="G99" s="301" t="str">
        <f t="shared" si="11"/>
        <v/>
      </c>
      <c r="H99" s="301"/>
      <c r="I99" s="305" t="str">
        <f>IF(ISERROR(IF(K99=0,"",IF(K99=1,CHAR(HEX2DEC(G99)),IF(K99=2,VLOOKUP(CONCATENATE(G99," ",G100),'IGS Configuration Values'!$C$241:$D$496,2,FALSE),"N/D"))))=TRUE,"",IF(K99=0,"",IF(K99=1,CHAR(HEX2DEC(G99)),IF(K99=2,VLOOKUP(CONCATENATE(G99," ",G100),'IGS Configuration Values'!$C$241:$D$496,2,FALSE),"N/D"))))</f>
        <v/>
      </c>
      <c r="J99" s="323"/>
      <c r="K99" s="158">
        <f t="shared" si="12"/>
        <v>1</v>
      </c>
    </row>
    <row r="100" spans="3:11" hidden="1" outlineLevel="1">
      <c r="C100" s="19" t="s">
        <v>1725</v>
      </c>
      <c r="D100" s="18">
        <f t="shared" si="9"/>
        <v>102</v>
      </c>
      <c r="E100" s="18">
        <f t="shared" si="10"/>
        <v>102</v>
      </c>
      <c r="F100" s="18">
        <v>1</v>
      </c>
      <c r="G100" s="301" t="str">
        <f t="shared" si="11"/>
        <v/>
      </c>
      <c r="H100" s="301"/>
      <c r="I100" s="305" t="str">
        <f>IF(ISERROR(IF(K100=0,"",IF(K100=1,CHAR(HEX2DEC(G100)),IF(K100=2,VLOOKUP(CONCATENATE(G100," ",G101),'IGS Configuration Values'!$C$241:$D$496,2,FALSE),"N/D"))))=TRUE,"",IF(K100=0,"",IF(K100=1,CHAR(HEX2DEC(G100)),IF(K100=2,VLOOKUP(CONCATENATE(G100," ",G101),'IGS Configuration Values'!$C$241:$D$496,2,FALSE),"N/D"))))</f>
        <v/>
      </c>
      <c r="J100" s="323"/>
      <c r="K100" s="158">
        <f t="shared" si="12"/>
        <v>1</v>
      </c>
    </row>
    <row r="101" spans="3:11" hidden="1" outlineLevel="1">
      <c r="C101" s="19" t="s">
        <v>1726</v>
      </c>
      <c r="D101" s="18">
        <f t="shared" si="9"/>
        <v>103</v>
      </c>
      <c r="E101" s="18">
        <f t="shared" si="10"/>
        <v>103</v>
      </c>
      <c r="F101" s="18">
        <v>1</v>
      </c>
      <c r="G101" s="301" t="str">
        <f t="shared" si="11"/>
        <v/>
      </c>
      <c r="H101" s="301"/>
      <c r="I101" s="305" t="str">
        <f>IF(ISERROR(IF(K101=0,"",IF(K101=1,CHAR(HEX2DEC(G101)),IF(K101=2,VLOOKUP(CONCATENATE(G101," ",G102),'IGS Configuration Values'!$C$241:$D$496,2,FALSE),"N/D"))))=TRUE,"",IF(K101=0,"",IF(K101=1,CHAR(HEX2DEC(G101)),IF(K101=2,VLOOKUP(CONCATENATE(G101," ",G102),'IGS Configuration Values'!$C$241:$D$496,2,FALSE),"N/D"))))</f>
        <v/>
      </c>
      <c r="J101" s="323"/>
      <c r="K101" s="158">
        <f t="shared" si="12"/>
        <v>1</v>
      </c>
    </row>
    <row r="102" spans="3:11" hidden="1" outlineLevel="1">
      <c r="C102" s="19" t="s">
        <v>1727</v>
      </c>
      <c r="D102" s="18">
        <f t="shared" si="9"/>
        <v>104</v>
      </c>
      <c r="E102" s="18">
        <f t="shared" si="10"/>
        <v>104</v>
      </c>
      <c r="F102" s="18">
        <v>1</v>
      </c>
      <c r="G102" s="301" t="str">
        <f t="shared" si="11"/>
        <v/>
      </c>
      <c r="H102" s="301"/>
      <c r="I102" s="305" t="str">
        <f>IF(ISERROR(IF(K102=0,"",IF(K102=1,CHAR(HEX2DEC(G102)),IF(K102=2,VLOOKUP(CONCATENATE(G102," ",G103),'IGS Configuration Values'!$C$241:$D$496,2,FALSE),"N/D"))))=TRUE,"",IF(K102=0,"",IF(K102=1,CHAR(HEX2DEC(G102)),IF(K102=2,VLOOKUP(CONCATENATE(G102," ",G103),'IGS Configuration Values'!$C$241:$D$496,2,FALSE),"N/D"))))</f>
        <v/>
      </c>
      <c r="J102" s="323"/>
      <c r="K102" s="158">
        <f t="shared" si="12"/>
        <v>1</v>
      </c>
    </row>
    <row r="103" spans="3:11" hidden="1" outlineLevel="1">
      <c r="C103" s="19" t="s">
        <v>1728</v>
      </c>
      <c r="D103" s="18">
        <f t="shared" si="9"/>
        <v>105</v>
      </c>
      <c r="E103" s="18">
        <f t="shared" si="10"/>
        <v>105</v>
      </c>
      <c r="F103" s="18">
        <v>1</v>
      </c>
      <c r="G103" s="301" t="str">
        <f t="shared" si="11"/>
        <v/>
      </c>
      <c r="H103" s="301"/>
      <c r="I103" s="305" t="str">
        <f>IF(ISERROR(IF(K103=0,"",IF(K103=1,CHAR(HEX2DEC(G103)),IF(K103=2,VLOOKUP(CONCATENATE(G103," ",G104),'IGS Configuration Values'!$C$241:$D$496,2,FALSE),"N/D"))))=TRUE,"",IF(K103=0,"",IF(K103=1,CHAR(HEX2DEC(G103)),IF(K103=2,VLOOKUP(CONCATENATE(G103," ",G104),'IGS Configuration Values'!$C$241:$D$496,2,FALSE),"N/D"))))</f>
        <v/>
      </c>
      <c r="J103" s="323"/>
      <c r="K103" s="158">
        <f t="shared" si="12"/>
        <v>1</v>
      </c>
    </row>
    <row r="104" spans="3:11" hidden="1" outlineLevel="1">
      <c r="C104" s="19" t="s">
        <v>1729</v>
      </c>
      <c r="D104" s="18">
        <f t="shared" si="9"/>
        <v>106</v>
      </c>
      <c r="E104" s="18">
        <f t="shared" si="10"/>
        <v>106</v>
      </c>
      <c r="F104" s="18">
        <v>1</v>
      </c>
      <c r="G104" s="301" t="str">
        <f t="shared" si="11"/>
        <v/>
      </c>
      <c r="H104" s="301"/>
      <c r="I104" s="305" t="str">
        <f>IF(ISERROR(IF(K104=0,"",IF(K104=1,CHAR(HEX2DEC(G104)),IF(K104=2,VLOOKUP(CONCATENATE(G104," ",G105),'IGS Configuration Values'!$C$241:$D$496,2,FALSE),"N/D"))))=TRUE,"",IF(K104=0,"",IF(K104=1,CHAR(HEX2DEC(G104)),IF(K104=2,VLOOKUP(CONCATENATE(G104," ",G105),'IGS Configuration Values'!$C$241:$D$496,2,FALSE),"N/D"))))</f>
        <v/>
      </c>
      <c r="J104" s="323"/>
      <c r="K104" s="158">
        <f t="shared" si="12"/>
        <v>1</v>
      </c>
    </row>
    <row r="105" spans="3:11" hidden="1" outlineLevel="1">
      <c r="C105" s="19" t="s">
        <v>1730</v>
      </c>
      <c r="D105" s="18">
        <f t="shared" si="9"/>
        <v>107</v>
      </c>
      <c r="E105" s="18">
        <f t="shared" si="10"/>
        <v>107</v>
      </c>
      <c r="F105" s="18">
        <v>1</v>
      </c>
      <c r="G105" s="301" t="str">
        <f t="shared" si="11"/>
        <v/>
      </c>
      <c r="H105" s="301"/>
      <c r="I105" s="305" t="str">
        <f>IF(ISERROR(IF(K105=0,"",IF(K105=1,CHAR(HEX2DEC(G105)),IF(K105=2,VLOOKUP(CONCATENATE(G105," ",G106),'IGS Configuration Values'!$C$241:$D$496,2,FALSE),"N/D"))))=TRUE,"",IF(K105=0,"",IF(K105=1,CHAR(HEX2DEC(G105)),IF(K105=2,VLOOKUP(CONCATENATE(G105," ",G106),'IGS Configuration Values'!$C$241:$D$496,2,FALSE),"N/D"))))</f>
        <v/>
      </c>
      <c r="J105" s="323"/>
      <c r="K105" s="158">
        <f t="shared" si="12"/>
        <v>1</v>
      </c>
    </row>
    <row r="106" spans="3:11" hidden="1" outlineLevel="1">
      <c r="C106" s="19" t="s">
        <v>1731</v>
      </c>
      <c r="D106" s="18">
        <f t="shared" si="9"/>
        <v>108</v>
      </c>
      <c r="E106" s="18">
        <f t="shared" si="10"/>
        <v>108</v>
      </c>
      <c r="F106" s="18">
        <v>1</v>
      </c>
      <c r="G106" s="301" t="str">
        <f t="shared" si="11"/>
        <v/>
      </c>
      <c r="H106" s="301"/>
      <c r="I106" s="305" t="str">
        <f>IF(ISERROR(IF(K106=0,"",IF(K106=1,CHAR(HEX2DEC(G106)),IF(K106=2,VLOOKUP(CONCATENATE(G106," ",G107),'IGS Configuration Values'!$C$241:$D$496,2,FALSE),"N/D"))))=TRUE,"",IF(K106=0,"",IF(K106=1,CHAR(HEX2DEC(G106)),IF(K106=2,VLOOKUP(CONCATENATE(G106," ",G107),'IGS Configuration Values'!$C$241:$D$496,2,FALSE),"N/D"))))</f>
        <v/>
      </c>
      <c r="J106" s="323"/>
      <c r="K106" s="158">
        <f t="shared" si="12"/>
        <v>1</v>
      </c>
    </row>
    <row r="107" spans="3:11" hidden="1" outlineLevel="1">
      <c r="C107" s="19" t="s">
        <v>1732</v>
      </c>
      <c r="D107" s="18">
        <f t="shared" si="9"/>
        <v>109</v>
      </c>
      <c r="E107" s="18">
        <f t="shared" si="10"/>
        <v>109</v>
      </c>
      <c r="F107" s="18">
        <v>1</v>
      </c>
      <c r="G107" s="301" t="str">
        <f t="shared" si="11"/>
        <v/>
      </c>
      <c r="H107" s="301"/>
      <c r="I107" s="305" t="str">
        <f>IF(ISERROR(IF(K107=0,"",IF(K107=1,CHAR(HEX2DEC(G107)),IF(K107=2,VLOOKUP(CONCATENATE(G107," ",G108),'IGS Configuration Values'!$C$241:$D$496,2,FALSE),"N/D"))))=TRUE,"",IF(K107=0,"",IF(K107=1,CHAR(HEX2DEC(G107)),IF(K107=2,VLOOKUP(CONCATENATE(G107," ",G108),'IGS Configuration Values'!$C$241:$D$496,2,FALSE),"N/D"))))</f>
        <v/>
      </c>
      <c r="J107" s="323"/>
      <c r="K107" s="158">
        <f t="shared" si="12"/>
        <v>1</v>
      </c>
    </row>
    <row r="108" spans="3:11" hidden="1" outlineLevel="1">
      <c r="C108" s="19" t="s">
        <v>1733</v>
      </c>
      <c r="D108" s="18">
        <f t="shared" si="9"/>
        <v>110</v>
      </c>
      <c r="E108" s="18">
        <f t="shared" si="10"/>
        <v>110</v>
      </c>
      <c r="F108" s="18">
        <v>1</v>
      </c>
      <c r="G108" s="301" t="str">
        <f t="shared" si="11"/>
        <v/>
      </c>
      <c r="H108" s="301"/>
      <c r="I108" s="305" t="str">
        <f>IF(ISERROR(IF(K108=0,"",IF(K108=1,CHAR(HEX2DEC(G108)),IF(K108=2,VLOOKUP(CONCATENATE(G108," ",G109),'IGS Configuration Values'!$C$241:$D$496,2,FALSE),"N/D"))))=TRUE,"",IF(K108=0,"",IF(K108=1,CHAR(HEX2DEC(G108)),IF(K108=2,VLOOKUP(CONCATENATE(G108," ",G109),'IGS Configuration Values'!$C$241:$D$496,2,FALSE),"N/D"))))</f>
        <v/>
      </c>
      <c r="J108" s="323"/>
      <c r="K108" s="158">
        <f t="shared" si="12"/>
        <v>1</v>
      </c>
    </row>
    <row r="109" spans="3:11" hidden="1" outlineLevel="1">
      <c r="C109" s="19" t="s">
        <v>1734</v>
      </c>
      <c r="D109" s="18">
        <f t="shared" si="9"/>
        <v>111</v>
      </c>
      <c r="E109" s="18">
        <f t="shared" si="10"/>
        <v>111</v>
      </c>
      <c r="F109" s="18">
        <v>1</v>
      </c>
      <c r="G109" s="301" t="str">
        <f t="shared" si="11"/>
        <v/>
      </c>
      <c r="H109" s="301"/>
      <c r="I109" s="305" t="str">
        <f>IF(ISERROR(IF(K109=0,"",IF(K109=1,CHAR(HEX2DEC(G109)),IF(K109=2,VLOOKUP(CONCATENATE(G109," ",G110),'IGS Configuration Values'!$C$241:$D$496,2,FALSE),"N/D"))))=TRUE,"",IF(K109=0,"",IF(K109=1,CHAR(HEX2DEC(G109)),IF(K109=2,VLOOKUP(CONCATENATE(G109," ",G110),'IGS Configuration Values'!$C$241:$D$496,2,FALSE),"N/D"))))</f>
        <v/>
      </c>
      <c r="J109" s="323"/>
      <c r="K109" s="158">
        <f t="shared" si="12"/>
        <v>1</v>
      </c>
    </row>
    <row r="110" spans="3:11" hidden="1" outlineLevel="1">
      <c r="C110" s="19" t="s">
        <v>1735</v>
      </c>
      <c r="D110" s="18">
        <f t="shared" si="9"/>
        <v>112</v>
      </c>
      <c r="E110" s="18">
        <f t="shared" si="10"/>
        <v>112</v>
      </c>
      <c r="F110" s="18">
        <v>1</v>
      </c>
      <c r="G110" s="301" t="str">
        <f t="shared" si="11"/>
        <v/>
      </c>
      <c r="H110" s="301"/>
      <c r="I110" s="305" t="str">
        <f>IF(ISERROR(IF(K110=0,"",IF(K110=1,CHAR(HEX2DEC(G110)),IF(K110=2,VLOOKUP(CONCATENATE(G110," ",G111),'IGS Configuration Values'!$C$241:$D$496,2,FALSE),"N/D"))))=TRUE,"",IF(K110=0,"",IF(K110=1,CHAR(HEX2DEC(G110)),IF(K110=2,VLOOKUP(CONCATENATE(G110," ",G111),'IGS Configuration Values'!$C$241:$D$496,2,FALSE),"N/D"))))</f>
        <v/>
      </c>
      <c r="J110" s="323"/>
      <c r="K110" s="158">
        <f t="shared" si="12"/>
        <v>1</v>
      </c>
    </row>
    <row r="111" spans="3:11" hidden="1" outlineLevel="1">
      <c r="C111" s="19" t="s">
        <v>1736</v>
      </c>
      <c r="D111" s="18">
        <f t="shared" si="9"/>
        <v>113</v>
      </c>
      <c r="E111" s="18">
        <f t="shared" si="10"/>
        <v>113</v>
      </c>
      <c r="F111" s="18">
        <v>1</v>
      </c>
      <c r="G111" s="301" t="str">
        <f t="shared" si="11"/>
        <v/>
      </c>
      <c r="H111" s="301"/>
      <c r="I111" s="305" t="str">
        <f>IF(ISERROR(IF(K111=0,"",IF(K111=1,CHAR(HEX2DEC(G111)),IF(K111=2,VLOOKUP(CONCATENATE(G111," ",G112),'IGS Configuration Values'!$C$241:$D$496,2,FALSE),"N/D"))))=TRUE,"",IF(K111=0,"",IF(K111=1,CHAR(HEX2DEC(G111)),IF(K111=2,VLOOKUP(CONCATENATE(G111," ",G112),'IGS Configuration Values'!$C$241:$D$496,2,FALSE),"N/D"))))</f>
        <v/>
      </c>
      <c r="J111" s="323"/>
      <c r="K111" s="158">
        <f t="shared" si="12"/>
        <v>1</v>
      </c>
    </row>
    <row r="112" spans="3:11" hidden="1" outlineLevel="1">
      <c r="C112" s="19" t="s">
        <v>1737</v>
      </c>
      <c r="D112" s="18">
        <f t="shared" si="9"/>
        <v>114</v>
      </c>
      <c r="E112" s="18">
        <f t="shared" si="10"/>
        <v>114</v>
      </c>
      <c r="F112" s="18">
        <v>1</v>
      </c>
      <c r="G112" s="301" t="str">
        <f t="shared" si="11"/>
        <v/>
      </c>
      <c r="H112" s="301"/>
      <c r="I112" s="305" t="str">
        <f>IF(ISERROR(IF(K112=0,"",IF(K112=1,CHAR(HEX2DEC(G112)),IF(K112=2,VLOOKUP(CONCATENATE(G112," ",G113),'IGS Configuration Values'!$C$241:$D$496,2,FALSE),"N/D"))))=TRUE,"",IF(K112=0,"",IF(K112=1,CHAR(HEX2DEC(G112)),IF(K112=2,VLOOKUP(CONCATENATE(G112," ",G113),'IGS Configuration Values'!$C$241:$D$496,2,FALSE),"N/D"))))</f>
        <v/>
      </c>
      <c r="J112" s="323"/>
      <c r="K112" s="158">
        <f t="shared" si="12"/>
        <v>1</v>
      </c>
    </row>
    <row r="113" spans="3:11" hidden="1" outlineLevel="1">
      <c r="C113" s="19" t="s">
        <v>1738</v>
      </c>
      <c r="D113" s="18">
        <f t="shared" si="9"/>
        <v>115</v>
      </c>
      <c r="E113" s="18">
        <f t="shared" si="10"/>
        <v>115</v>
      </c>
      <c r="F113" s="18">
        <v>1</v>
      </c>
      <c r="G113" s="301" t="str">
        <f t="shared" si="11"/>
        <v/>
      </c>
      <c r="H113" s="301"/>
      <c r="I113" s="305" t="str">
        <f>IF(ISERROR(IF(K113=0,"",IF(K113=1,CHAR(HEX2DEC(G113)),IF(K113=2,VLOOKUP(CONCATENATE(G113," ",G114),'IGS Configuration Values'!$C$241:$D$496,2,FALSE),"N/D"))))=TRUE,"",IF(K113=0,"",IF(K113=1,CHAR(HEX2DEC(G113)),IF(K113=2,VLOOKUP(CONCATENATE(G113," ",G114),'IGS Configuration Values'!$C$241:$D$496,2,FALSE),"N/D"))))</f>
        <v/>
      </c>
      <c r="J113" s="323"/>
      <c r="K113" s="158">
        <f t="shared" si="12"/>
        <v>1</v>
      </c>
    </row>
    <row r="114" spans="3:11" hidden="1" outlineLevel="1">
      <c r="C114" s="19" t="s">
        <v>1739</v>
      </c>
      <c r="D114" s="18">
        <f t="shared" si="9"/>
        <v>116</v>
      </c>
      <c r="E114" s="18">
        <f t="shared" si="10"/>
        <v>116</v>
      </c>
      <c r="F114" s="18">
        <v>1</v>
      </c>
      <c r="G114" s="301" t="str">
        <f t="shared" si="11"/>
        <v/>
      </c>
      <c r="H114" s="301"/>
      <c r="I114" s="305" t="str">
        <f>IF(ISERROR(IF(K114=0,"",IF(K114=1,CHAR(HEX2DEC(G114)),IF(K114=2,VLOOKUP(CONCATENATE(G114," ",G115),'IGS Configuration Values'!$C$241:$D$496,2,FALSE),"N/D"))))=TRUE,"",IF(K114=0,"",IF(K114=1,CHAR(HEX2DEC(G114)),IF(K114=2,VLOOKUP(CONCATENATE(G114," ",G115),'IGS Configuration Values'!$C$241:$D$496,2,FALSE),"N/D"))))</f>
        <v/>
      </c>
      <c r="J114" s="323"/>
      <c r="K114" s="158">
        <f t="shared" si="12"/>
        <v>1</v>
      </c>
    </row>
    <row r="115" spans="3:11" hidden="1" outlineLevel="1">
      <c r="C115" s="19" t="s">
        <v>1740</v>
      </c>
      <c r="D115" s="18">
        <f t="shared" si="9"/>
        <v>117</v>
      </c>
      <c r="E115" s="18">
        <f t="shared" si="10"/>
        <v>117</v>
      </c>
      <c r="F115" s="18">
        <v>1</v>
      </c>
      <c r="G115" s="301" t="str">
        <f t="shared" si="11"/>
        <v/>
      </c>
      <c r="H115" s="301"/>
      <c r="I115" s="305" t="str">
        <f>IF(ISERROR(IF(K115=0,"",IF(K115=1,CHAR(HEX2DEC(G115)),IF(K115=2,VLOOKUP(CONCATENATE(G115," ",G116),'IGS Configuration Values'!$C$241:$D$496,2,FALSE),"N/D"))))=TRUE,"",IF(K115=0,"",IF(K115=1,CHAR(HEX2DEC(G115)),IF(K115=2,VLOOKUP(CONCATENATE(G115," ",G116),'IGS Configuration Values'!$C$241:$D$496,2,FALSE),"N/D"))))</f>
        <v/>
      </c>
      <c r="J115" s="323"/>
      <c r="K115" s="158">
        <f t="shared" si="12"/>
        <v>1</v>
      </c>
    </row>
    <row r="116" spans="3:11" hidden="1" outlineLevel="1">
      <c r="C116" s="19" t="s">
        <v>1741</v>
      </c>
      <c r="D116" s="18">
        <f t="shared" si="9"/>
        <v>118</v>
      </c>
      <c r="E116" s="18">
        <f t="shared" si="10"/>
        <v>118</v>
      </c>
      <c r="F116" s="18">
        <v>1</v>
      </c>
      <c r="G116" s="301" t="str">
        <f t="shared" si="11"/>
        <v/>
      </c>
      <c r="H116" s="301"/>
      <c r="I116" s="305" t="str">
        <f>IF(ISERROR(IF(K116=0,"",IF(K116=1,CHAR(HEX2DEC(G116)),IF(K116=2,VLOOKUP(CONCATENATE(G116," ",G117),'IGS Configuration Values'!$C$241:$D$496,2,FALSE),"N/D"))))=TRUE,"",IF(K116=0,"",IF(K116=1,CHAR(HEX2DEC(G116)),IF(K116=2,VLOOKUP(CONCATENATE(G116," ",G117),'IGS Configuration Values'!$C$241:$D$496,2,FALSE),"N/D"))))</f>
        <v/>
      </c>
      <c r="J116" s="323"/>
      <c r="K116" s="158">
        <f t="shared" si="12"/>
        <v>1</v>
      </c>
    </row>
    <row r="117" spans="3:11" hidden="1" outlineLevel="1">
      <c r="C117" s="19" t="s">
        <v>1742</v>
      </c>
      <c r="D117" s="18">
        <f t="shared" si="9"/>
        <v>119</v>
      </c>
      <c r="E117" s="18">
        <f t="shared" si="10"/>
        <v>119</v>
      </c>
      <c r="F117" s="18">
        <v>1</v>
      </c>
      <c r="G117" s="301" t="str">
        <f t="shared" si="11"/>
        <v/>
      </c>
      <c r="H117" s="301"/>
      <c r="I117" s="305" t="str">
        <f>IF(ISERROR(IF(K117=0,"",IF(K117=1,CHAR(HEX2DEC(G117)),IF(K117=2,VLOOKUP(CONCATENATE(G117," ",G118),'IGS Configuration Values'!$C$241:$D$496,2,FALSE),"N/D"))))=TRUE,"",IF(K117=0,"",IF(K117=1,CHAR(HEX2DEC(G117)),IF(K117=2,VLOOKUP(CONCATENATE(G117," ",G118),'IGS Configuration Values'!$C$241:$D$496,2,FALSE),"N/D"))))</f>
        <v/>
      </c>
      <c r="J117" s="323"/>
      <c r="K117" s="158">
        <f t="shared" si="12"/>
        <v>1</v>
      </c>
    </row>
    <row r="118" spans="3:11" hidden="1" outlineLevel="1">
      <c r="C118" s="19" t="s">
        <v>1743</v>
      </c>
      <c r="D118" s="18">
        <f t="shared" si="9"/>
        <v>120</v>
      </c>
      <c r="E118" s="18">
        <f t="shared" si="10"/>
        <v>120</v>
      </c>
      <c r="F118" s="18">
        <v>1</v>
      </c>
      <c r="G118" s="301" t="str">
        <f t="shared" si="11"/>
        <v/>
      </c>
      <c r="H118" s="301"/>
      <c r="I118" s="305" t="str">
        <f>IF(ISERROR(IF(K118=0,"",IF(K118=1,CHAR(HEX2DEC(G118)),IF(K118=2,VLOOKUP(CONCATENATE(G118," ",G119),'IGS Configuration Values'!$C$241:$D$496,2,FALSE),"N/D"))))=TRUE,"",IF(K118=0,"",IF(K118=1,CHAR(HEX2DEC(G118)),IF(K118=2,VLOOKUP(CONCATENATE(G118," ",G119),'IGS Configuration Values'!$C$241:$D$496,2,FALSE),"N/D"))))</f>
        <v/>
      </c>
      <c r="J118" s="323"/>
      <c r="K118" s="158">
        <f t="shared" si="12"/>
        <v>1</v>
      </c>
    </row>
    <row r="119" spans="3:11" hidden="1" outlineLevel="1">
      <c r="C119" s="19" t="s">
        <v>1744</v>
      </c>
      <c r="D119" s="18">
        <f t="shared" si="9"/>
        <v>121</v>
      </c>
      <c r="E119" s="18">
        <f t="shared" si="10"/>
        <v>121</v>
      </c>
      <c r="F119" s="18">
        <v>1</v>
      </c>
      <c r="G119" s="301" t="str">
        <f t="shared" si="11"/>
        <v/>
      </c>
      <c r="H119" s="301"/>
      <c r="I119" s="305" t="str">
        <f>IF(ISERROR(IF(K119=0,"",IF(K119=1,CHAR(HEX2DEC(G119)),IF(K119=2,VLOOKUP(CONCATENATE(G119," ",G120),'IGS Configuration Values'!$C$241:$D$496,2,FALSE),"N/D"))))=TRUE,"",IF(K119=0,"",IF(K119=1,CHAR(HEX2DEC(G119)),IF(K119=2,VLOOKUP(CONCATENATE(G119," ",G120),'IGS Configuration Values'!$C$241:$D$496,2,FALSE),"N/D"))))</f>
        <v/>
      </c>
      <c r="J119" s="323"/>
      <c r="K119" s="158">
        <f t="shared" si="12"/>
        <v>1</v>
      </c>
    </row>
    <row r="120" spans="3:11" hidden="1" outlineLevel="1">
      <c r="C120" s="19" t="s">
        <v>1745</v>
      </c>
      <c r="D120" s="18">
        <f t="shared" si="9"/>
        <v>122</v>
      </c>
      <c r="E120" s="18">
        <f t="shared" si="10"/>
        <v>122</v>
      </c>
      <c r="F120" s="18">
        <v>1</v>
      </c>
      <c r="G120" s="301" t="str">
        <f t="shared" si="11"/>
        <v/>
      </c>
      <c r="H120" s="301"/>
      <c r="I120" s="305" t="str">
        <f>IF(ISERROR(IF(K120=0,"",IF(K120=1,CHAR(HEX2DEC(G120)),IF(K120=2,VLOOKUP(CONCATENATE(G120," ",G121),'IGS Configuration Values'!$C$241:$D$496,2,FALSE),"N/D"))))=TRUE,"",IF(K120=0,"",IF(K120=1,CHAR(HEX2DEC(G120)),IF(K120=2,VLOOKUP(CONCATENATE(G120," ",G121),'IGS Configuration Values'!$C$241:$D$496,2,FALSE),"N/D"))))</f>
        <v/>
      </c>
      <c r="J120" s="323"/>
      <c r="K120" s="158">
        <f t="shared" si="12"/>
        <v>1</v>
      </c>
    </row>
    <row r="121" spans="3:11" hidden="1" outlineLevel="1">
      <c r="C121" s="19" t="s">
        <v>1746</v>
      </c>
      <c r="D121" s="18">
        <f t="shared" si="9"/>
        <v>123</v>
      </c>
      <c r="E121" s="18">
        <f t="shared" si="10"/>
        <v>123</v>
      </c>
      <c r="F121" s="18">
        <v>1</v>
      </c>
      <c r="G121" s="301" t="str">
        <f t="shared" si="11"/>
        <v/>
      </c>
      <c r="H121" s="301"/>
      <c r="I121" s="305" t="str">
        <f>IF(ISERROR(IF(K121=0,"",IF(K121=1,CHAR(HEX2DEC(G121)),IF(K121=2,VLOOKUP(CONCATENATE(G121," ",G122),'IGS Configuration Values'!$C$241:$D$496,2,FALSE),"N/D"))))=TRUE,"",IF(K121=0,"",IF(K121=1,CHAR(HEX2DEC(G121)),IF(K121=2,VLOOKUP(CONCATENATE(G121," ",G122),'IGS Configuration Values'!$C$241:$D$496,2,FALSE),"N/D"))))</f>
        <v/>
      </c>
      <c r="J121" s="323"/>
      <c r="K121" s="158">
        <f t="shared" si="12"/>
        <v>1</v>
      </c>
    </row>
    <row r="122" spans="3:11" hidden="1" outlineLevel="1">
      <c r="C122" s="19" t="s">
        <v>1747</v>
      </c>
      <c r="D122" s="18">
        <f t="shared" si="9"/>
        <v>124</v>
      </c>
      <c r="E122" s="18">
        <f t="shared" si="10"/>
        <v>124</v>
      </c>
      <c r="F122" s="18">
        <v>1</v>
      </c>
      <c r="G122" s="301" t="str">
        <f t="shared" si="11"/>
        <v/>
      </c>
      <c r="H122" s="301"/>
      <c r="I122" s="305" t="str">
        <f>IF(ISERROR(IF(K122=0,"",IF(K122=1,CHAR(HEX2DEC(G122)),IF(K122=2,VLOOKUP(CONCATENATE(G122," ",G123),'IGS Configuration Values'!$C$241:$D$496,2,FALSE),"N/D"))))=TRUE,"",IF(K122=0,"",IF(K122=1,CHAR(HEX2DEC(G122)),IF(K122=2,VLOOKUP(CONCATENATE(G122," ",G123),'IGS Configuration Values'!$C$241:$D$496,2,FALSE),"N/D"))))</f>
        <v/>
      </c>
      <c r="J122" s="323"/>
      <c r="K122" s="158">
        <f t="shared" si="12"/>
        <v>1</v>
      </c>
    </row>
    <row r="123" spans="3:11" hidden="1" outlineLevel="1">
      <c r="C123" s="19" t="s">
        <v>1748</v>
      </c>
      <c r="D123" s="18">
        <f t="shared" si="9"/>
        <v>125</v>
      </c>
      <c r="E123" s="18">
        <f t="shared" si="10"/>
        <v>125</v>
      </c>
      <c r="F123" s="18">
        <v>1</v>
      </c>
      <c r="G123" s="301" t="str">
        <f t="shared" si="11"/>
        <v/>
      </c>
      <c r="H123" s="301"/>
      <c r="I123" s="305" t="str">
        <f>IF(ISERROR(IF(K123=0,"",IF(K123=1,CHAR(HEX2DEC(G123)),IF(K123=2,VLOOKUP(CONCATENATE(G123," ",G124),'IGS Configuration Values'!$C$241:$D$496,2,FALSE),"N/D"))))=TRUE,"",IF(K123=0,"",IF(K123=1,CHAR(HEX2DEC(G123)),IF(K123=2,VLOOKUP(CONCATENATE(G123," ",G124),'IGS Configuration Values'!$C$241:$D$496,2,FALSE),"N/D"))))</f>
        <v/>
      </c>
      <c r="J123" s="323"/>
      <c r="K123" s="158">
        <f t="shared" si="12"/>
        <v>1</v>
      </c>
    </row>
    <row r="124" spans="3:11" hidden="1" outlineLevel="1">
      <c r="C124" s="19" t="s">
        <v>1749</v>
      </c>
      <c r="D124" s="18">
        <f t="shared" si="9"/>
        <v>126</v>
      </c>
      <c r="E124" s="18">
        <f t="shared" si="10"/>
        <v>126</v>
      </c>
      <c r="F124" s="18">
        <v>1</v>
      </c>
      <c r="G124" s="301" t="str">
        <f t="shared" si="11"/>
        <v/>
      </c>
      <c r="H124" s="301"/>
      <c r="I124" s="305" t="str">
        <f>IF(ISERROR(IF(K124=0,"",IF(K124=1,CHAR(HEX2DEC(G124)),IF(K124=2,VLOOKUP(CONCATENATE(G124," ",G125),'IGS Configuration Values'!$C$241:$D$496,2,FALSE),"N/D"))))=TRUE,"",IF(K124=0,"",IF(K124=1,CHAR(HEX2DEC(G124)),IF(K124=2,VLOOKUP(CONCATENATE(G124," ",G125),'IGS Configuration Values'!$C$241:$D$496,2,FALSE),"N/D"))))</f>
        <v/>
      </c>
      <c r="J124" s="323"/>
      <c r="K124" s="158">
        <f t="shared" si="12"/>
        <v>1</v>
      </c>
    </row>
    <row r="125" spans="3:11" hidden="1" outlineLevel="1">
      <c r="C125" s="19" t="s">
        <v>1750</v>
      </c>
      <c r="D125" s="18">
        <f t="shared" si="9"/>
        <v>127</v>
      </c>
      <c r="E125" s="18">
        <f t="shared" si="10"/>
        <v>127</v>
      </c>
      <c r="F125" s="18">
        <v>1</v>
      </c>
      <c r="G125" s="301" t="str">
        <f t="shared" si="11"/>
        <v/>
      </c>
      <c r="H125" s="301"/>
      <c r="I125" s="305" t="str">
        <f>IF(ISERROR(IF(K125=0,"",IF(K125=1,CHAR(HEX2DEC(G125)),IF(K125=2,VLOOKUP(CONCATENATE(G125," ",G126),'IGS Configuration Values'!$C$241:$D$496,2,FALSE),"N/D"))))=TRUE,"",IF(K125=0,"",IF(K125=1,CHAR(HEX2DEC(G125)),IF(K125=2,VLOOKUP(CONCATENATE(G125," ",G126),'IGS Configuration Values'!$C$241:$D$496,2,FALSE),"N/D"))))</f>
        <v/>
      </c>
      <c r="J125" s="323"/>
      <c r="K125" s="158">
        <f t="shared" si="12"/>
        <v>1</v>
      </c>
    </row>
    <row r="126" spans="3:11" hidden="1" outlineLevel="1">
      <c r="C126" s="19" t="s">
        <v>1751</v>
      </c>
      <c r="D126" s="18">
        <f t="shared" si="9"/>
        <v>128</v>
      </c>
      <c r="E126" s="18">
        <f t="shared" si="10"/>
        <v>128</v>
      </c>
      <c r="F126" s="18">
        <v>1</v>
      </c>
      <c r="G126" s="301" t="str">
        <f t="shared" si="11"/>
        <v/>
      </c>
      <c r="H126" s="301"/>
      <c r="I126" s="305" t="str">
        <f>IF(ISERROR(IF(K126=0,"",IF(K126=1,CHAR(HEX2DEC(G126)),IF(K126=2,VLOOKUP(CONCATENATE(G126," ",G127),'IGS Configuration Values'!$C$241:$D$496,2,FALSE),"N/D"))))=TRUE,"",IF(K126=0,"",IF(K126=1,CHAR(HEX2DEC(G126)),IF(K126=2,VLOOKUP(CONCATENATE(G126," ",G127),'IGS Configuration Values'!$C$241:$D$496,2,FALSE),"N/D"))))</f>
        <v/>
      </c>
      <c r="J126" s="323"/>
      <c r="K126" s="158">
        <f t="shared" si="12"/>
        <v>1</v>
      </c>
    </row>
    <row r="127" spans="3:11" hidden="1" outlineLevel="1">
      <c r="C127" s="19" t="s">
        <v>1752</v>
      </c>
      <c r="D127" s="18">
        <f t="shared" si="9"/>
        <v>129</v>
      </c>
      <c r="E127" s="18">
        <f t="shared" si="10"/>
        <v>129</v>
      </c>
      <c r="F127" s="18">
        <v>1</v>
      </c>
      <c r="G127" s="301" t="str">
        <f t="shared" si="11"/>
        <v/>
      </c>
      <c r="H127" s="301"/>
      <c r="I127" s="305" t="str">
        <f>IF(ISERROR(IF(K127=0,"",IF(K127=1,CHAR(HEX2DEC(G127)),IF(K127=2,VLOOKUP(CONCATENATE(G127," ",G128),'IGS Configuration Values'!$C$241:$D$496,2,FALSE),"N/D"))))=TRUE,"",IF(K127=0,"",IF(K127=1,CHAR(HEX2DEC(G127)),IF(K127=2,VLOOKUP(CONCATENATE(G127," ",G128),'IGS Configuration Values'!$C$241:$D$496,2,FALSE),"N/D"))))</f>
        <v/>
      </c>
      <c r="J127" s="323"/>
      <c r="K127" s="158">
        <f t="shared" si="12"/>
        <v>1</v>
      </c>
    </row>
    <row r="128" spans="3:11" hidden="1" outlineLevel="1">
      <c r="C128" s="19" t="s">
        <v>1753</v>
      </c>
      <c r="D128" s="18">
        <f t="shared" si="9"/>
        <v>130</v>
      </c>
      <c r="E128" s="18">
        <f t="shared" si="10"/>
        <v>130</v>
      </c>
      <c r="F128" s="18">
        <v>1</v>
      </c>
      <c r="G128" s="301" t="str">
        <f t="shared" si="11"/>
        <v/>
      </c>
      <c r="H128" s="301"/>
      <c r="I128" s="305" t="str">
        <f>IF(ISERROR(IF(K128=0,"",IF(K128=1,CHAR(HEX2DEC(G128)),IF(K128=2,VLOOKUP(CONCATENATE(G128," ",G129),'IGS Configuration Values'!$C$241:$D$496,2,FALSE),"N/D"))))=TRUE,"",IF(K128=0,"",IF(K128=1,CHAR(HEX2DEC(G128)),IF(K128=2,VLOOKUP(CONCATENATE(G128," ",G129),'IGS Configuration Values'!$C$241:$D$496,2,FALSE),"N/D"))))</f>
        <v/>
      </c>
      <c r="J128" s="323"/>
      <c r="K128" s="158">
        <f t="shared" si="12"/>
        <v>1</v>
      </c>
    </row>
    <row r="129" spans="3:11" hidden="1" outlineLevel="1">
      <c r="C129" s="19" t="s">
        <v>1754</v>
      </c>
      <c r="D129" s="18">
        <f t="shared" si="9"/>
        <v>131</v>
      </c>
      <c r="E129" s="18">
        <f t="shared" si="10"/>
        <v>131</v>
      </c>
      <c r="F129" s="18">
        <v>1</v>
      </c>
      <c r="G129" s="301" t="str">
        <f t="shared" si="11"/>
        <v/>
      </c>
      <c r="H129" s="301"/>
      <c r="I129" s="305" t="str">
        <f>IF(ISERROR(IF(K129=0,"",IF(K129=1,CHAR(HEX2DEC(G129)),IF(K129=2,VLOOKUP(CONCATENATE(G129," ",G130),'IGS Configuration Values'!$C$241:$D$496,2,FALSE),"N/D"))))=TRUE,"",IF(K129=0,"",IF(K129=1,CHAR(HEX2DEC(G129)),IF(K129=2,VLOOKUP(CONCATENATE(G129," ",G130),'IGS Configuration Values'!$C$241:$D$496,2,FALSE),"N/D"))))</f>
        <v/>
      </c>
      <c r="J129" s="323"/>
      <c r="K129" s="158">
        <f t="shared" si="12"/>
        <v>1</v>
      </c>
    </row>
    <row r="130" spans="3:11" hidden="1" outlineLevel="1">
      <c r="C130" s="19" t="s">
        <v>1755</v>
      </c>
      <c r="D130" s="18">
        <f t="shared" si="9"/>
        <v>132</v>
      </c>
      <c r="E130" s="18">
        <f t="shared" si="10"/>
        <v>132</v>
      </c>
      <c r="F130" s="18">
        <v>1</v>
      </c>
      <c r="G130" s="301" t="str">
        <f t="shared" si="11"/>
        <v/>
      </c>
      <c r="H130" s="301"/>
      <c r="I130" s="305" t="str">
        <f>IF(ISERROR(IF(K130=0,"",IF(K130=1,CHAR(HEX2DEC(G130)),IF(K130=2,VLOOKUP(CONCATENATE(G130," ",G131),'IGS Configuration Values'!$C$241:$D$496,2,FALSE),"N/D"))))=TRUE,"",IF(K130=0,"",IF(K130=1,CHAR(HEX2DEC(G130)),IF(K130=2,VLOOKUP(CONCATENATE(G130," ",G131),'IGS Configuration Values'!$C$241:$D$496,2,FALSE),"N/D"))))</f>
        <v/>
      </c>
      <c r="J130" s="323"/>
      <c r="K130" s="158">
        <f t="shared" si="12"/>
        <v>1</v>
      </c>
    </row>
    <row r="131" spans="3:11" hidden="1" outlineLevel="1">
      <c r="C131" s="19" t="s">
        <v>1756</v>
      </c>
      <c r="D131" s="18">
        <f t="shared" si="9"/>
        <v>133</v>
      </c>
      <c r="E131" s="18">
        <f t="shared" si="10"/>
        <v>133</v>
      </c>
      <c r="F131" s="18">
        <v>1</v>
      </c>
      <c r="G131" s="301" t="str">
        <f t="shared" si="11"/>
        <v/>
      </c>
      <c r="H131" s="301"/>
      <c r="I131" s="305" t="str">
        <f>IF(ISERROR(IF(K131=0,"",IF(K131=1,CHAR(HEX2DEC(G131)),IF(K131=2,VLOOKUP(CONCATENATE(G131," ",G132),'IGS Configuration Values'!$C$241:$D$496,2,FALSE),"N/D"))))=TRUE,"",IF(K131=0,"",IF(K131=1,CHAR(HEX2DEC(G131)),IF(K131=2,VLOOKUP(CONCATENATE(G131," ",G132),'IGS Configuration Values'!$C$241:$D$496,2,FALSE),"N/D"))))</f>
        <v/>
      </c>
      <c r="J131" s="323"/>
      <c r="K131" s="158">
        <f t="shared" si="12"/>
        <v>1</v>
      </c>
    </row>
    <row r="132" spans="3:11" hidden="1" outlineLevel="1">
      <c r="C132" s="19" t="s">
        <v>1757</v>
      </c>
      <c r="D132" s="18">
        <f t="shared" si="9"/>
        <v>134</v>
      </c>
      <c r="E132" s="18">
        <f t="shared" si="10"/>
        <v>134</v>
      </c>
      <c r="F132" s="18">
        <v>1</v>
      </c>
      <c r="G132" s="301" t="str">
        <f t="shared" si="11"/>
        <v/>
      </c>
      <c r="H132" s="301"/>
      <c r="I132" s="305" t="str">
        <f>IF(ISERROR(IF(K132=0,"",IF(K132=1,CHAR(HEX2DEC(G132)),IF(K132=2,VLOOKUP(CONCATENATE(G132," ",G133),'IGS Configuration Values'!$C$241:$D$496,2,FALSE),"N/D"))))=TRUE,"",IF(K132=0,"",IF(K132=1,CHAR(HEX2DEC(G132)),IF(K132=2,VLOOKUP(CONCATENATE(G132," ",G133),'IGS Configuration Values'!$C$241:$D$496,2,FALSE),"N/D"))))</f>
        <v/>
      </c>
      <c r="J132" s="323"/>
      <c r="K132" s="158">
        <f t="shared" si="12"/>
        <v>1</v>
      </c>
    </row>
    <row r="133" spans="3:11" hidden="1" outlineLevel="1">
      <c r="C133" s="19" t="s">
        <v>1758</v>
      </c>
      <c r="D133" s="18">
        <f t="shared" si="9"/>
        <v>135</v>
      </c>
      <c r="E133" s="18">
        <f t="shared" si="10"/>
        <v>135</v>
      </c>
      <c r="F133" s="18">
        <v>1</v>
      </c>
      <c r="G133" s="301" t="str">
        <f t="shared" si="11"/>
        <v/>
      </c>
      <c r="H133" s="301"/>
      <c r="I133" s="305" t="str">
        <f>IF(ISERROR(IF(K133=0,"",IF(K133=1,CHAR(HEX2DEC(G133)),IF(K133=2,VLOOKUP(CONCATENATE(G133," ",G134),'IGS Configuration Values'!$C$241:$D$496,2,FALSE),"N/D"))))=TRUE,"",IF(K133=0,"",IF(K133=1,CHAR(HEX2DEC(G133)),IF(K133=2,VLOOKUP(CONCATENATE(G133," ",G134),'IGS Configuration Values'!$C$241:$D$496,2,FALSE),"N/D"))))</f>
        <v/>
      </c>
      <c r="J133" s="323"/>
      <c r="K133" s="158">
        <f t="shared" si="12"/>
        <v>1</v>
      </c>
    </row>
    <row r="134" spans="3:11" hidden="1" outlineLevel="1">
      <c r="C134" s="19" t="s">
        <v>1759</v>
      </c>
      <c r="D134" s="18">
        <f t="shared" si="9"/>
        <v>136</v>
      </c>
      <c r="E134" s="18">
        <f t="shared" si="10"/>
        <v>136</v>
      </c>
      <c r="F134" s="18">
        <v>1</v>
      </c>
      <c r="G134" s="301" t="str">
        <f t="shared" si="11"/>
        <v/>
      </c>
      <c r="H134" s="301"/>
      <c r="I134" s="305" t="str">
        <f>IF(ISERROR(IF(K134=0,"",IF(K134=1,CHAR(HEX2DEC(G134)),IF(K134=2,VLOOKUP(CONCATENATE(G134," ",G135),'IGS Configuration Values'!$C$241:$D$496,2,FALSE),"N/D"))))=TRUE,"",IF(K134=0,"",IF(K134=1,CHAR(HEX2DEC(G134)),IF(K134=2,VLOOKUP(CONCATENATE(G134," ",G135),'IGS Configuration Values'!$C$241:$D$496,2,FALSE),"N/D"))))</f>
        <v/>
      </c>
      <c r="J134" s="323"/>
      <c r="K134" s="158">
        <f t="shared" si="12"/>
        <v>1</v>
      </c>
    </row>
    <row r="135" spans="3:11" hidden="1" outlineLevel="1">
      <c r="C135" s="19" t="s">
        <v>1760</v>
      </c>
      <c r="D135" s="18">
        <f t="shared" si="9"/>
        <v>137</v>
      </c>
      <c r="E135" s="18">
        <f t="shared" si="10"/>
        <v>137</v>
      </c>
      <c r="F135" s="18">
        <v>1</v>
      </c>
      <c r="G135" s="301" t="str">
        <f t="shared" si="11"/>
        <v/>
      </c>
      <c r="H135" s="301"/>
      <c r="I135" s="305" t="str">
        <f>IF(ISERROR(IF(K135=0,"",IF(K135=1,CHAR(HEX2DEC(G135)),IF(K135=2,VLOOKUP(CONCATENATE(G135," ",G136),'IGS Configuration Values'!$C$241:$D$496,2,FALSE),"N/D"))))=TRUE,"",IF(K135=0,"",IF(K135=1,CHAR(HEX2DEC(G135)),IF(K135=2,VLOOKUP(CONCATENATE(G135," ",G136),'IGS Configuration Values'!$C$241:$D$496,2,FALSE),"N/D"))))</f>
        <v/>
      </c>
      <c r="J135" s="323"/>
      <c r="K135" s="158">
        <f t="shared" si="12"/>
        <v>1</v>
      </c>
    </row>
    <row r="136" spans="3:11" hidden="1" outlineLevel="1">
      <c r="C136" s="19" t="s">
        <v>1761</v>
      </c>
      <c r="D136" s="18">
        <f t="shared" si="9"/>
        <v>138</v>
      </c>
      <c r="E136" s="18">
        <f t="shared" si="10"/>
        <v>138</v>
      </c>
      <c r="F136" s="18">
        <v>1</v>
      </c>
      <c r="G136" s="301" t="str">
        <f t="shared" si="11"/>
        <v/>
      </c>
      <c r="H136" s="301"/>
      <c r="I136" s="305" t="str">
        <f>IF(ISERROR(IF(K136=0,"",IF(K136=1,CHAR(HEX2DEC(G136)),IF(K136=2,VLOOKUP(CONCATENATE(G136," ",G137),'IGS Configuration Values'!$C$241:$D$496,2,FALSE),"N/D"))))=TRUE,"",IF(K136=0,"",IF(K136=1,CHAR(HEX2DEC(G136)),IF(K136=2,VLOOKUP(CONCATENATE(G136," ",G137),'IGS Configuration Values'!$C$241:$D$496,2,FALSE),"N/D"))))</f>
        <v/>
      </c>
      <c r="J136" s="323"/>
      <c r="K136" s="158">
        <f t="shared" si="12"/>
        <v>1</v>
      </c>
    </row>
    <row r="137" spans="3:11" hidden="1" outlineLevel="1">
      <c r="C137" s="19" t="s">
        <v>1762</v>
      </c>
      <c r="D137" s="18">
        <f t="shared" si="9"/>
        <v>139</v>
      </c>
      <c r="E137" s="18">
        <f t="shared" si="10"/>
        <v>139</v>
      </c>
      <c r="F137" s="18">
        <v>1</v>
      </c>
      <c r="G137" s="301" t="str">
        <f t="shared" si="11"/>
        <v/>
      </c>
      <c r="H137" s="301"/>
      <c r="I137" s="305" t="str">
        <f>IF(ISERROR(IF(K137=0,"",IF(K137=1,CHAR(HEX2DEC(G137)),IF(K137=2,VLOOKUP(CONCATENATE(G137," ",G138),'IGS Configuration Values'!$C$241:$D$496,2,FALSE),"N/D"))))=TRUE,"",IF(K137=0,"",IF(K137=1,CHAR(HEX2DEC(G137)),IF(K137=2,VLOOKUP(CONCATENATE(G137," ",G138),'IGS Configuration Values'!$C$241:$D$496,2,FALSE),"N/D"))))</f>
        <v/>
      </c>
      <c r="J137" s="323"/>
      <c r="K137" s="158">
        <f t="shared" si="12"/>
        <v>1</v>
      </c>
    </row>
    <row r="138" spans="3:11" hidden="1" outlineLevel="1">
      <c r="C138" s="19" t="s">
        <v>1763</v>
      </c>
      <c r="D138" s="18">
        <f t="shared" si="9"/>
        <v>140</v>
      </c>
      <c r="E138" s="18">
        <f t="shared" si="10"/>
        <v>140</v>
      </c>
      <c r="F138" s="18">
        <v>1</v>
      </c>
      <c r="G138" s="301" t="str">
        <f t="shared" si="11"/>
        <v/>
      </c>
      <c r="H138" s="301"/>
      <c r="I138" s="305" t="str">
        <f>IF(ISERROR(IF(K138=0,"",IF(K138=1,CHAR(HEX2DEC(G138)),IF(K138=2,VLOOKUP(CONCATENATE(G138," ",G139),'IGS Configuration Values'!$C$241:$D$496,2,FALSE),"N/D"))))=TRUE,"",IF(K138=0,"",IF(K138=1,CHAR(HEX2DEC(G138)),IF(K138=2,VLOOKUP(CONCATENATE(G138," ",G139),'IGS Configuration Values'!$C$241:$D$496,2,FALSE),"N/D"))))</f>
        <v/>
      </c>
      <c r="J138" s="323"/>
      <c r="K138" s="158">
        <f t="shared" si="12"/>
        <v>1</v>
      </c>
    </row>
    <row r="139" spans="3:11" hidden="1" outlineLevel="1">
      <c r="C139" s="19" t="s">
        <v>1764</v>
      </c>
      <c r="D139" s="18">
        <f t="shared" ref="D139:D202" si="13">E138+1</f>
        <v>141</v>
      </c>
      <c r="E139" s="18">
        <f t="shared" ref="E139:E202" si="14">D139+F139-1</f>
        <v>141</v>
      </c>
      <c r="F139" s="18">
        <v>1</v>
      </c>
      <c r="G139" s="301" t="str">
        <f t="shared" ref="G139:G202" si="15">TRIM(MID($C$4,(D139-1)*3+1,F139*3))</f>
        <v/>
      </c>
      <c r="H139" s="301"/>
      <c r="I139" s="305" t="str">
        <f>IF(ISERROR(IF(K139=0,"",IF(K139=1,CHAR(HEX2DEC(G139)),IF(K139=2,VLOOKUP(CONCATENATE(G139," ",G140),'IGS Configuration Values'!$C$241:$D$496,2,FALSE),"N/D"))))=TRUE,"",IF(K139=0,"",IF(K139=1,CHAR(HEX2DEC(G139)),IF(K139=2,VLOOKUP(CONCATENATE(G139," ",G140),'IGS Configuration Values'!$C$241:$D$496,2,FALSE),"N/D"))))</f>
        <v/>
      </c>
      <c r="J139" s="323"/>
      <c r="K139" s="158">
        <f t="shared" si="12"/>
        <v>1</v>
      </c>
    </row>
    <row r="140" spans="3:11" hidden="1" outlineLevel="1">
      <c r="C140" s="19" t="s">
        <v>1765</v>
      </c>
      <c r="D140" s="18">
        <f t="shared" si="13"/>
        <v>142</v>
      </c>
      <c r="E140" s="18">
        <f t="shared" si="14"/>
        <v>142</v>
      </c>
      <c r="F140" s="18">
        <v>1</v>
      </c>
      <c r="G140" s="301" t="str">
        <f t="shared" si="15"/>
        <v/>
      </c>
      <c r="H140" s="301"/>
      <c r="I140" s="305" t="str">
        <f>IF(ISERROR(IF(K140=0,"",IF(K140=1,CHAR(HEX2DEC(G140)),IF(K140=2,VLOOKUP(CONCATENATE(G140," ",G141),'IGS Configuration Values'!$C$241:$D$496,2,FALSE),"N/D"))))=TRUE,"",IF(K140=0,"",IF(K140=1,CHAR(HEX2DEC(G140)),IF(K140=2,VLOOKUP(CONCATENATE(G140," ",G141),'IGS Configuration Values'!$C$241:$D$496,2,FALSE),"N/D"))))</f>
        <v/>
      </c>
      <c r="J140" s="323"/>
      <c r="K140" s="158">
        <f t="shared" si="12"/>
        <v>1</v>
      </c>
    </row>
    <row r="141" spans="3:11" hidden="1" outlineLevel="1">
      <c r="C141" s="19" t="s">
        <v>1766</v>
      </c>
      <c r="D141" s="18">
        <f t="shared" si="13"/>
        <v>143</v>
      </c>
      <c r="E141" s="18">
        <f t="shared" si="14"/>
        <v>143</v>
      </c>
      <c r="F141" s="18">
        <v>1</v>
      </c>
      <c r="G141" s="301" t="str">
        <f t="shared" si="15"/>
        <v/>
      </c>
      <c r="H141" s="301"/>
      <c r="I141" s="305" t="str">
        <f>IF(ISERROR(IF(K141=0,"",IF(K141=1,CHAR(HEX2DEC(G141)),IF(K141=2,VLOOKUP(CONCATENATE(G141," ",G142),'IGS Configuration Values'!$C$241:$D$496,2,FALSE),"N/D"))))=TRUE,"",IF(K141=0,"",IF(K141=1,CHAR(HEX2DEC(G141)),IF(K141=2,VLOOKUP(CONCATENATE(G141," ",G142),'IGS Configuration Values'!$C$241:$D$496,2,FALSE),"N/D"))))</f>
        <v/>
      </c>
      <c r="J141" s="323"/>
      <c r="K141" s="158">
        <f t="shared" si="12"/>
        <v>1</v>
      </c>
    </row>
    <row r="142" spans="3:11" hidden="1" outlineLevel="1">
      <c r="C142" s="19" t="s">
        <v>1767</v>
      </c>
      <c r="D142" s="18">
        <f t="shared" si="13"/>
        <v>144</v>
      </c>
      <c r="E142" s="18">
        <f t="shared" si="14"/>
        <v>144</v>
      </c>
      <c r="F142" s="18">
        <v>1</v>
      </c>
      <c r="G142" s="301" t="str">
        <f t="shared" si="15"/>
        <v/>
      </c>
      <c r="H142" s="301"/>
      <c r="I142" s="305" t="str">
        <f>IF(ISERROR(IF(K142=0,"",IF(K142=1,CHAR(HEX2DEC(G142)),IF(K142=2,VLOOKUP(CONCATENATE(G142," ",G143),'IGS Configuration Values'!$C$241:$D$496,2,FALSE),"N/D"))))=TRUE,"",IF(K142=0,"",IF(K142=1,CHAR(HEX2DEC(G142)),IF(K142=2,VLOOKUP(CONCATENATE(G142," ",G143),'IGS Configuration Values'!$C$241:$D$496,2,FALSE),"N/D"))))</f>
        <v/>
      </c>
      <c r="J142" s="323"/>
      <c r="K142" s="158">
        <f t="shared" si="12"/>
        <v>1</v>
      </c>
    </row>
    <row r="143" spans="3:11" hidden="1" outlineLevel="1">
      <c r="C143" s="19" t="s">
        <v>1768</v>
      </c>
      <c r="D143" s="18">
        <f t="shared" si="13"/>
        <v>145</v>
      </c>
      <c r="E143" s="18">
        <f t="shared" si="14"/>
        <v>145</v>
      </c>
      <c r="F143" s="18">
        <v>1</v>
      </c>
      <c r="G143" s="301" t="str">
        <f t="shared" si="15"/>
        <v/>
      </c>
      <c r="H143" s="301"/>
      <c r="I143" s="305" t="str">
        <f>IF(ISERROR(IF(K143=0,"",IF(K143=1,CHAR(HEX2DEC(G143)),IF(K143=2,VLOOKUP(CONCATENATE(G143," ",G144),'IGS Configuration Values'!$C$241:$D$496,2,FALSE),"N/D"))))=TRUE,"",IF(K143=0,"",IF(K143=1,CHAR(HEX2DEC(G143)),IF(K143=2,VLOOKUP(CONCATENATE(G143," ",G144),'IGS Configuration Values'!$C$241:$D$496,2,FALSE),"N/D"))))</f>
        <v/>
      </c>
      <c r="J143" s="323"/>
      <c r="K143" s="158">
        <f t="shared" si="12"/>
        <v>1</v>
      </c>
    </row>
    <row r="144" spans="3:11" hidden="1" outlineLevel="1">
      <c r="C144" s="19" t="s">
        <v>1769</v>
      </c>
      <c r="D144" s="18">
        <f t="shared" si="13"/>
        <v>146</v>
      </c>
      <c r="E144" s="18">
        <f t="shared" si="14"/>
        <v>146</v>
      </c>
      <c r="F144" s="18">
        <v>1</v>
      </c>
      <c r="G144" s="301" t="str">
        <f t="shared" si="15"/>
        <v/>
      </c>
      <c r="H144" s="301"/>
      <c r="I144" s="305" t="str">
        <f>IF(ISERROR(IF(K144=0,"",IF(K144=1,CHAR(HEX2DEC(G144)),IF(K144=2,VLOOKUP(CONCATENATE(G144," ",G145),'IGS Configuration Values'!$C$241:$D$496,2,FALSE),"N/D"))))=TRUE,"",IF(K144=0,"",IF(K144=1,CHAR(HEX2DEC(G144)),IF(K144=2,VLOOKUP(CONCATENATE(G144," ",G145),'IGS Configuration Values'!$C$241:$D$496,2,FALSE),"N/D"))))</f>
        <v/>
      </c>
      <c r="J144" s="323"/>
      <c r="K144" s="158">
        <f t="shared" si="12"/>
        <v>1</v>
      </c>
    </row>
    <row r="145" spans="3:11" hidden="1" outlineLevel="1">
      <c r="C145" s="19" t="s">
        <v>1770</v>
      </c>
      <c r="D145" s="18">
        <f t="shared" si="13"/>
        <v>147</v>
      </c>
      <c r="E145" s="18">
        <f t="shared" si="14"/>
        <v>147</v>
      </c>
      <c r="F145" s="18">
        <v>1</v>
      </c>
      <c r="G145" s="301" t="str">
        <f t="shared" si="15"/>
        <v/>
      </c>
      <c r="H145" s="301"/>
      <c r="I145" s="305" t="str">
        <f>IF(ISERROR(IF(K145=0,"",IF(K145=1,CHAR(HEX2DEC(G145)),IF(K145=2,VLOOKUP(CONCATENATE(G145," ",G146),'IGS Configuration Values'!$C$241:$D$496,2,FALSE),"N/D"))))=TRUE,"",IF(K145=0,"",IF(K145=1,CHAR(HEX2DEC(G145)),IF(K145=2,VLOOKUP(CONCATENATE(G145," ",G146),'IGS Configuration Values'!$C$241:$D$496,2,FALSE),"N/D"))))</f>
        <v/>
      </c>
      <c r="J145" s="323"/>
      <c r="K145" s="158">
        <f t="shared" ref="K145:K208" si="16">IF(K144=2,0,IF(HEX2DEC(G145)&lt;128,1,IF(HEX2DEC(G145)&gt;127,2,"ERRO")))</f>
        <v>1</v>
      </c>
    </row>
    <row r="146" spans="3:11" hidden="1" outlineLevel="1">
      <c r="C146" s="19" t="s">
        <v>1771</v>
      </c>
      <c r="D146" s="18">
        <f t="shared" si="13"/>
        <v>148</v>
      </c>
      <c r="E146" s="18">
        <f t="shared" si="14"/>
        <v>148</v>
      </c>
      <c r="F146" s="18">
        <v>1</v>
      </c>
      <c r="G146" s="301" t="str">
        <f t="shared" si="15"/>
        <v/>
      </c>
      <c r="H146" s="301"/>
      <c r="I146" s="305" t="str">
        <f>IF(ISERROR(IF(K146=0,"",IF(K146=1,CHAR(HEX2DEC(G146)),IF(K146=2,VLOOKUP(CONCATENATE(G146," ",G147),'IGS Configuration Values'!$C$241:$D$496,2,FALSE),"N/D"))))=TRUE,"",IF(K146=0,"",IF(K146=1,CHAR(HEX2DEC(G146)),IF(K146=2,VLOOKUP(CONCATENATE(G146," ",G147),'IGS Configuration Values'!$C$241:$D$496,2,FALSE),"N/D"))))</f>
        <v/>
      </c>
      <c r="J146" s="323"/>
      <c r="K146" s="158">
        <f t="shared" si="16"/>
        <v>1</v>
      </c>
    </row>
    <row r="147" spans="3:11" hidden="1" outlineLevel="1">
      <c r="C147" s="19" t="s">
        <v>1772</v>
      </c>
      <c r="D147" s="18">
        <f t="shared" si="13"/>
        <v>149</v>
      </c>
      <c r="E147" s="18">
        <f t="shared" si="14"/>
        <v>149</v>
      </c>
      <c r="F147" s="18">
        <v>1</v>
      </c>
      <c r="G147" s="301" t="str">
        <f t="shared" si="15"/>
        <v/>
      </c>
      <c r="H147" s="301"/>
      <c r="I147" s="305" t="str">
        <f>IF(ISERROR(IF(K147=0,"",IF(K147=1,CHAR(HEX2DEC(G147)),IF(K147=2,VLOOKUP(CONCATENATE(G147," ",G148),'IGS Configuration Values'!$C$241:$D$496,2,FALSE),"N/D"))))=TRUE,"",IF(K147=0,"",IF(K147=1,CHAR(HEX2DEC(G147)),IF(K147=2,VLOOKUP(CONCATENATE(G147," ",G148),'IGS Configuration Values'!$C$241:$D$496,2,FALSE),"N/D"))))</f>
        <v/>
      </c>
      <c r="J147" s="323"/>
      <c r="K147" s="158">
        <f t="shared" si="16"/>
        <v>1</v>
      </c>
    </row>
    <row r="148" spans="3:11" hidden="1" outlineLevel="1">
      <c r="C148" s="19" t="s">
        <v>1773</v>
      </c>
      <c r="D148" s="18">
        <f t="shared" si="13"/>
        <v>150</v>
      </c>
      <c r="E148" s="18">
        <f t="shared" si="14"/>
        <v>150</v>
      </c>
      <c r="F148" s="18">
        <v>1</v>
      </c>
      <c r="G148" s="301" t="str">
        <f t="shared" si="15"/>
        <v/>
      </c>
      <c r="H148" s="301"/>
      <c r="I148" s="305" t="str">
        <f>IF(ISERROR(IF(K148=0,"",IF(K148=1,CHAR(HEX2DEC(G148)),IF(K148=2,VLOOKUP(CONCATENATE(G148," ",G149),'IGS Configuration Values'!$C$241:$D$496,2,FALSE),"N/D"))))=TRUE,"",IF(K148=0,"",IF(K148=1,CHAR(HEX2DEC(G148)),IF(K148=2,VLOOKUP(CONCATENATE(G148," ",G149),'IGS Configuration Values'!$C$241:$D$496,2,FALSE),"N/D"))))</f>
        <v/>
      </c>
      <c r="J148" s="323"/>
      <c r="K148" s="158">
        <f t="shared" si="16"/>
        <v>1</v>
      </c>
    </row>
    <row r="149" spans="3:11" hidden="1" outlineLevel="1">
      <c r="C149" s="19" t="s">
        <v>1774</v>
      </c>
      <c r="D149" s="18">
        <f t="shared" si="13"/>
        <v>151</v>
      </c>
      <c r="E149" s="18">
        <f t="shared" si="14"/>
        <v>151</v>
      </c>
      <c r="F149" s="18">
        <v>1</v>
      </c>
      <c r="G149" s="301" t="str">
        <f t="shared" si="15"/>
        <v/>
      </c>
      <c r="H149" s="301"/>
      <c r="I149" s="305" t="str">
        <f>IF(ISERROR(IF(K149=0,"",IF(K149=1,CHAR(HEX2DEC(G149)),IF(K149=2,VLOOKUP(CONCATENATE(G149," ",G150),'IGS Configuration Values'!$C$241:$D$496,2,FALSE),"N/D"))))=TRUE,"",IF(K149=0,"",IF(K149=1,CHAR(HEX2DEC(G149)),IF(K149=2,VLOOKUP(CONCATENATE(G149," ",G150),'IGS Configuration Values'!$C$241:$D$496,2,FALSE),"N/D"))))</f>
        <v/>
      </c>
      <c r="J149" s="323"/>
      <c r="K149" s="158">
        <f t="shared" si="16"/>
        <v>1</v>
      </c>
    </row>
    <row r="150" spans="3:11" hidden="1" outlineLevel="1">
      <c r="C150" s="19" t="s">
        <v>1775</v>
      </c>
      <c r="D150" s="18">
        <f t="shared" si="13"/>
        <v>152</v>
      </c>
      <c r="E150" s="18">
        <f t="shared" si="14"/>
        <v>152</v>
      </c>
      <c r="F150" s="18">
        <v>1</v>
      </c>
      <c r="G150" s="301" t="str">
        <f t="shared" si="15"/>
        <v/>
      </c>
      <c r="H150" s="301"/>
      <c r="I150" s="305" t="str">
        <f>IF(ISERROR(IF(K150=0,"",IF(K150=1,CHAR(HEX2DEC(G150)),IF(K150=2,VLOOKUP(CONCATENATE(G150," ",G151),'IGS Configuration Values'!$C$241:$D$496,2,FALSE),"N/D"))))=TRUE,"",IF(K150=0,"",IF(K150=1,CHAR(HEX2DEC(G150)),IF(K150=2,VLOOKUP(CONCATENATE(G150," ",G151),'IGS Configuration Values'!$C$241:$D$496,2,FALSE),"N/D"))))</f>
        <v/>
      </c>
      <c r="J150" s="323"/>
      <c r="K150" s="158">
        <f t="shared" si="16"/>
        <v>1</v>
      </c>
    </row>
    <row r="151" spans="3:11" hidden="1" outlineLevel="1">
      <c r="C151" s="19" t="s">
        <v>1776</v>
      </c>
      <c r="D151" s="18">
        <f t="shared" si="13"/>
        <v>153</v>
      </c>
      <c r="E151" s="18">
        <f t="shared" si="14"/>
        <v>153</v>
      </c>
      <c r="F151" s="18">
        <v>1</v>
      </c>
      <c r="G151" s="301" t="str">
        <f t="shared" si="15"/>
        <v/>
      </c>
      <c r="H151" s="301"/>
      <c r="I151" s="305" t="str">
        <f>IF(ISERROR(IF(K151=0,"",IF(K151=1,CHAR(HEX2DEC(G151)),IF(K151=2,VLOOKUP(CONCATENATE(G151," ",G152),'IGS Configuration Values'!$C$241:$D$496,2,FALSE),"N/D"))))=TRUE,"",IF(K151=0,"",IF(K151=1,CHAR(HEX2DEC(G151)),IF(K151=2,VLOOKUP(CONCATENATE(G151," ",G152),'IGS Configuration Values'!$C$241:$D$496,2,FALSE),"N/D"))))</f>
        <v/>
      </c>
      <c r="J151" s="323"/>
      <c r="K151" s="158">
        <f t="shared" si="16"/>
        <v>1</v>
      </c>
    </row>
    <row r="152" spans="3:11" hidden="1" outlineLevel="1">
      <c r="C152" s="19" t="s">
        <v>1777</v>
      </c>
      <c r="D152" s="18">
        <f t="shared" si="13"/>
        <v>154</v>
      </c>
      <c r="E152" s="18">
        <f t="shared" si="14"/>
        <v>154</v>
      </c>
      <c r="F152" s="18">
        <v>1</v>
      </c>
      <c r="G152" s="301" t="str">
        <f t="shared" si="15"/>
        <v/>
      </c>
      <c r="H152" s="301"/>
      <c r="I152" s="305" t="str">
        <f>IF(ISERROR(IF(K152=0,"",IF(K152=1,CHAR(HEX2DEC(G152)),IF(K152=2,VLOOKUP(CONCATENATE(G152," ",G153),'IGS Configuration Values'!$C$241:$D$496,2,FALSE),"N/D"))))=TRUE,"",IF(K152=0,"",IF(K152=1,CHAR(HEX2DEC(G152)),IF(K152=2,VLOOKUP(CONCATENATE(G152," ",G153),'IGS Configuration Values'!$C$241:$D$496,2,FALSE),"N/D"))))</f>
        <v/>
      </c>
      <c r="J152" s="323"/>
      <c r="K152" s="158">
        <f t="shared" si="16"/>
        <v>1</v>
      </c>
    </row>
    <row r="153" spans="3:11" hidden="1" outlineLevel="1">
      <c r="C153" s="19" t="s">
        <v>1778</v>
      </c>
      <c r="D153" s="18">
        <f t="shared" si="13"/>
        <v>155</v>
      </c>
      <c r="E153" s="18">
        <f t="shared" si="14"/>
        <v>155</v>
      </c>
      <c r="F153" s="18">
        <v>1</v>
      </c>
      <c r="G153" s="301" t="str">
        <f t="shared" si="15"/>
        <v/>
      </c>
      <c r="H153" s="301"/>
      <c r="I153" s="305" t="str">
        <f>IF(ISERROR(IF(K153=0,"",IF(K153=1,CHAR(HEX2DEC(G153)),IF(K153=2,VLOOKUP(CONCATENATE(G153," ",G154),'IGS Configuration Values'!$C$241:$D$496,2,FALSE),"N/D"))))=TRUE,"",IF(K153=0,"",IF(K153=1,CHAR(HEX2DEC(G153)),IF(K153=2,VLOOKUP(CONCATENATE(G153," ",G154),'IGS Configuration Values'!$C$241:$D$496,2,FALSE),"N/D"))))</f>
        <v/>
      </c>
      <c r="J153" s="323"/>
      <c r="K153" s="158">
        <f t="shared" si="16"/>
        <v>1</v>
      </c>
    </row>
    <row r="154" spans="3:11" hidden="1" outlineLevel="1">
      <c r="C154" s="19" t="s">
        <v>1779</v>
      </c>
      <c r="D154" s="18">
        <f t="shared" si="13"/>
        <v>156</v>
      </c>
      <c r="E154" s="18">
        <f t="shared" si="14"/>
        <v>156</v>
      </c>
      <c r="F154" s="18">
        <v>1</v>
      </c>
      <c r="G154" s="301" t="str">
        <f t="shared" si="15"/>
        <v/>
      </c>
      <c r="H154" s="301"/>
      <c r="I154" s="305" t="str">
        <f>IF(ISERROR(IF(K154=0,"",IF(K154=1,CHAR(HEX2DEC(G154)),IF(K154=2,VLOOKUP(CONCATENATE(G154," ",G155),'IGS Configuration Values'!$C$241:$D$496,2,FALSE),"N/D"))))=TRUE,"",IF(K154=0,"",IF(K154=1,CHAR(HEX2DEC(G154)),IF(K154=2,VLOOKUP(CONCATENATE(G154," ",G155),'IGS Configuration Values'!$C$241:$D$496,2,FALSE),"N/D"))))</f>
        <v/>
      </c>
      <c r="J154" s="323"/>
      <c r="K154" s="158">
        <f t="shared" si="16"/>
        <v>1</v>
      </c>
    </row>
    <row r="155" spans="3:11" hidden="1" outlineLevel="1">
      <c r="C155" s="19" t="s">
        <v>1780</v>
      </c>
      <c r="D155" s="18">
        <f t="shared" si="13"/>
        <v>157</v>
      </c>
      <c r="E155" s="18">
        <f t="shared" si="14"/>
        <v>157</v>
      </c>
      <c r="F155" s="18">
        <v>1</v>
      </c>
      <c r="G155" s="301" t="str">
        <f t="shared" si="15"/>
        <v/>
      </c>
      <c r="H155" s="301"/>
      <c r="I155" s="305" t="str">
        <f>IF(ISERROR(IF(K155=0,"",IF(K155=1,CHAR(HEX2DEC(G155)),IF(K155=2,VLOOKUP(CONCATENATE(G155," ",G156),'IGS Configuration Values'!$C$241:$D$496,2,FALSE),"N/D"))))=TRUE,"",IF(K155=0,"",IF(K155=1,CHAR(HEX2DEC(G155)),IF(K155=2,VLOOKUP(CONCATENATE(G155," ",G156),'IGS Configuration Values'!$C$241:$D$496,2,FALSE),"N/D"))))</f>
        <v/>
      </c>
      <c r="J155" s="323"/>
      <c r="K155" s="158">
        <f t="shared" si="16"/>
        <v>1</v>
      </c>
    </row>
    <row r="156" spans="3:11" hidden="1" outlineLevel="1">
      <c r="C156" s="19" t="s">
        <v>1781</v>
      </c>
      <c r="D156" s="18">
        <f t="shared" si="13"/>
        <v>158</v>
      </c>
      <c r="E156" s="18">
        <f t="shared" si="14"/>
        <v>158</v>
      </c>
      <c r="F156" s="18">
        <v>1</v>
      </c>
      <c r="G156" s="301" t="str">
        <f t="shared" si="15"/>
        <v/>
      </c>
      <c r="H156" s="301"/>
      <c r="I156" s="305" t="str">
        <f>IF(ISERROR(IF(K156=0,"",IF(K156=1,CHAR(HEX2DEC(G156)),IF(K156=2,VLOOKUP(CONCATENATE(G156," ",G157),'IGS Configuration Values'!$C$241:$D$496,2,FALSE),"N/D"))))=TRUE,"",IF(K156=0,"",IF(K156=1,CHAR(HEX2DEC(G156)),IF(K156=2,VLOOKUP(CONCATENATE(G156," ",G157),'IGS Configuration Values'!$C$241:$D$496,2,FALSE),"N/D"))))</f>
        <v/>
      </c>
      <c r="J156" s="323"/>
      <c r="K156" s="158">
        <f t="shared" si="16"/>
        <v>1</v>
      </c>
    </row>
    <row r="157" spans="3:11" hidden="1" outlineLevel="1">
      <c r="C157" s="19" t="s">
        <v>1782</v>
      </c>
      <c r="D157" s="18">
        <f t="shared" si="13"/>
        <v>159</v>
      </c>
      <c r="E157" s="18">
        <f t="shared" si="14"/>
        <v>159</v>
      </c>
      <c r="F157" s="18">
        <v>1</v>
      </c>
      <c r="G157" s="301" t="str">
        <f t="shared" si="15"/>
        <v/>
      </c>
      <c r="H157" s="301"/>
      <c r="I157" s="305" t="str">
        <f>IF(ISERROR(IF(K157=0,"",IF(K157=1,CHAR(HEX2DEC(G157)),IF(K157=2,VLOOKUP(CONCATENATE(G157," ",G158),'IGS Configuration Values'!$C$241:$D$496,2,FALSE),"N/D"))))=TRUE,"",IF(K157=0,"",IF(K157=1,CHAR(HEX2DEC(G157)),IF(K157=2,VLOOKUP(CONCATENATE(G157," ",G158),'IGS Configuration Values'!$C$241:$D$496,2,FALSE),"N/D"))))</f>
        <v/>
      </c>
      <c r="J157" s="323"/>
      <c r="K157" s="158">
        <f t="shared" si="16"/>
        <v>1</v>
      </c>
    </row>
    <row r="158" spans="3:11" hidden="1" outlineLevel="1">
      <c r="C158" s="19" t="s">
        <v>1783</v>
      </c>
      <c r="D158" s="18">
        <f t="shared" si="13"/>
        <v>160</v>
      </c>
      <c r="E158" s="18">
        <f t="shared" si="14"/>
        <v>160</v>
      </c>
      <c r="F158" s="18">
        <v>1</v>
      </c>
      <c r="G158" s="301" t="str">
        <f t="shared" si="15"/>
        <v/>
      </c>
      <c r="H158" s="301"/>
      <c r="I158" s="305" t="str">
        <f>IF(ISERROR(IF(K158=0,"",IF(K158=1,CHAR(HEX2DEC(G158)),IF(K158=2,VLOOKUP(CONCATENATE(G158," ",G159),'IGS Configuration Values'!$C$241:$D$496,2,FALSE),"N/D"))))=TRUE,"",IF(K158=0,"",IF(K158=1,CHAR(HEX2DEC(G158)),IF(K158=2,VLOOKUP(CONCATENATE(G158," ",G159),'IGS Configuration Values'!$C$241:$D$496,2,FALSE),"N/D"))))</f>
        <v/>
      </c>
      <c r="J158" s="323"/>
      <c r="K158" s="158">
        <f t="shared" si="16"/>
        <v>1</v>
      </c>
    </row>
    <row r="159" spans="3:11" hidden="1" outlineLevel="1">
      <c r="C159" s="19" t="s">
        <v>1784</v>
      </c>
      <c r="D159" s="18">
        <f t="shared" si="13"/>
        <v>161</v>
      </c>
      <c r="E159" s="18">
        <f t="shared" si="14"/>
        <v>161</v>
      </c>
      <c r="F159" s="18">
        <v>1</v>
      </c>
      <c r="G159" s="301" t="str">
        <f t="shared" si="15"/>
        <v/>
      </c>
      <c r="H159" s="301"/>
      <c r="I159" s="305" t="str">
        <f>IF(ISERROR(IF(K159=0,"",IF(K159=1,CHAR(HEX2DEC(G159)),IF(K159=2,VLOOKUP(CONCATENATE(G159," ",G160),'IGS Configuration Values'!$C$241:$D$496,2,FALSE),"N/D"))))=TRUE,"",IF(K159=0,"",IF(K159=1,CHAR(HEX2DEC(G159)),IF(K159=2,VLOOKUP(CONCATENATE(G159," ",G160),'IGS Configuration Values'!$C$241:$D$496,2,FALSE),"N/D"))))</f>
        <v/>
      </c>
      <c r="J159" s="323"/>
      <c r="K159" s="158">
        <f t="shared" si="16"/>
        <v>1</v>
      </c>
    </row>
    <row r="160" spans="3:11" hidden="1" outlineLevel="1">
      <c r="C160" s="19" t="s">
        <v>1785</v>
      </c>
      <c r="D160" s="18">
        <f t="shared" si="13"/>
        <v>162</v>
      </c>
      <c r="E160" s="18">
        <f t="shared" si="14"/>
        <v>162</v>
      </c>
      <c r="F160" s="18">
        <v>1</v>
      </c>
      <c r="G160" s="301" t="str">
        <f t="shared" si="15"/>
        <v/>
      </c>
      <c r="H160" s="301"/>
      <c r="I160" s="305" t="str">
        <f>IF(ISERROR(IF(K160=0,"",IF(K160=1,CHAR(HEX2DEC(G160)),IF(K160=2,VLOOKUP(CONCATENATE(G160," ",G161),'IGS Configuration Values'!$C$241:$D$496,2,FALSE),"N/D"))))=TRUE,"",IF(K160=0,"",IF(K160=1,CHAR(HEX2DEC(G160)),IF(K160=2,VLOOKUP(CONCATENATE(G160," ",G161),'IGS Configuration Values'!$C$241:$D$496,2,FALSE),"N/D"))))</f>
        <v/>
      </c>
      <c r="J160" s="323"/>
      <c r="K160" s="158">
        <f t="shared" si="16"/>
        <v>1</v>
      </c>
    </row>
    <row r="161" spans="3:11" hidden="1" outlineLevel="1">
      <c r="C161" s="19" t="s">
        <v>1786</v>
      </c>
      <c r="D161" s="18">
        <f t="shared" si="13"/>
        <v>163</v>
      </c>
      <c r="E161" s="18">
        <f t="shared" si="14"/>
        <v>163</v>
      </c>
      <c r="F161" s="18">
        <v>1</v>
      </c>
      <c r="G161" s="301" t="str">
        <f t="shared" si="15"/>
        <v/>
      </c>
      <c r="H161" s="301"/>
      <c r="I161" s="305" t="str">
        <f>IF(ISERROR(IF(K161=0,"",IF(K161=1,CHAR(HEX2DEC(G161)),IF(K161=2,VLOOKUP(CONCATENATE(G161," ",G162),'IGS Configuration Values'!$C$241:$D$496,2,FALSE),"N/D"))))=TRUE,"",IF(K161=0,"",IF(K161=1,CHAR(HEX2DEC(G161)),IF(K161=2,VLOOKUP(CONCATENATE(G161," ",G162),'IGS Configuration Values'!$C$241:$D$496,2,FALSE),"N/D"))))</f>
        <v/>
      </c>
      <c r="J161" s="323"/>
      <c r="K161" s="158">
        <f t="shared" si="16"/>
        <v>1</v>
      </c>
    </row>
    <row r="162" spans="3:11" hidden="1" outlineLevel="1">
      <c r="C162" s="19" t="s">
        <v>1787</v>
      </c>
      <c r="D162" s="18">
        <f t="shared" si="13"/>
        <v>164</v>
      </c>
      <c r="E162" s="18">
        <f t="shared" si="14"/>
        <v>164</v>
      </c>
      <c r="F162" s="18">
        <v>1</v>
      </c>
      <c r="G162" s="301" t="str">
        <f t="shared" si="15"/>
        <v/>
      </c>
      <c r="H162" s="301"/>
      <c r="I162" s="305" t="str">
        <f>IF(ISERROR(IF(K162=0,"",IF(K162=1,CHAR(HEX2DEC(G162)),IF(K162=2,VLOOKUP(CONCATENATE(G162," ",G163),'IGS Configuration Values'!$C$241:$D$496,2,FALSE),"N/D"))))=TRUE,"",IF(K162=0,"",IF(K162=1,CHAR(HEX2DEC(G162)),IF(K162=2,VLOOKUP(CONCATENATE(G162," ",G163),'IGS Configuration Values'!$C$241:$D$496,2,FALSE),"N/D"))))</f>
        <v/>
      </c>
      <c r="J162" s="323"/>
      <c r="K162" s="158">
        <f t="shared" si="16"/>
        <v>1</v>
      </c>
    </row>
    <row r="163" spans="3:11" hidden="1" outlineLevel="1">
      <c r="C163" s="19" t="s">
        <v>1788</v>
      </c>
      <c r="D163" s="18">
        <f t="shared" si="13"/>
        <v>165</v>
      </c>
      <c r="E163" s="18">
        <f t="shared" si="14"/>
        <v>165</v>
      </c>
      <c r="F163" s="18">
        <v>1</v>
      </c>
      <c r="G163" s="301" t="str">
        <f t="shared" si="15"/>
        <v/>
      </c>
      <c r="H163" s="301"/>
      <c r="I163" s="305" t="str">
        <f>IF(ISERROR(IF(K163=0,"",IF(K163=1,CHAR(HEX2DEC(G163)),IF(K163=2,VLOOKUP(CONCATENATE(G163," ",G164),'IGS Configuration Values'!$C$241:$D$496,2,FALSE),"N/D"))))=TRUE,"",IF(K163=0,"",IF(K163=1,CHAR(HEX2DEC(G163)),IF(K163=2,VLOOKUP(CONCATENATE(G163," ",G164),'IGS Configuration Values'!$C$241:$D$496,2,FALSE),"N/D"))))</f>
        <v/>
      </c>
      <c r="J163" s="323"/>
      <c r="K163" s="158">
        <f t="shared" si="16"/>
        <v>1</v>
      </c>
    </row>
    <row r="164" spans="3:11" hidden="1" outlineLevel="1">
      <c r="C164" s="19" t="s">
        <v>1789</v>
      </c>
      <c r="D164" s="18">
        <f t="shared" si="13"/>
        <v>166</v>
      </c>
      <c r="E164" s="18">
        <f t="shared" si="14"/>
        <v>166</v>
      </c>
      <c r="F164" s="18">
        <v>1</v>
      </c>
      <c r="G164" s="301" t="str">
        <f t="shared" si="15"/>
        <v/>
      </c>
      <c r="H164" s="301"/>
      <c r="I164" s="305" t="str">
        <f>IF(ISERROR(IF(K164=0,"",IF(K164=1,CHAR(HEX2DEC(G164)),IF(K164=2,VLOOKUP(CONCATENATE(G164," ",G165),'IGS Configuration Values'!$C$241:$D$496,2,FALSE),"N/D"))))=TRUE,"",IF(K164=0,"",IF(K164=1,CHAR(HEX2DEC(G164)),IF(K164=2,VLOOKUP(CONCATENATE(G164," ",G165),'IGS Configuration Values'!$C$241:$D$496,2,FALSE),"N/D"))))</f>
        <v/>
      </c>
      <c r="J164" s="323"/>
      <c r="K164" s="158">
        <f t="shared" si="16"/>
        <v>1</v>
      </c>
    </row>
    <row r="165" spans="3:11" hidden="1" outlineLevel="1">
      <c r="C165" s="19" t="s">
        <v>1790</v>
      </c>
      <c r="D165" s="18">
        <f t="shared" si="13"/>
        <v>167</v>
      </c>
      <c r="E165" s="18">
        <f t="shared" si="14"/>
        <v>167</v>
      </c>
      <c r="F165" s="18">
        <v>1</v>
      </c>
      <c r="G165" s="301" t="str">
        <f t="shared" si="15"/>
        <v/>
      </c>
      <c r="H165" s="301"/>
      <c r="I165" s="305" t="str">
        <f>IF(ISERROR(IF(K165=0,"",IF(K165=1,CHAR(HEX2DEC(G165)),IF(K165=2,VLOOKUP(CONCATENATE(G165," ",G166),'IGS Configuration Values'!$C$241:$D$496,2,FALSE),"N/D"))))=TRUE,"",IF(K165=0,"",IF(K165=1,CHAR(HEX2DEC(G165)),IF(K165=2,VLOOKUP(CONCATENATE(G165," ",G166),'IGS Configuration Values'!$C$241:$D$496,2,FALSE),"N/D"))))</f>
        <v/>
      </c>
      <c r="J165" s="323"/>
      <c r="K165" s="158">
        <f t="shared" si="16"/>
        <v>1</v>
      </c>
    </row>
    <row r="166" spans="3:11" hidden="1" outlineLevel="1">
      <c r="C166" s="19" t="s">
        <v>1791</v>
      </c>
      <c r="D166" s="18">
        <f t="shared" si="13"/>
        <v>168</v>
      </c>
      <c r="E166" s="18">
        <f t="shared" si="14"/>
        <v>168</v>
      </c>
      <c r="F166" s="18">
        <v>1</v>
      </c>
      <c r="G166" s="301" t="str">
        <f t="shared" si="15"/>
        <v/>
      </c>
      <c r="H166" s="301"/>
      <c r="I166" s="305" t="str">
        <f>IF(ISERROR(IF(K166=0,"",IF(K166=1,CHAR(HEX2DEC(G166)),IF(K166=2,VLOOKUP(CONCATENATE(G166," ",G167),'IGS Configuration Values'!$C$241:$D$496,2,FALSE),"N/D"))))=TRUE,"",IF(K166=0,"",IF(K166=1,CHAR(HEX2DEC(G166)),IF(K166=2,VLOOKUP(CONCATENATE(G166," ",G167),'IGS Configuration Values'!$C$241:$D$496,2,FALSE),"N/D"))))</f>
        <v/>
      </c>
      <c r="J166" s="323"/>
      <c r="K166" s="158">
        <f t="shared" si="16"/>
        <v>1</v>
      </c>
    </row>
    <row r="167" spans="3:11" hidden="1" outlineLevel="1">
      <c r="C167" s="19" t="s">
        <v>1792</v>
      </c>
      <c r="D167" s="18">
        <f t="shared" si="13"/>
        <v>169</v>
      </c>
      <c r="E167" s="18">
        <f t="shared" si="14"/>
        <v>169</v>
      </c>
      <c r="F167" s="18">
        <v>1</v>
      </c>
      <c r="G167" s="301" t="str">
        <f t="shared" si="15"/>
        <v/>
      </c>
      <c r="H167" s="301"/>
      <c r="I167" s="305" t="str">
        <f>IF(ISERROR(IF(K167=0,"",IF(K167=1,CHAR(HEX2DEC(G167)),IF(K167=2,VLOOKUP(CONCATENATE(G167," ",G168),'IGS Configuration Values'!$C$241:$D$496,2,FALSE),"N/D"))))=TRUE,"",IF(K167=0,"",IF(K167=1,CHAR(HEX2DEC(G167)),IF(K167=2,VLOOKUP(CONCATENATE(G167," ",G168),'IGS Configuration Values'!$C$241:$D$496,2,FALSE),"N/D"))))</f>
        <v/>
      </c>
      <c r="J167" s="323"/>
      <c r="K167" s="158">
        <f t="shared" si="16"/>
        <v>1</v>
      </c>
    </row>
    <row r="168" spans="3:11" hidden="1" outlineLevel="1">
      <c r="C168" s="19" t="s">
        <v>1793</v>
      </c>
      <c r="D168" s="18">
        <f t="shared" si="13"/>
        <v>170</v>
      </c>
      <c r="E168" s="18">
        <f t="shared" si="14"/>
        <v>170</v>
      </c>
      <c r="F168" s="18">
        <v>1</v>
      </c>
      <c r="G168" s="301" t="str">
        <f t="shared" si="15"/>
        <v/>
      </c>
      <c r="H168" s="301"/>
      <c r="I168" s="305" t="str">
        <f>IF(ISERROR(IF(K168=0,"",IF(K168=1,CHAR(HEX2DEC(G168)),IF(K168=2,VLOOKUP(CONCATENATE(G168," ",G169),'IGS Configuration Values'!$C$241:$D$496,2,FALSE),"N/D"))))=TRUE,"",IF(K168=0,"",IF(K168=1,CHAR(HEX2DEC(G168)),IF(K168=2,VLOOKUP(CONCATENATE(G168," ",G169),'IGS Configuration Values'!$C$241:$D$496,2,FALSE),"N/D"))))</f>
        <v/>
      </c>
      <c r="J168" s="323"/>
      <c r="K168" s="158">
        <f t="shared" si="16"/>
        <v>1</v>
      </c>
    </row>
    <row r="169" spans="3:11" hidden="1" outlineLevel="1">
      <c r="C169" s="19" t="s">
        <v>1794</v>
      </c>
      <c r="D169" s="18">
        <f t="shared" si="13"/>
        <v>171</v>
      </c>
      <c r="E169" s="18">
        <f t="shared" si="14"/>
        <v>171</v>
      </c>
      <c r="F169" s="18">
        <v>1</v>
      </c>
      <c r="G169" s="301" t="str">
        <f t="shared" si="15"/>
        <v/>
      </c>
      <c r="H169" s="301"/>
      <c r="I169" s="305" t="str">
        <f>IF(ISERROR(IF(K169=0,"",IF(K169=1,CHAR(HEX2DEC(G169)),IF(K169=2,VLOOKUP(CONCATENATE(G169," ",G170),'IGS Configuration Values'!$C$241:$D$496,2,FALSE),"N/D"))))=TRUE,"",IF(K169=0,"",IF(K169=1,CHAR(HEX2DEC(G169)),IF(K169=2,VLOOKUP(CONCATENATE(G169," ",G170),'IGS Configuration Values'!$C$241:$D$496,2,FALSE),"N/D"))))</f>
        <v/>
      </c>
      <c r="J169" s="323"/>
      <c r="K169" s="158">
        <f t="shared" si="16"/>
        <v>1</v>
      </c>
    </row>
    <row r="170" spans="3:11" hidden="1" outlineLevel="1">
      <c r="C170" s="19" t="s">
        <v>1795</v>
      </c>
      <c r="D170" s="18">
        <f t="shared" si="13"/>
        <v>172</v>
      </c>
      <c r="E170" s="18">
        <f t="shared" si="14"/>
        <v>172</v>
      </c>
      <c r="F170" s="18">
        <v>1</v>
      </c>
      <c r="G170" s="301" t="str">
        <f t="shared" si="15"/>
        <v/>
      </c>
      <c r="H170" s="301"/>
      <c r="I170" s="305" t="str">
        <f>IF(ISERROR(IF(K170=0,"",IF(K170=1,CHAR(HEX2DEC(G170)),IF(K170=2,VLOOKUP(CONCATENATE(G170," ",G171),'IGS Configuration Values'!$C$241:$D$496,2,FALSE),"N/D"))))=TRUE,"",IF(K170=0,"",IF(K170=1,CHAR(HEX2DEC(G170)),IF(K170=2,VLOOKUP(CONCATENATE(G170," ",G171),'IGS Configuration Values'!$C$241:$D$496,2,FALSE),"N/D"))))</f>
        <v/>
      </c>
      <c r="J170" s="323"/>
      <c r="K170" s="158">
        <f t="shared" si="16"/>
        <v>1</v>
      </c>
    </row>
    <row r="171" spans="3:11" hidden="1" outlineLevel="1">
      <c r="C171" s="19" t="s">
        <v>1796</v>
      </c>
      <c r="D171" s="18">
        <f t="shared" si="13"/>
        <v>173</v>
      </c>
      <c r="E171" s="18">
        <f t="shared" si="14"/>
        <v>173</v>
      </c>
      <c r="F171" s="18">
        <v>1</v>
      </c>
      <c r="G171" s="301" t="str">
        <f t="shared" si="15"/>
        <v/>
      </c>
      <c r="H171" s="301"/>
      <c r="I171" s="305" t="str">
        <f>IF(ISERROR(IF(K171=0,"",IF(K171=1,CHAR(HEX2DEC(G171)),IF(K171=2,VLOOKUP(CONCATENATE(G171," ",G172),'IGS Configuration Values'!$C$241:$D$496,2,FALSE),"N/D"))))=TRUE,"",IF(K171=0,"",IF(K171=1,CHAR(HEX2DEC(G171)),IF(K171=2,VLOOKUP(CONCATENATE(G171," ",G172),'IGS Configuration Values'!$C$241:$D$496,2,FALSE),"N/D"))))</f>
        <v/>
      </c>
      <c r="J171" s="323"/>
      <c r="K171" s="158">
        <f t="shared" si="16"/>
        <v>1</v>
      </c>
    </row>
    <row r="172" spans="3:11" hidden="1" outlineLevel="1">
      <c r="C172" s="19" t="s">
        <v>1797</v>
      </c>
      <c r="D172" s="18">
        <f t="shared" si="13"/>
        <v>174</v>
      </c>
      <c r="E172" s="18">
        <f t="shared" si="14"/>
        <v>174</v>
      </c>
      <c r="F172" s="18">
        <v>1</v>
      </c>
      <c r="G172" s="301" t="str">
        <f t="shared" si="15"/>
        <v/>
      </c>
      <c r="H172" s="301"/>
      <c r="I172" s="305" t="str">
        <f>IF(ISERROR(IF(K172=0,"",IF(K172=1,CHAR(HEX2DEC(G172)),IF(K172=2,VLOOKUP(CONCATENATE(G172," ",G173),'IGS Configuration Values'!$C$241:$D$496,2,FALSE),"N/D"))))=TRUE,"",IF(K172=0,"",IF(K172=1,CHAR(HEX2DEC(G172)),IF(K172=2,VLOOKUP(CONCATENATE(G172," ",G173),'IGS Configuration Values'!$C$241:$D$496,2,FALSE),"N/D"))))</f>
        <v/>
      </c>
      <c r="J172" s="323"/>
      <c r="K172" s="158">
        <f t="shared" si="16"/>
        <v>1</v>
      </c>
    </row>
    <row r="173" spans="3:11" hidden="1" outlineLevel="1">
      <c r="C173" s="19" t="s">
        <v>1798</v>
      </c>
      <c r="D173" s="18">
        <f t="shared" si="13"/>
        <v>175</v>
      </c>
      <c r="E173" s="18">
        <f t="shared" si="14"/>
        <v>175</v>
      </c>
      <c r="F173" s="18">
        <v>1</v>
      </c>
      <c r="G173" s="301" t="str">
        <f t="shared" si="15"/>
        <v/>
      </c>
      <c r="H173" s="301"/>
      <c r="I173" s="305" t="str">
        <f>IF(ISERROR(IF(K173=0,"",IF(K173=1,CHAR(HEX2DEC(G173)),IF(K173=2,VLOOKUP(CONCATENATE(G173," ",G174),'IGS Configuration Values'!$C$241:$D$496,2,FALSE),"N/D"))))=TRUE,"",IF(K173=0,"",IF(K173=1,CHAR(HEX2DEC(G173)),IF(K173=2,VLOOKUP(CONCATENATE(G173," ",G174),'IGS Configuration Values'!$C$241:$D$496,2,FALSE),"N/D"))))</f>
        <v/>
      </c>
      <c r="J173" s="323"/>
      <c r="K173" s="158">
        <f t="shared" si="16"/>
        <v>1</v>
      </c>
    </row>
    <row r="174" spans="3:11" hidden="1" outlineLevel="1">
      <c r="C174" s="19" t="s">
        <v>1799</v>
      </c>
      <c r="D174" s="18">
        <f t="shared" si="13"/>
        <v>176</v>
      </c>
      <c r="E174" s="18">
        <f t="shared" si="14"/>
        <v>176</v>
      </c>
      <c r="F174" s="18">
        <v>1</v>
      </c>
      <c r="G174" s="301" t="str">
        <f t="shared" si="15"/>
        <v/>
      </c>
      <c r="H174" s="301"/>
      <c r="I174" s="305" t="str">
        <f>IF(ISERROR(IF(K174=0,"",IF(K174=1,CHAR(HEX2DEC(G174)),IF(K174=2,VLOOKUP(CONCATENATE(G174," ",G175),'IGS Configuration Values'!$C$241:$D$496,2,FALSE),"N/D"))))=TRUE,"",IF(K174=0,"",IF(K174=1,CHAR(HEX2DEC(G174)),IF(K174=2,VLOOKUP(CONCATENATE(G174," ",G175),'IGS Configuration Values'!$C$241:$D$496,2,FALSE),"N/D"))))</f>
        <v/>
      </c>
      <c r="J174" s="323"/>
      <c r="K174" s="158">
        <f t="shared" si="16"/>
        <v>1</v>
      </c>
    </row>
    <row r="175" spans="3:11" hidden="1" outlineLevel="1">
      <c r="C175" s="19" t="s">
        <v>1800</v>
      </c>
      <c r="D175" s="18">
        <f t="shared" si="13"/>
        <v>177</v>
      </c>
      <c r="E175" s="18">
        <f t="shared" si="14"/>
        <v>177</v>
      </c>
      <c r="F175" s="18">
        <v>1</v>
      </c>
      <c r="G175" s="301" t="str">
        <f t="shared" si="15"/>
        <v/>
      </c>
      <c r="H175" s="301"/>
      <c r="I175" s="305" t="str">
        <f>IF(ISERROR(IF(K175=0,"",IF(K175=1,CHAR(HEX2DEC(G175)),IF(K175=2,VLOOKUP(CONCATENATE(G175," ",G176),'IGS Configuration Values'!$C$241:$D$496,2,FALSE),"N/D"))))=TRUE,"",IF(K175=0,"",IF(K175=1,CHAR(HEX2DEC(G175)),IF(K175=2,VLOOKUP(CONCATENATE(G175," ",G176),'IGS Configuration Values'!$C$241:$D$496,2,FALSE),"N/D"))))</f>
        <v/>
      </c>
      <c r="J175" s="323"/>
      <c r="K175" s="158">
        <f t="shared" si="16"/>
        <v>1</v>
      </c>
    </row>
    <row r="176" spans="3:11" hidden="1" outlineLevel="1">
      <c r="C176" s="19" t="s">
        <v>1801</v>
      </c>
      <c r="D176" s="18">
        <f t="shared" si="13"/>
        <v>178</v>
      </c>
      <c r="E176" s="18">
        <f t="shared" si="14"/>
        <v>178</v>
      </c>
      <c r="F176" s="18">
        <v>1</v>
      </c>
      <c r="G176" s="301" t="str">
        <f t="shared" si="15"/>
        <v/>
      </c>
      <c r="H176" s="301"/>
      <c r="I176" s="305" t="str">
        <f>IF(ISERROR(IF(K176=0,"",IF(K176=1,CHAR(HEX2DEC(G176)),IF(K176=2,VLOOKUP(CONCATENATE(G176," ",G177),'IGS Configuration Values'!$C$241:$D$496,2,FALSE),"N/D"))))=TRUE,"",IF(K176=0,"",IF(K176=1,CHAR(HEX2DEC(G176)),IF(K176=2,VLOOKUP(CONCATENATE(G176," ",G177),'IGS Configuration Values'!$C$241:$D$496,2,FALSE),"N/D"))))</f>
        <v/>
      </c>
      <c r="J176" s="323"/>
      <c r="K176" s="158">
        <f t="shared" si="16"/>
        <v>1</v>
      </c>
    </row>
    <row r="177" spans="3:11" hidden="1" outlineLevel="1">
      <c r="C177" s="19" t="s">
        <v>1802</v>
      </c>
      <c r="D177" s="18">
        <f t="shared" si="13"/>
        <v>179</v>
      </c>
      <c r="E177" s="18">
        <f t="shared" si="14"/>
        <v>179</v>
      </c>
      <c r="F177" s="18">
        <v>1</v>
      </c>
      <c r="G177" s="301" t="str">
        <f t="shared" si="15"/>
        <v/>
      </c>
      <c r="H177" s="301"/>
      <c r="I177" s="305" t="str">
        <f>IF(ISERROR(IF(K177=0,"",IF(K177=1,CHAR(HEX2DEC(G177)),IF(K177=2,VLOOKUP(CONCATENATE(G177," ",G178),'IGS Configuration Values'!$C$241:$D$496,2,FALSE),"N/D"))))=TRUE,"",IF(K177=0,"",IF(K177=1,CHAR(HEX2DEC(G177)),IF(K177=2,VLOOKUP(CONCATENATE(G177," ",G178),'IGS Configuration Values'!$C$241:$D$496,2,FALSE),"N/D"))))</f>
        <v/>
      </c>
      <c r="J177" s="323"/>
      <c r="K177" s="158">
        <f t="shared" si="16"/>
        <v>1</v>
      </c>
    </row>
    <row r="178" spans="3:11" hidden="1" outlineLevel="1">
      <c r="C178" s="19" t="s">
        <v>1803</v>
      </c>
      <c r="D178" s="18">
        <f t="shared" si="13"/>
        <v>180</v>
      </c>
      <c r="E178" s="18">
        <f t="shared" si="14"/>
        <v>180</v>
      </c>
      <c r="F178" s="18">
        <v>1</v>
      </c>
      <c r="G178" s="301" t="str">
        <f t="shared" si="15"/>
        <v/>
      </c>
      <c r="H178" s="301"/>
      <c r="I178" s="305" t="str">
        <f>IF(ISERROR(IF(K178=0,"",IF(K178=1,CHAR(HEX2DEC(G178)),IF(K178=2,VLOOKUP(CONCATENATE(G178," ",G179),'IGS Configuration Values'!$C$241:$D$496,2,FALSE),"N/D"))))=TRUE,"",IF(K178=0,"",IF(K178=1,CHAR(HEX2DEC(G178)),IF(K178=2,VLOOKUP(CONCATENATE(G178," ",G179),'IGS Configuration Values'!$C$241:$D$496,2,FALSE),"N/D"))))</f>
        <v/>
      </c>
      <c r="J178" s="323"/>
      <c r="K178" s="158">
        <f t="shared" si="16"/>
        <v>1</v>
      </c>
    </row>
    <row r="179" spans="3:11" hidden="1" outlineLevel="1">
      <c r="C179" s="19" t="s">
        <v>1804</v>
      </c>
      <c r="D179" s="18">
        <f t="shared" si="13"/>
        <v>181</v>
      </c>
      <c r="E179" s="18">
        <f t="shared" si="14"/>
        <v>181</v>
      </c>
      <c r="F179" s="18">
        <v>1</v>
      </c>
      <c r="G179" s="301" t="str">
        <f t="shared" si="15"/>
        <v/>
      </c>
      <c r="H179" s="301"/>
      <c r="I179" s="305" t="str">
        <f>IF(ISERROR(IF(K179=0,"",IF(K179=1,CHAR(HEX2DEC(G179)),IF(K179=2,VLOOKUP(CONCATENATE(G179," ",G180),'IGS Configuration Values'!$C$241:$D$496,2,FALSE),"N/D"))))=TRUE,"",IF(K179=0,"",IF(K179=1,CHAR(HEX2DEC(G179)),IF(K179=2,VLOOKUP(CONCATENATE(G179," ",G180),'IGS Configuration Values'!$C$241:$D$496,2,FALSE),"N/D"))))</f>
        <v/>
      </c>
      <c r="J179" s="323"/>
      <c r="K179" s="158">
        <f t="shared" si="16"/>
        <v>1</v>
      </c>
    </row>
    <row r="180" spans="3:11" hidden="1" outlineLevel="1">
      <c r="C180" s="19" t="s">
        <v>1805</v>
      </c>
      <c r="D180" s="18">
        <f t="shared" si="13"/>
        <v>182</v>
      </c>
      <c r="E180" s="18">
        <f t="shared" si="14"/>
        <v>182</v>
      </c>
      <c r="F180" s="18">
        <v>1</v>
      </c>
      <c r="G180" s="301" t="str">
        <f t="shared" si="15"/>
        <v/>
      </c>
      <c r="H180" s="301"/>
      <c r="I180" s="305" t="str">
        <f>IF(ISERROR(IF(K180=0,"",IF(K180=1,CHAR(HEX2DEC(G180)),IF(K180=2,VLOOKUP(CONCATENATE(G180," ",G181),'IGS Configuration Values'!$C$241:$D$496,2,FALSE),"N/D"))))=TRUE,"",IF(K180=0,"",IF(K180=1,CHAR(HEX2DEC(G180)),IF(K180=2,VLOOKUP(CONCATENATE(G180," ",G181),'IGS Configuration Values'!$C$241:$D$496,2,FALSE),"N/D"))))</f>
        <v/>
      </c>
      <c r="J180" s="323"/>
      <c r="K180" s="158">
        <f t="shared" si="16"/>
        <v>1</v>
      </c>
    </row>
    <row r="181" spans="3:11" hidden="1" outlineLevel="1">
      <c r="C181" s="19" t="s">
        <v>1806</v>
      </c>
      <c r="D181" s="18">
        <f t="shared" si="13"/>
        <v>183</v>
      </c>
      <c r="E181" s="18">
        <f t="shared" si="14"/>
        <v>183</v>
      </c>
      <c r="F181" s="18">
        <v>1</v>
      </c>
      <c r="G181" s="301" t="str">
        <f t="shared" si="15"/>
        <v/>
      </c>
      <c r="H181" s="301"/>
      <c r="I181" s="305" t="str">
        <f>IF(ISERROR(IF(K181=0,"",IF(K181=1,CHAR(HEX2DEC(G181)),IF(K181=2,VLOOKUP(CONCATENATE(G181," ",G182),'IGS Configuration Values'!$C$241:$D$496,2,FALSE),"N/D"))))=TRUE,"",IF(K181=0,"",IF(K181=1,CHAR(HEX2DEC(G181)),IF(K181=2,VLOOKUP(CONCATENATE(G181," ",G182),'IGS Configuration Values'!$C$241:$D$496,2,FALSE),"N/D"))))</f>
        <v/>
      </c>
      <c r="J181" s="323"/>
      <c r="K181" s="158">
        <f t="shared" si="16"/>
        <v>1</v>
      </c>
    </row>
    <row r="182" spans="3:11" hidden="1" outlineLevel="1">
      <c r="C182" s="19" t="s">
        <v>1807</v>
      </c>
      <c r="D182" s="18">
        <f t="shared" si="13"/>
        <v>184</v>
      </c>
      <c r="E182" s="18">
        <f t="shared" si="14"/>
        <v>184</v>
      </c>
      <c r="F182" s="18">
        <v>1</v>
      </c>
      <c r="G182" s="301" t="str">
        <f t="shared" si="15"/>
        <v/>
      </c>
      <c r="H182" s="301"/>
      <c r="I182" s="305" t="str">
        <f>IF(ISERROR(IF(K182=0,"",IF(K182=1,CHAR(HEX2DEC(G182)),IF(K182=2,VLOOKUP(CONCATENATE(G182," ",G183),'IGS Configuration Values'!$C$241:$D$496,2,FALSE),"N/D"))))=TRUE,"",IF(K182=0,"",IF(K182=1,CHAR(HEX2DEC(G182)),IF(K182=2,VLOOKUP(CONCATENATE(G182," ",G183),'IGS Configuration Values'!$C$241:$D$496,2,FALSE),"N/D"))))</f>
        <v/>
      </c>
      <c r="J182" s="323"/>
      <c r="K182" s="158">
        <f t="shared" si="16"/>
        <v>1</v>
      </c>
    </row>
    <row r="183" spans="3:11" hidden="1" outlineLevel="1">
      <c r="C183" s="19" t="s">
        <v>1808</v>
      </c>
      <c r="D183" s="18">
        <f t="shared" si="13"/>
        <v>185</v>
      </c>
      <c r="E183" s="18">
        <f t="shared" si="14"/>
        <v>185</v>
      </c>
      <c r="F183" s="18">
        <v>1</v>
      </c>
      <c r="G183" s="301" t="str">
        <f t="shared" si="15"/>
        <v/>
      </c>
      <c r="H183" s="301"/>
      <c r="I183" s="305" t="str">
        <f>IF(ISERROR(IF(K183=0,"",IF(K183=1,CHAR(HEX2DEC(G183)),IF(K183=2,VLOOKUP(CONCATENATE(G183," ",G184),'IGS Configuration Values'!$C$241:$D$496,2,FALSE),"N/D"))))=TRUE,"",IF(K183=0,"",IF(K183=1,CHAR(HEX2DEC(G183)),IF(K183=2,VLOOKUP(CONCATENATE(G183," ",G184),'IGS Configuration Values'!$C$241:$D$496,2,FALSE),"N/D"))))</f>
        <v/>
      </c>
      <c r="J183" s="323"/>
      <c r="K183" s="158">
        <f t="shared" si="16"/>
        <v>1</v>
      </c>
    </row>
    <row r="184" spans="3:11" hidden="1" outlineLevel="1">
      <c r="C184" s="19" t="s">
        <v>1809</v>
      </c>
      <c r="D184" s="18">
        <f t="shared" si="13"/>
        <v>186</v>
      </c>
      <c r="E184" s="18">
        <f t="shared" si="14"/>
        <v>186</v>
      </c>
      <c r="F184" s="18">
        <v>1</v>
      </c>
      <c r="G184" s="301" t="str">
        <f t="shared" si="15"/>
        <v/>
      </c>
      <c r="H184" s="301"/>
      <c r="I184" s="305" t="str">
        <f>IF(ISERROR(IF(K184=0,"",IF(K184=1,CHAR(HEX2DEC(G184)),IF(K184=2,VLOOKUP(CONCATENATE(G184," ",G185),'IGS Configuration Values'!$C$241:$D$496,2,FALSE),"N/D"))))=TRUE,"",IF(K184=0,"",IF(K184=1,CHAR(HEX2DEC(G184)),IF(K184=2,VLOOKUP(CONCATENATE(G184," ",G185),'IGS Configuration Values'!$C$241:$D$496,2,FALSE),"N/D"))))</f>
        <v/>
      </c>
      <c r="J184" s="323"/>
      <c r="K184" s="158">
        <f t="shared" si="16"/>
        <v>1</v>
      </c>
    </row>
    <row r="185" spans="3:11" hidden="1" outlineLevel="1">
      <c r="C185" s="19" t="s">
        <v>1810</v>
      </c>
      <c r="D185" s="18">
        <f t="shared" si="13"/>
        <v>187</v>
      </c>
      <c r="E185" s="18">
        <f t="shared" si="14"/>
        <v>187</v>
      </c>
      <c r="F185" s="18">
        <v>1</v>
      </c>
      <c r="G185" s="301" t="str">
        <f t="shared" si="15"/>
        <v/>
      </c>
      <c r="H185" s="301"/>
      <c r="I185" s="305" t="str">
        <f>IF(ISERROR(IF(K185=0,"",IF(K185=1,CHAR(HEX2DEC(G185)),IF(K185=2,VLOOKUP(CONCATENATE(G185," ",G186),'IGS Configuration Values'!$C$241:$D$496,2,FALSE),"N/D"))))=TRUE,"",IF(K185=0,"",IF(K185=1,CHAR(HEX2DEC(G185)),IF(K185=2,VLOOKUP(CONCATENATE(G185," ",G186),'IGS Configuration Values'!$C$241:$D$496,2,FALSE),"N/D"))))</f>
        <v/>
      </c>
      <c r="J185" s="323"/>
      <c r="K185" s="158">
        <f t="shared" si="16"/>
        <v>1</v>
      </c>
    </row>
    <row r="186" spans="3:11" hidden="1" outlineLevel="1">
      <c r="C186" s="19" t="s">
        <v>1811</v>
      </c>
      <c r="D186" s="18">
        <f t="shared" si="13"/>
        <v>188</v>
      </c>
      <c r="E186" s="18">
        <f t="shared" si="14"/>
        <v>188</v>
      </c>
      <c r="F186" s="18">
        <v>1</v>
      </c>
      <c r="G186" s="301" t="str">
        <f t="shared" si="15"/>
        <v/>
      </c>
      <c r="H186" s="301"/>
      <c r="I186" s="305" t="str">
        <f>IF(ISERROR(IF(K186=0,"",IF(K186=1,CHAR(HEX2DEC(G186)),IF(K186=2,VLOOKUP(CONCATENATE(G186," ",G187),'IGS Configuration Values'!$C$241:$D$496,2,FALSE),"N/D"))))=TRUE,"",IF(K186=0,"",IF(K186=1,CHAR(HEX2DEC(G186)),IF(K186=2,VLOOKUP(CONCATENATE(G186," ",G187),'IGS Configuration Values'!$C$241:$D$496,2,FALSE),"N/D"))))</f>
        <v/>
      </c>
      <c r="J186" s="323"/>
      <c r="K186" s="158">
        <f t="shared" si="16"/>
        <v>1</v>
      </c>
    </row>
    <row r="187" spans="3:11" hidden="1" outlineLevel="1">
      <c r="C187" s="19" t="s">
        <v>1812</v>
      </c>
      <c r="D187" s="18">
        <f t="shared" si="13"/>
        <v>189</v>
      </c>
      <c r="E187" s="18">
        <f t="shared" si="14"/>
        <v>189</v>
      </c>
      <c r="F187" s="18">
        <v>1</v>
      </c>
      <c r="G187" s="301" t="str">
        <f t="shared" si="15"/>
        <v/>
      </c>
      <c r="H187" s="301"/>
      <c r="I187" s="305" t="str">
        <f>IF(ISERROR(IF(K187=0,"",IF(K187=1,CHAR(HEX2DEC(G187)),IF(K187=2,VLOOKUP(CONCATENATE(G187," ",G188),'IGS Configuration Values'!$C$241:$D$496,2,FALSE),"N/D"))))=TRUE,"",IF(K187=0,"",IF(K187=1,CHAR(HEX2DEC(G187)),IF(K187=2,VLOOKUP(CONCATENATE(G187," ",G188),'IGS Configuration Values'!$C$241:$D$496,2,FALSE),"N/D"))))</f>
        <v/>
      </c>
      <c r="J187" s="323"/>
      <c r="K187" s="158">
        <f t="shared" si="16"/>
        <v>1</v>
      </c>
    </row>
    <row r="188" spans="3:11" hidden="1" outlineLevel="1">
      <c r="C188" s="19" t="s">
        <v>1813</v>
      </c>
      <c r="D188" s="18">
        <f t="shared" si="13"/>
        <v>190</v>
      </c>
      <c r="E188" s="18">
        <f t="shared" si="14"/>
        <v>190</v>
      </c>
      <c r="F188" s="18">
        <v>1</v>
      </c>
      <c r="G188" s="301" t="str">
        <f t="shared" si="15"/>
        <v/>
      </c>
      <c r="H188" s="301"/>
      <c r="I188" s="305" t="str">
        <f>IF(ISERROR(IF(K188=0,"",IF(K188=1,CHAR(HEX2DEC(G188)),IF(K188=2,VLOOKUP(CONCATENATE(G188," ",G189),'IGS Configuration Values'!$C$241:$D$496,2,FALSE),"N/D"))))=TRUE,"",IF(K188=0,"",IF(K188=1,CHAR(HEX2DEC(G188)),IF(K188=2,VLOOKUP(CONCATENATE(G188," ",G189),'IGS Configuration Values'!$C$241:$D$496,2,FALSE),"N/D"))))</f>
        <v/>
      </c>
      <c r="J188" s="323"/>
      <c r="K188" s="158">
        <f t="shared" si="16"/>
        <v>1</v>
      </c>
    </row>
    <row r="189" spans="3:11" hidden="1" outlineLevel="1">
      <c r="C189" s="19" t="s">
        <v>1814</v>
      </c>
      <c r="D189" s="18">
        <f t="shared" si="13"/>
        <v>191</v>
      </c>
      <c r="E189" s="18">
        <f t="shared" si="14"/>
        <v>191</v>
      </c>
      <c r="F189" s="18">
        <v>1</v>
      </c>
      <c r="G189" s="301" t="str">
        <f t="shared" si="15"/>
        <v/>
      </c>
      <c r="H189" s="301"/>
      <c r="I189" s="305" t="str">
        <f>IF(ISERROR(IF(K189=0,"",IF(K189=1,CHAR(HEX2DEC(G189)),IF(K189=2,VLOOKUP(CONCATENATE(G189," ",G190),'IGS Configuration Values'!$C$241:$D$496,2,FALSE),"N/D"))))=TRUE,"",IF(K189=0,"",IF(K189=1,CHAR(HEX2DEC(G189)),IF(K189=2,VLOOKUP(CONCATENATE(G189," ",G190),'IGS Configuration Values'!$C$241:$D$496,2,FALSE),"N/D"))))</f>
        <v/>
      </c>
      <c r="J189" s="323"/>
      <c r="K189" s="158">
        <f t="shared" si="16"/>
        <v>1</v>
      </c>
    </row>
    <row r="190" spans="3:11" hidden="1" outlineLevel="1">
      <c r="C190" s="19" t="s">
        <v>1815</v>
      </c>
      <c r="D190" s="18">
        <f t="shared" si="13"/>
        <v>192</v>
      </c>
      <c r="E190" s="18">
        <f t="shared" si="14"/>
        <v>192</v>
      </c>
      <c r="F190" s="18">
        <v>1</v>
      </c>
      <c r="G190" s="301" t="str">
        <f t="shared" si="15"/>
        <v/>
      </c>
      <c r="H190" s="301"/>
      <c r="I190" s="305" t="str">
        <f>IF(ISERROR(IF(K190=0,"",IF(K190=1,CHAR(HEX2DEC(G190)),IF(K190=2,VLOOKUP(CONCATENATE(G190," ",G191),'IGS Configuration Values'!$C$241:$D$496,2,FALSE),"N/D"))))=TRUE,"",IF(K190=0,"",IF(K190=1,CHAR(HEX2DEC(G190)),IF(K190=2,VLOOKUP(CONCATENATE(G190," ",G191),'IGS Configuration Values'!$C$241:$D$496,2,FALSE),"N/D"))))</f>
        <v/>
      </c>
      <c r="J190" s="323"/>
      <c r="K190" s="158">
        <f t="shared" si="16"/>
        <v>1</v>
      </c>
    </row>
    <row r="191" spans="3:11" hidden="1" outlineLevel="1">
      <c r="C191" s="19" t="s">
        <v>1816</v>
      </c>
      <c r="D191" s="18">
        <f t="shared" si="13"/>
        <v>193</v>
      </c>
      <c r="E191" s="18">
        <f t="shared" si="14"/>
        <v>193</v>
      </c>
      <c r="F191" s="18">
        <v>1</v>
      </c>
      <c r="G191" s="301" t="str">
        <f t="shared" si="15"/>
        <v/>
      </c>
      <c r="H191" s="301"/>
      <c r="I191" s="305" t="str">
        <f>IF(ISERROR(IF(K191=0,"",IF(K191=1,CHAR(HEX2DEC(G191)),IF(K191=2,VLOOKUP(CONCATENATE(G191," ",G192),'IGS Configuration Values'!$C$241:$D$496,2,FALSE),"N/D"))))=TRUE,"",IF(K191=0,"",IF(K191=1,CHAR(HEX2DEC(G191)),IF(K191=2,VLOOKUP(CONCATENATE(G191," ",G192),'IGS Configuration Values'!$C$241:$D$496,2,FALSE),"N/D"))))</f>
        <v/>
      </c>
      <c r="J191" s="323"/>
      <c r="K191" s="158">
        <f t="shared" si="16"/>
        <v>1</v>
      </c>
    </row>
    <row r="192" spans="3:11" hidden="1" outlineLevel="1">
      <c r="C192" s="19" t="s">
        <v>1817</v>
      </c>
      <c r="D192" s="18">
        <f t="shared" si="13"/>
        <v>194</v>
      </c>
      <c r="E192" s="18">
        <f t="shared" si="14"/>
        <v>194</v>
      </c>
      <c r="F192" s="18">
        <v>1</v>
      </c>
      <c r="G192" s="301" t="str">
        <f t="shared" si="15"/>
        <v/>
      </c>
      <c r="H192" s="301"/>
      <c r="I192" s="305" t="str">
        <f>IF(ISERROR(IF(K192=0,"",IF(K192=1,CHAR(HEX2DEC(G192)),IF(K192=2,VLOOKUP(CONCATENATE(G192," ",G193),'IGS Configuration Values'!$C$241:$D$496,2,FALSE),"N/D"))))=TRUE,"",IF(K192=0,"",IF(K192=1,CHAR(HEX2DEC(G192)),IF(K192=2,VLOOKUP(CONCATENATE(G192," ",G193),'IGS Configuration Values'!$C$241:$D$496,2,FALSE),"N/D"))))</f>
        <v/>
      </c>
      <c r="J192" s="323"/>
      <c r="K192" s="158">
        <f t="shared" si="16"/>
        <v>1</v>
      </c>
    </row>
    <row r="193" spans="3:11" hidden="1" outlineLevel="1">
      <c r="C193" s="19" t="s">
        <v>1818</v>
      </c>
      <c r="D193" s="18">
        <f t="shared" si="13"/>
        <v>195</v>
      </c>
      <c r="E193" s="18">
        <f t="shared" si="14"/>
        <v>195</v>
      </c>
      <c r="F193" s="18">
        <v>1</v>
      </c>
      <c r="G193" s="301" t="str">
        <f t="shared" si="15"/>
        <v/>
      </c>
      <c r="H193" s="301"/>
      <c r="I193" s="305" t="str">
        <f>IF(ISERROR(IF(K193=0,"",IF(K193=1,CHAR(HEX2DEC(G193)),IF(K193=2,VLOOKUP(CONCATENATE(G193," ",G194),'IGS Configuration Values'!$C$241:$D$496,2,FALSE),"N/D"))))=TRUE,"",IF(K193=0,"",IF(K193=1,CHAR(HEX2DEC(G193)),IF(K193=2,VLOOKUP(CONCATENATE(G193," ",G194),'IGS Configuration Values'!$C$241:$D$496,2,FALSE),"N/D"))))</f>
        <v/>
      </c>
      <c r="J193" s="323"/>
      <c r="K193" s="158">
        <f t="shared" si="16"/>
        <v>1</v>
      </c>
    </row>
    <row r="194" spans="3:11" hidden="1" outlineLevel="1">
      <c r="C194" s="19" t="s">
        <v>1819</v>
      </c>
      <c r="D194" s="18">
        <f t="shared" si="13"/>
        <v>196</v>
      </c>
      <c r="E194" s="18">
        <f t="shared" si="14"/>
        <v>196</v>
      </c>
      <c r="F194" s="18">
        <v>1</v>
      </c>
      <c r="G194" s="301" t="str">
        <f t="shared" si="15"/>
        <v/>
      </c>
      <c r="H194" s="301"/>
      <c r="I194" s="305" t="str">
        <f>IF(ISERROR(IF(K194=0,"",IF(K194=1,CHAR(HEX2DEC(G194)),IF(K194=2,VLOOKUP(CONCATENATE(G194," ",G195),'IGS Configuration Values'!$C$241:$D$496,2,FALSE),"N/D"))))=TRUE,"",IF(K194=0,"",IF(K194=1,CHAR(HEX2DEC(G194)),IF(K194=2,VLOOKUP(CONCATENATE(G194," ",G195),'IGS Configuration Values'!$C$241:$D$496,2,FALSE),"N/D"))))</f>
        <v/>
      </c>
      <c r="J194" s="323"/>
      <c r="K194" s="158">
        <f t="shared" si="16"/>
        <v>1</v>
      </c>
    </row>
    <row r="195" spans="3:11" hidden="1" outlineLevel="1">
      <c r="C195" s="19" t="s">
        <v>1820</v>
      </c>
      <c r="D195" s="18">
        <f t="shared" si="13"/>
        <v>197</v>
      </c>
      <c r="E195" s="18">
        <f t="shared" si="14"/>
        <v>197</v>
      </c>
      <c r="F195" s="18">
        <v>1</v>
      </c>
      <c r="G195" s="301" t="str">
        <f t="shared" si="15"/>
        <v/>
      </c>
      <c r="H195" s="301"/>
      <c r="I195" s="305" t="str">
        <f>IF(ISERROR(IF(K195=0,"",IF(K195=1,CHAR(HEX2DEC(G195)),IF(K195=2,VLOOKUP(CONCATENATE(G195," ",G196),'IGS Configuration Values'!$C$241:$D$496,2,FALSE),"N/D"))))=TRUE,"",IF(K195=0,"",IF(K195=1,CHAR(HEX2DEC(G195)),IF(K195=2,VLOOKUP(CONCATENATE(G195," ",G196),'IGS Configuration Values'!$C$241:$D$496,2,FALSE),"N/D"))))</f>
        <v/>
      </c>
      <c r="J195" s="323"/>
      <c r="K195" s="158">
        <f t="shared" si="16"/>
        <v>1</v>
      </c>
    </row>
    <row r="196" spans="3:11" hidden="1" outlineLevel="1">
      <c r="C196" s="19" t="s">
        <v>1821</v>
      </c>
      <c r="D196" s="18">
        <f t="shared" si="13"/>
        <v>198</v>
      </c>
      <c r="E196" s="18">
        <f t="shared" si="14"/>
        <v>198</v>
      </c>
      <c r="F196" s="18">
        <v>1</v>
      </c>
      <c r="G196" s="301" t="str">
        <f t="shared" si="15"/>
        <v/>
      </c>
      <c r="H196" s="301"/>
      <c r="I196" s="305" t="str">
        <f>IF(ISERROR(IF(K196=0,"",IF(K196=1,CHAR(HEX2DEC(G196)),IF(K196=2,VLOOKUP(CONCATENATE(G196," ",G197),'IGS Configuration Values'!$C$241:$D$496,2,FALSE),"N/D"))))=TRUE,"",IF(K196=0,"",IF(K196=1,CHAR(HEX2DEC(G196)),IF(K196=2,VLOOKUP(CONCATENATE(G196," ",G197),'IGS Configuration Values'!$C$241:$D$496,2,FALSE),"N/D"))))</f>
        <v/>
      </c>
      <c r="J196" s="323"/>
      <c r="K196" s="158">
        <f t="shared" si="16"/>
        <v>1</v>
      </c>
    </row>
    <row r="197" spans="3:11" hidden="1" outlineLevel="1">
      <c r="C197" s="19" t="s">
        <v>1822</v>
      </c>
      <c r="D197" s="18">
        <f t="shared" si="13"/>
        <v>199</v>
      </c>
      <c r="E197" s="18">
        <f t="shared" si="14"/>
        <v>199</v>
      </c>
      <c r="F197" s="18">
        <v>1</v>
      </c>
      <c r="G197" s="301" t="str">
        <f t="shared" si="15"/>
        <v/>
      </c>
      <c r="H197" s="301"/>
      <c r="I197" s="305" t="str">
        <f>IF(ISERROR(IF(K197=0,"",IF(K197=1,CHAR(HEX2DEC(G197)),IF(K197=2,VLOOKUP(CONCATENATE(G197," ",G198),'IGS Configuration Values'!$C$241:$D$496,2,FALSE),"N/D"))))=TRUE,"",IF(K197=0,"",IF(K197=1,CHAR(HEX2DEC(G197)),IF(K197=2,VLOOKUP(CONCATENATE(G197," ",G198),'IGS Configuration Values'!$C$241:$D$496,2,FALSE),"N/D"))))</f>
        <v/>
      </c>
      <c r="J197" s="323"/>
      <c r="K197" s="158">
        <f t="shared" si="16"/>
        <v>1</v>
      </c>
    </row>
    <row r="198" spans="3:11" hidden="1" outlineLevel="1">
      <c r="C198" s="19" t="s">
        <v>1823</v>
      </c>
      <c r="D198" s="18">
        <f t="shared" si="13"/>
        <v>200</v>
      </c>
      <c r="E198" s="18">
        <f t="shared" si="14"/>
        <v>200</v>
      </c>
      <c r="F198" s="18">
        <v>1</v>
      </c>
      <c r="G198" s="301" t="str">
        <f t="shared" si="15"/>
        <v/>
      </c>
      <c r="H198" s="301"/>
      <c r="I198" s="305" t="str">
        <f>IF(ISERROR(IF(K198=0,"",IF(K198=1,CHAR(HEX2DEC(G198)),IF(K198=2,VLOOKUP(CONCATENATE(G198," ",G199),'IGS Configuration Values'!$C$241:$D$496,2,FALSE),"N/D"))))=TRUE,"",IF(K198=0,"",IF(K198=1,CHAR(HEX2DEC(G198)),IF(K198=2,VLOOKUP(CONCATENATE(G198," ",G199),'IGS Configuration Values'!$C$241:$D$496,2,FALSE),"N/D"))))</f>
        <v/>
      </c>
      <c r="J198" s="323"/>
      <c r="K198" s="158">
        <f t="shared" si="16"/>
        <v>1</v>
      </c>
    </row>
    <row r="199" spans="3:11" hidden="1" outlineLevel="1">
      <c r="C199" s="19" t="s">
        <v>1824</v>
      </c>
      <c r="D199" s="18">
        <f t="shared" si="13"/>
        <v>201</v>
      </c>
      <c r="E199" s="18">
        <f t="shared" si="14"/>
        <v>201</v>
      </c>
      <c r="F199" s="18">
        <v>1</v>
      </c>
      <c r="G199" s="301" t="str">
        <f t="shared" si="15"/>
        <v/>
      </c>
      <c r="H199" s="301"/>
      <c r="I199" s="305" t="str">
        <f>IF(ISERROR(IF(K199=0,"",IF(K199=1,CHAR(HEX2DEC(G199)),IF(K199=2,VLOOKUP(CONCATENATE(G199," ",G200),'IGS Configuration Values'!$C$241:$D$496,2,FALSE),"N/D"))))=TRUE,"",IF(K199=0,"",IF(K199=1,CHAR(HEX2DEC(G199)),IF(K199=2,VLOOKUP(CONCATENATE(G199," ",G200),'IGS Configuration Values'!$C$241:$D$496,2,FALSE),"N/D"))))</f>
        <v/>
      </c>
      <c r="J199" s="323"/>
      <c r="K199" s="158">
        <f t="shared" si="16"/>
        <v>1</v>
      </c>
    </row>
    <row r="200" spans="3:11" hidden="1" outlineLevel="1">
      <c r="C200" s="19" t="s">
        <v>1825</v>
      </c>
      <c r="D200" s="18">
        <f t="shared" si="13"/>
        <v>202</v>
      </c>
      <c r="E200" s="18">
        <f t="shared" si="14"/>
        <v>202</v>
      </c>
      <c r="F200" s="18">
        <v>1</v>
      </c>
      <c r="G200" s="301" t="str">
        <f t="shared" si="15"/>
        <v/>
      </c>
      <c r="H200" s="301"/>
      <c r="I200" s="305" t="str">
        <f>IF(ISERROR(IF(K200=0,"",IF(K200=1,CHAR(HEX2DEC(G200)),IF(K200=2,VLOOKUP(CONCATENATE(G200," ",G201),'IGS Configuration Values'!$C$241:$D$496,2,FALSE),"N/D"))))=TRUE,"",IF(K200=0,"",IF(K200=1,CHAR(HEX2DEC(G200)),IF(K200=2,VLOOKUP(CONCATENATE(G200," ",G201),'IGS Configuration Values'!$C$241:$D$496,2,FALSE),"N/D"))))</f>
        <v/>
      </c>
      <c r="J200" s="323"/>
      <c r="K200" s="158">
        <f t="shared" si="16"/>
        <v>1</v>
      </c>
    </row>
    <row r="201" spans="3:11" hidden="1" outlineLevel="1">
      <c r="C201" s="19" t="s">
        <v>1826</v>
      </c>
      <c r="D201" s="18">
        <f t="shared" si="13"/>
        <v>203</v>
      </c>
      <c r="E201" s="18">
        <f t="shared" si="14"/>
        <v>203</v>
      </c>
      <c r="F201" s="18">
        <v>1</v>
      </c>
      <c r="G201" s="301" t="str">
        <f t="shared" si="15"/>
        <v/>
      </c>
      <c r="H201" s="301"/>
      <c r="I201" s="305" t="str">
        <f>IF(ISERROR(IF(K201=0,"",IF(K201=1,CHAR(HEX2DEC(G201)),IF(K201=2,VLOOKUP(CONCATENATE(G201," ",G202),'IGS Configuration Values'!$C$241:$D$496,2,FALSE),"N/D"))))=TRUE,"",IF(K201=0,"",IF(K201=1,CHAR(HEX2DEC(G201)),IF(K201=2,VLOOKUP(CONCATENATE(G201," ",G202),'IGS Configuration Values'!$C$241:$D$496,2,FALSE),"N/D"))))</f>
        <v/>
      </c>
      <c r="J201" s="323"/>
      <c r="K201" s="158">
        <f t="shared" si="16"/>
        <v>1</v>
      </c>
    </row>
    <row r="202" spans="3:11" hidden="1" outlineLevel="1">
      <c r="C202" s="19" t="s">
        <v>1827</v>
      </c>
      <c r="D202" s="18">
        <f t="shared" si="13"/>
        <v>204</v>
      </c>
      <c r="E202" s="18">
        <f t="shared" si="14"/>
        <v>204</v>
      </c>
      <c r="F202" s="18">
        <v>1</v>
      </c>
      <c r="G202" s="301" t="str">
        <f t="shared" si="15"/>
        <v/>
      </c>
      <c r="H202" s="301"/>
      <c r="I202" s="305" t="str">
        <f>IF(ISERROR(IF(K202=0,"",IF(K202=1,CHAR(HEX2DEC(G202)),IF(K202=2,VLOOKUP(CONCATENATE(G202," ",G203),'IGS Configuration Values'!$C$241:$D$496,2,FALSE),"N/D"))))=TRUE,"",IF(K202=0,"",IF(K202=1,CHAR(HEX2DEC(G202)),IF(K202=2,VLOOKUP(CONCATENATE(G202," ",G203),'IGS Configuration Values'!$C$241:$D$496,2,FALSE),"N/D"))))</f>
        <v/>
      </c>
      <c r="J202" s="323"/>
      <c r="K202" s="158">
        <f t="shared" si="16"/>
        <v>1</v>
      </c>
    </row>
    <row r="203" spans="3:11" hidden="1" outlineLevel="1">
      <c r="C203" s="19" t="s">
        <v>1828</v>
      </c>
      <c r="D203" s="18">
        <f t="shared" ref="D203:D248" si="17">E202+1</f>
        <v>205</v>
      </c>
      <c r="E203" s="18">
        <f t="shared" ref="E203:E248" si="18">D203+F203-1</f>
        <v>205</v>
      </c>
      <c r="F203" s="18">
        <v>1</v>
      </c>
      <c r="G203" s="301" t="str">
        <f t="shared" ref="G203:G248" si="19">TRIM(MID($C$4,(D203-1)*3+1,F203*3))</f>
        <v/>
      </c>
      <c r="H203" s="301"/>
      <c r="I203" s="305" t="str">
        <f>IF(ISERROR(IF(K203=0,"",IF(K203=1,CHAR(HEX2DEC(G203)),IF(K203=2,VLOOKUP(CONCATENATE(G203," ",G204),'IGS Configuration Values'!$C$241:$D$496,2,FALSE),"N/D"))))=TRUE,"",IF(K203=0,"",IF(K203=1,CHAR(HEX2DEC(G203)),IF(K203=2,VLOOKUP(CONCATENATE(G203," ",G204),'IGS Configuration Values'!$C$241:$D$496,2,FALSE),"N/D"))))</f>
        <v/>
      </c>
      <c r="J203" s="323"/>
      <c r="K203" s="158">
        <f t="shared" si="16"/>
        <v>1</v>
      </c>
    </row>
    <row r="204" spans="3:11" hidden="1" outlineLevel="1">
      <c r="C204" s="19" t="s">
        <v>1829</v>
      </c>
      <c r="D204" s="18">
        <f t="shared" si="17"/>
        <v>206</v>
      </c>
      <c r="E204" s="18">
        <f t="shared" si="18"/>
        <v>206</v>
      </c>
      <c r="F204" s="18">
        <v>1</v>
      </c>
      <c r="G204" s="301" t="str">
        <f t="shared" si="19"/>
        <v/>
      </c>
      <c r="H204" s="301"/>
      <c r="I204" s="305" t="str">
        <f>IF(ISERROR(IF(K204=0,"",IF(K204=1,CHAR(HEX2DEC(G204)),IF(K204=2,VLOOKUP(CONCATENATE(G204," ",G205),'IGS Configuration Values'!$C$241:$D$496,2,FALSE),"N/D"))))=TRUE,"",IF(K204=0,"",IF(K204=1,CHAR(HEX2DEC(G204)),IF(K204=2,VLOOKUP(CONCATENATE(G204," ",G205),'IGS Configuration Values'!$C$241:$D$496,2,FALSE),"N/D"))))</f>
        <v/>
      </c>
      <c r="J204" s="323"/>
      <c r="K204" s="158">
        <f t="shared" si="16"/>
        <v>1</v>
      </c>
    </row>
    <row r="205" spans="3:11" hidden="1" outlineLevel="1">
      <c r="C205" s="19" t="s">
        <v>1830</v>
      </c>
      <c r="D205" s="18">
        <f t="shared" si="17"/>
        <v>207</v>
      </c>
      <c r="E205" s="18">
        <f t="shared" si="18"/>
        <v>207</v>
      </c>
      <c r="F205" s="18">
        <v>1</v>
      </c>
      <c r="G205" s="301" t="str">
        <f t="shared" si="19"/>
        <v/>
      </c>
      <c r="H205" s="301"/>
      <c r="I205" s="305" t="str">
        <f>IF(ISERROR(IF(K205=0,"",IF(K205=1,CHAR(HEX2DEC(G205)),IF(K205=2,VLOOKUP(CONCATENATE(G205," ",G206),'IGS Configuration Values'!$C$241:$D$496,2,FALSE),"N/D"))))=TRUE,"",IF(K205=0,"",IF(K205=1,CHAR(HEX2DEC(G205)),IF(K205=2,VLOOKUP(CONCATENATE(G205," ",G206),'IGS Configuration Values'!$C$241:$D$496,2,FALSE),"N/D"))))</f>
        <v/>
      </c>
      <c r="J205" s="323"/>
      <c r="K205" s="158">
        <f t="shared" si="16"/>
        <v>1</v>
      </c>
    </row>
    <row r="206" spans="3:11" hidden="1" outlineLevel="1">
      <c r="C206" s="19" t="s">
        <v>1831</v>
      </c>
      <c r="D206" s="18">
        <f t="shared" si="17"/>
        <v>208</v>
      </c>
      <c r="E206" s="18">
        <f t="shared" si="18"/>
        <v>208</v>
      </c>
      <c r="F206" s="18">
        <v>1</v>
      </c>
      <c r="G206" s="301" t="str">
        <f t="shared" si="19"/>
        <v/>
      </c>
      <c r="H206" s="301"/>
      <c r="I206" s="305" t="str">
        <f>IF(ISERROR(IF(K206=0,"",IF(K206=1,CHAR(HEX2DEC(G206)),IF(K206=2,VLOOKUP(CONCATENATE(G206," ",G207),'IGS Configuration Values'!$C$241:$D$496,2,FALSE),"N/D"))))=TRUE,"",IF(K206=0,"",IF(K206=1,CHAR(HEX2DEC(G206)),IF(K206=2,VLOOKUP(CONCATENATE(G206," ",G207),'IGS Configuration Values'!$C$241:$D$496,2,FALSE),"N/D"))))</f>
        <v/>
      </c>
      <c r="J206" s="323"/>
      <c r="K206" s="158">
        <f t="shared" si="16"/>
        <v>1</v>
      </c>
    </row>
    <row r="207" spans="3:11" hidden="1" outlineLevel="1">
      <c r="C207" s="19" t="s">
        <v>1832</v>
      </c>
      <c r="D207" s="18">
        <f t="shared" si="17"/>
        <v>209</v>
      </c>
      <c r="E207" s="18">
        <f t="shared" si="18"/>
        <v>209</v>
      </c>
      <c r="F207" s="18">
        <v>1</v>
      </c>
      <c r="G207" s="301" t="str">
        <f t="shared" si="19"/>
        <v/>
      </c>
      <c r="H207" s="301"/>
      <c r="I207" s="305" t="str">
        <f>IF(ISERROR(IF(K207=0,"",IF(K207=1,CHAR(HEX2DEC(G207)),IF(K207=2,VLOOKUP(CONCATENATE(G207," ",G208),'IGS Configuration Values'!$C$241:$D$496,2,FALSE),"N/D"))))=TRUE,"",IF(K207=0,"",IF(K207=1,CHAR(HEX2DEC(G207)),IF(K207=2,VLOOKUP(CONCATENATE(G207," ",G208),'IGS Configuration Values'!$C$241:$D$496,2,FALSE),"N/D"))))</f>
        <v/>
      </c>
      <c r="J207" s="323"/>
      <c r="K207" s="158">
        <f t="shared" si="16"/>
        <v>1</v>
      </c>
    </row>
    <row r="208" spans="3:11" hidden="1" outlineLevel="1">
      <c r="C208" s="19" t="s">
        <v>1833</v>
      </c>
      <c r="D208" s="18">
        <f t="shared" si="17"/>
        <v>210</v>
      </c>
      <c r="E208" s="18">
        <f t="shared" si="18"/>
        <v>210</v>
      </c>
      <c r="F208" s="18">
        <v>1</v>
      </c>
      <c r="G208" s="301" t="str">
        <f t="shared" si="19"/>
        <v/>
      </c>
      <c r="H208" s="301"/>
      <c r="I208" s="305" t="str">
        <f>IF(ISERROR(IF(K208=0,"",IF(K208=1,CHAR(HEX2DEC(G208)),IF(K208=2,VLOOKUP(CONCATENATE(G208," ",G209),'IGS Configuration Values'!$C$241:$D$496,2,FALSE),"N/D"))))=TRUE,"",IF(K208=0,"",IF(K208=1,CHAR(HEX2DEC(G208)),IF(K208=2,VLOOKUP(CONCATENATE(G208," ",G209),'IGS Configuration Values'!$C$241:$D$496,2,FALSE),"N/D"))))</f>
        <v/>
      </c>
      <c r="J208" s="323"/>
      <c r="K208" s="158">
        <f t="shared" si="16"/>
        <v>1</v>
      </c>
    </row>
    <row r="209" spans="3:11" hidden="1" outlineLevel="1">
      <c r="C209" s="19" t="s">
        <v>1834</v>
      </c>
      <c r="D209" s="18">
        <f t="shared" si="17"/>
        <v>211</v>
      </c>
      <c r="E209" s="18">
        <f t="shared" si="18"/>
        <v>211</v>
      </c>
      <c r="F209" s="18">
        <v>1</v>
      </c>
      <c r="G209" s="301" t="str">
        <f t="shared" si="19"/>
        <v/>
      </c>
      <c r="H209" s="301"/>
      <c r="I209" s="305" t="str">
        <f>IF(ISERROR(IF(K209=0,"",IF(K209=1,CHAR(HEX2DEC(G209)),IF(K209=2,VLOOKUP(CONCATENATE(G209," ",G210),'IGS Configuration Values'!$C$241:$D$496,2,FALSE),"N/D"))))=TRUE,"",IF(K209=0,"",IF(K209=1,CHAR(HEX2DEC(G209)),IF(K209=2,VLOOKUP(CONCATENATE(G209," ",G210),'IGS Configuration Values'!$C$241:$D$496,2,FALSE),"N/D"))))</f>
        <v/>
      </c>
      <c r="J209" s="323"/>
      <c r="K209" s="158">
        <f t="shared" ref="K209:K248" si="20">IF(K208=2,0,IF(HEX2DEC(G209)&lt;128,1,IF(HEX2DEC(G209)&gt;127,2,"ERRO")))</f>
        <v>1</v>
      </c>
    </row>
    <row r="210" spans="3:11" hidden="1" outlineLevel="1">
      <c r="C210" s="19" t="s">
        <v>1835</v>
      </c>
      <c r="D210" s="18">
        <f t="shared" si="17"/>
        <v>212</v>
      </c>
      <c r="E210" s="18">
        <f t="shared" si="18"/>
        <v>212</v>
      </c>
      <c r="F210" s="18">
        <v>1</v>
      </c>
      <c r="G210" s="301" t="str">
        <f t="shared" si="19"/>
        <v/>
      </c>
      <c r="H210" s="301"/>
      <c r="I210" s="305" t="str">
        <f>IF(ISERROR(IF(K210=0,"",IF(K210=1,CHAR(HEX2DEC(G210)),IF(K210=2,VLOOKUP(CONCATENATE(G210," ",G211),'IGS Configuration Values'!$C$241:$D$496,2,FALSE),"N/D"))))=TRUE,"",IF(K210=0,"",IF(K210=1,CHAR(HEX2DEC(G210)),IF(K210=2,VLOOKUP(CONCATENATE(G210," ",G211),'IGS Configuration Values'!$C$241:$D$496,2,FALSE),"N/D"))))</f>
        <v/>
      </c>
      <c r="J210" s="323"/>
      <c r="K210" s="158">
        <f t="shared" si="20"/>
        <v>1</v>
      </c>
    </row>
    <row r="211" spans="3:11" hidden="1" outlineLevel="1">
      <c r="C211" s="19" t="s">
        <v>1836</v>
      </c>
      <c r="D211" s="18">
        <f t="shared" si="17"/>
        <v>213</v>
      </c>
      <c r="E211" s="18">
        <f t="shared" si="18"/>
        <v>213</v>
      </c>
      <c r="F211" s="18">
        <v>1</v>
      </c>
      <c r="G211" s="301" t="str">
        <f t="shared" si="19"/>
        <v/>
      </c>
      <c r="H211" s="301"/>
      <c r="I211" s="305" t="str">
        <f>IF(ISERROR(IF(K211=0,"",IF(K211=1,CHAR(HEX2DEC(G211)),IF(K211=2,VLOOKUP(CONCATENATE(G211," ",G212),'IGS Configuration Values'!$C$241:$D$496,2,FALSE),"N/D"))))=TRUE,"",IF(K211=0,"",IF(K211=1,CHAR(HEX2DEC(G211)),IF(K211=2,VLOOKUP(CONCATENATE(G211," ",G212),'IGS Configuration Values'!$C$241:$D$496,2,FALSE),"N/D"))))</f>
        <v/>
      </c>
      <c r="J211" s="323"/>
      <c r="K211" s="158">
        <f t="shared" si="20"/>
        <v>1</v>
      </c>
    </row>
    <row r="212" spans="3:11" hidden="1" outlineLevel="1">
      <c r="C212" s="19" t="s">
        <v>1837</v>
      </c>
      <c r="D212" s="18">
        <f t="shared" si="17"/>
        <v>214</v>
      </c>
      <c r="E212" s="18">
        <f t="shared" si="18"/>
        <v>214</v>
      </c>
      <c r="F212" s="18">
        <v>1</v>
      </c>
      <c r="G212" s="301" t="str">
        <f t="shared" si="19"/>
        <v/>
      </c>
      <c r="H212" s="301"/>
      <c r="I212" s="305" t="str">
        <f>IF(ISERROR(IF(K212=0,"",IF(K212=1,CHAR(HEX2DEC(G212)),IF(K212=2,VLOOKUP(CONCATENATE(G212," ",G213),'IGS Configuration Values'!$C$241:$D$496,2,FALSE),"N/D"))))=TRUE,"",IF(K212=0,"",IF(K212=1,CHAR(HEX2DEC(G212)),IF(K212=2,VLOOKUP(CONCATENATE(G212," ",G213),'IGS Configuration Values'!$C$241:$D$496,2,FALSE),"N/D"))))</f>
        <v/>
      </c>
      <c r="J212" s="323"/>
      <c r="K212" s="158">
        <f t="shared" si="20"/>
        <v>1</v>
      </c>
    </row>
    <row r="213" spans="3:11" hidden="1" outlineLevel="1">
      <c r="C213" s="19" t="s">
        <v>1838</v>
      </c>
      <c r="D213" s="18">
        <f t="shared" si="17"/>
        <v>215</v>
      </c>
      <c r="E213" s="18">
        <f t="shared" si="18"/>
        <v>215</v>
      </c>
      <c r="F213" s="18">
        <v>1</v>
      </c>
      <c r="G213" s="301" t="str">
        <f t="shared" si="19"/>
        <v/>
      </c>
      <c r="H213" s="301"/>
      <c r="I213" s="305" t="str">
        <f>IF(ISERROR(IF(K213=0,"",IF(K213=1,CHAR(HEX2DEC(G213)),IF(K213=2,VLOOKUP(CONCATENATE(G213," ",G214),'IGS Configuration Values'!$C$241:$D$496,2,FALSE),"N/D"))))=TRUE,"",IF(K213=0,"",IF(K213=1,CHAR(HEX2DEC(G213)),IF(K213=2,VLOOKUP(CONCATENATE(G213," ",G214),'IGS Configuration Values'!$C$241:$D$496,2,FALSE),"N/D"))))</f>
        <v/>
      </c>
      <c r="J213" s="323"/>
      <c r="K213" s="158">
        <f t="shared" si="20"/>
        <v>1</v>
      </c>
    </row>
    <row r="214" spans="3:11" hidden="1" outlineLevel="1">
      <c r="C214" s="19" t="s">
        <v>1839</v>
      </c>
      <c r="D214" s="18">
        <f t="shared" si="17"/>
        <v>216</v>
      </c>
      <c r="E214" s="18">
        <f t="shared" si="18"/>
        <v>216</v>
      </c>
      <c r="F214" s="18">
        <v>1</v>
      </c>
      <c r="G214" s="301" t="str">
        <f t="shared" si="19"/>
        <v/>
      </c>
      <c r="H214" s="301"/>
      <c r="I214" s="305" t="str">
        <f>IF(ISERROR(IF(K214=0,"",IF(K214=1,CHAR(HEX2DEC(G214)),IF(K214=2,VLOOKUP(CONCATENATE(G214," ",G215),'IGS Configuration Values'!$C$241:$D$496,2,FALSE),"N/D"))))=TRUE,"",IF(K214=0,"",IF(K214=1,CHAR(HEX2DEC(G214)),IF(K214=2,VLOOKUP(CONCATENATE(G214," ",G215),'IGS Configuration Values'!$C$241:$D$496,2,FALSE),"N/D"))))</f>
        <v/>
      </c>
      <c r="J214" s="323"/>
      <c r="K214" s="158">
        <f t="shared" si="20"/>
        <v>1</v>
      </c>
    </row>
    <row r="215" spans="3:11" hidden="1" outlineLevel="1">
      <c r="C215" s="19" t="s">
        <v>1840</v>
      </c>
      <c r="D215" s="18">
        <f t="shared" si="17"/>
        <v>217</v>
      </c>
      <c r="E215" s="18">
        <f t="shared" si="18"/>
        <v>217</v>
      </c>
      <c r="F215" s="18">
        <v>1</v>
      </c>
      <c r="G215" s="301" t="str">
        <f t="shared" si="19"/>
        <v/>
      </c>
      <c r="H215" s="301"/>
      <c r="I215" s="305" t="str">
        <f>IF(ISERROR(IF(K215=0,"",IF(K215=1,CHAR(HEX2DEC(G215)),IF(K215=2,VLOOKUP(CONCATENATE(G215," ",G216),'IGS Configuration Values'!$C$241:$D$496,2,FALSE),"N/D"))))=TRUE,"",IF(K215=0,"",IF(K215=1,CHAR(HEX2DEC(G215)),IF(K215=2,VLOOKUP(CONCATENATE(G215," ",G216),'IGS Configuration Values'!$C$241:$D$496,2,FALSE),"N/D"))))</f>
        <v/>
      </c>
      <c r="J215" s="323"/>
      <c r="K215" s="158">
        <f t="shared" si="20"/>
        <v>1</v>
      </c>
    </row>
    <row r="216" spans="3:11" hidden="1" outlineLevel="1">
      <c r="C216" s="19" t="s">
        <v>1841</v>
      </c>
      <c r="D216" s="18">
        <f t="shared" si="17"/>
        <v>218</v>
      </c>
      <c r="E216" s="18">
        <f t="shared" si="18"/>
        <v>218</v>
      </c>
      <c r="F216" s="18">
        <v>1</v>
      </c>
      <c r="G216" s="301" t="str">
        <f t="shared" si="19"/>
        <v/>
      </c>
      <c r="H216" s="301"/>
      <c r="I216" s="305" t="str">
        <f>IF(ISERROR(IF(K216=0,"",IF(K216=1,CHAR(HEX2DEC(G216)),IF(K216=2,VLOOKUP(CONCATENATE(G216," ",G217),'IGS Configuration Values'!$C$241:$D$496,2,FALSE),"N/D"))))=TRUE,"",IF(K216=0,"",IF(K216=1,CHAR(HEX2DEC(G216)),IF(K216=2,VLOOKUP(CONCATENATE(G216," ",G217),'IGS Configuration Values'!$C$241:$D$496,2,FALSE),"N/D"))))</f>
        <v/>
      </c>
      <c r="J216" s="323"/>
      <c r="K216" s="158">
        <f t="shared" si="20"/>
        <v>1</v>
      </c>
    </row>
    <row r="217" spans="3:11" hidden="1" outlineLevel="1">
      <c r="C217" s="19" t="s">
        <v>1842</v>
      </c>
      <c r="D217" s="18">
        <f t="shared" si="17"/>
        <v>219</v>
      </c>
      <c r="E217" s="18">
        <f t="shared" si="18"/>
        <v>219</v>
      </c>
      <c r="F217" s="18">
        <v>1</v>
      </c>
      <c r="G217" s="301" t="str">
        <f t="shared" si="19"/>
        <v/>
      </c>
      <c r="H217" s="301"/>
      <c r="I217" s="305" t="str">
        <f>IF(ISERROR(IF(K217=0,"",IF(K217=1,CHAR(HEX2DEC(G217)),IF(K217=2,VLOOKUP(CONCATENATE(G217," ",G218),'IGS Configuration Values'!$C$241:$D$496,2,FALSE),"N/D"))))=TRUE,"",IF(K217=0,"",IF(K217=1,CHAR(HEX2DEC(G217)),IF(K217=2,VLOOKUP(CONCATENATE(G217," ",G218),'IGS Configuration Values'!$C$241:$D$496,2,FALSE),"N/D"))))</f>
        <v/>
      </c>
      <c r="J217" s="323"/>
      <c r="K217" s="158">
        <f t="shared" si="20"/>
        <v>1</v>
      </c>
    </row>
    <row r="218" spans="3:11" hidden="1" outlineLevel="1">
      <c r="C218" s="19" t="s">
        <v>1843</v>
      </c>
      <c r="D218" s="18">
        <f t="shared" si="17"/>
        <v>220</v>
      </c>
      <c r="E218" s="18">
        <f t="shared" si="18"/>
        <v>220</v>
      </c>
      <c r="F218" s="18">
        <v>1</v>
      </c>
      <c r="G218" s="301" t="str">
        <f t="shared" si="19"/>
        <v/>
      </c>
      <c r="H218" s="301"/>
      <c r="I218" s="305" t="str">
        <f>IF(ISERROR(IF(K218=0,"",IF(K218=1,CHAR(HEX2DEC(G218)),IF(K218=2,VLOOKUP(CONCATENATE(G218," ",G219),'IGS Configuration Values'!$C$241:$D$496,2,FALSE),"N/D"))))=TRUE,"",IF(K218=0,"",IF(K218=1,CHAR(HEX2DEC(G218)),IF(K218=2,VLOOKUP(CONCATENATE(G218," ",G219),'IGS Configuration Values'!$C$241:$D$496,2,FALSE),"N/D"))))</f>
        <v/>
      </c>
      <c r="J218" s="323"/>
      <c r="K218" s="158">
        <f t="shared" si="20"/>
        <v>1</v>
      </c>
    </row>
    <row r="219" spans="3:11" hidden="1" outlineLevel="1">
      <c r="C219" s="19" t="s">
        <v>1844</v>
      </c>
      <c r="D219" s="18">
        <f t="shared" si="17"/>
        <v>221</v>
      </c>
      <c r="E219" s="18">
        <f t="shared" si="18"/>
        <v>221</v>
      </c>
      <c r="F219" s="18">
        <v>1</v>
      </c>
      <c r="G219" s="301" t="str">
        <f t="shared" si="19"/>
        <v/>
      </c>
      <c r="H219" s="301"/>
      <c r="I219" s="305" t="str">
        <f>IF(ISERROR(IF(K219=0,"",IF(K219=1,CHAR(HEX2DEC(G219)),IF(K219=2,VLOOKUP(CONCATENATE(G219," ",G220),'IGS Configuration Values'!$C$241:$D$496,2,FALSE),"N/D"))))=TRUE,"",IF(K219=0,"",IF(K219=1,CHAR(HEX2DEC(G219)),IF(K219=2,VLOOKUP(CONCATENATE(G219," ",G220),'IGS Configuration Values'!$C$241:$D$496,2,FALSE),"N/D"))))</f>
        <v/>
      </c>
      <c r="J219" s="323"/>
      <c r="K219" s="158">
        <f t="shared" si="20"/>
        <v>1</v>
      </c>
    </row>
    <row r="220" spans="3:11" hidden="1" outlineLevel="1">
      <c r="C220" s="19" t="s">
        <v>1845</v>
      </c>
      <c r="D220" s="18">
        <f t="shared" si="17"/>
        <v>222</v>
      </c>
      <c r="E220" s="18">
        <f t="shared" si="18"/>
        <v>222</v>
      </c>
      <c r="F220" s="18">
        <v>1</v>
      </c>
      <c r="G220" s="301" t="str">
        <f t="shared" si="19"/>
        <v/>
      </c>
      <c r="H220" s="301"/>
      <c r="I220" s="305" t="str">
        <f>IF(ISERROR(IF(K220=0,"",IF(K220=1,CHAR(HEX2DEC(G220)),IF(K220=2,VLOOKUP(CONCATENATE(G220," ",G221),'IGS Configuration Values'!$C$241:$D$496,2,FALSE),"N/D"))))=TRUE,"",IF(K220=0,"",IF(K220=1,CHAR(HEX2DEC(G220)),IF(K220=2,VLOOKUP(CONCATENATE(G220," ",G221),'IGS Configuration Values'!$C$241:$D$496,2,FALSE),"N/D"))))</f>
        <v/>
      </c>
      <c r="J220" s="323"/>
      <c r="K220" s="158">
        <f t="shared" si="20"/>
        <v>1</v>
      </c>
    </row>
    <row r="221" spans="3:11" hidden="1" outlineLevel="1">
      <c r="C221" s="19" t="s">
        <v>1846</v>
      </c>
      <c r="D221" s="18">
        <f t="shared" si="17"/>
        <v>223</v>
      </c>
      <c r="E221" s="18">
        <f t="shared" si="18"/>
        <v>223</v>
      </c>
      <c r="F221" s="18">
        <v>1</v>
      </c>
      <c r="G221" s="301" t="str">
        <f t="shared" si="19"/>
        <v/>
      </c>
      <c r="H221" s="301"/>
      <c r="I221" s="305" t="str">
        <f>IF(ISERROR(IF(K221=0,"",IF(K221=1,CHAR(HEX2DEC(G221)),IF(K221=2,VLOOKUP(CONCATENATE(G221," ",G222),'IGS Configuration Values'!$C$241:$D$496,2,FALSE),"N/D"))))=TRUE,"",IF(K221=0,"",IF(K221=1,CHAR(HEX2DEC(G221)),IF(K221=2,VLOOKUP(CONCATENATE(G221," ",G222),'IGS Configuration Values'!$C$241:$D$496,2,FALSE),"N/D"))))</f>
        <v/>
      </c>
      <c r="J221" s="323"/>
      <c r="K221" s="158">
        <f t="shared" si="20"/>
        <v>1</v>
      </c>
    </row>
    <row r="222" spans="3:11" hidden="1" outlineLevel="1">
      <c r="C222" s="19" t="s">
        <v>1847</v>
      </c>
      <c r="D222" s="18">
        <f t="shared" si="17"/>
        <v>224</v>
      </c>
      <c r="E222" s="18">
        <f t="shared" si="18"/>
        <v>224</v>
      </c>
      <c r="F222" s="18">
        <v>1</v>
      </c>
      <c r="G222" s="301" t="str">
        <f t="shared" si="19"/>
        <v/>
      </c>
      <c r="H222" s="301"/>
      <c r="I222" s="305" t="str">
        <f>IF(ISERROR(IF(K222=0,"",IF(K222=1,CHAR(HEX2DEC(G222)),IF(K222=2,VLOOKUP(CONCATENATE(G222," ",G223),'IGS Configuration Values'!$C$241:$D$496,2,FALSE),"N/D"))))=TRUE,"",IF(K222=0,"",IF(K222=1,CHAR(HEX2DEC(G222)),IF(K222=2,VLOOKUP(CONCATENATE(G222," ",G223),'IGS Configuration Values'!$C$241:$D$496,2,FALSE),"N/D"))))</f>
        <v/>
      </c>
      <c r="J222" s="323"/>
      <c r="K222" s="158">
        <f t="shared" si="20"/>
        <v>1</v>
      </c>
    </row>
    <row r="223" spans="3:11" hidden="1" outlineLevel="1">
      <c r="C223" s="19" t="s">
        <v>1848</v>
      </c>
      <c r="D223" s="18">
        <f t="shared" si="17"/>
        <v>225</v>
      </c>
      <c r="E223" s="18">
        <f t="shared" si="18"/>
        <v>225</v>
      </c>
      <c r="F223" s="18">
        <v>1</v>
      </c>
      <c r="G223" s="301" t="str">
        <f t="shared" si="19"/>
        <v/>
      </c>
      <c r="H223" s="301"/>
      <c r="I223" s="305" t="str">
        <f>IF(ISERROR(IF(K223=0,"",IF(K223=1,CHAR(HEX2DEC(G223)),IF(K223=2,VLOOKUP(CONCATENATE(G223," ",G224),'IGS Configuration Values'!$C$241:$D$496,2,FALSE),"N/D"))))=TRUE,"",IF(K223=0,"",IF(K223=1,CHAR(HEX2DEC(G223)),IF(K223=2,VLOOKUP(CONCATENATE(G223," ",G224),'IGS Configuration Values'!$C$241:$D$496,2,FALSE),"N/D"))))</f>
        <v/>
      </c>
      <c r="J223" s="323"/>
      <c r="K223" s="158">
        <f t="shared" si="20"/>
        <v>1</v>
      </c>
    </row>
    <row r="224" spans="3:11" hidden="1" outlineLevel="1">
      <c r="C224" s="19" t="s">
        <v>1849</v>
      </c>
      <c r="D224" s="18">
        <f t="shared" si="17"/>
        <v>226</v>
      </c>
      <c r="E224" s="18">
        <f t="shared" si="18"/>
        <v>226</v>
      </c>
      <c r="F224" s="18">
        <v>1</v>
      </c>
      <c r="G224" s="301" t="str">
        <f t="shared" si="19"/>
        <v/>
      </c>
      <c r="H224" s="301"/>
      <c r="I224" s="305" t="str">
        <f>IF(ISERROR(IF(K224=0,"",IF(K224=1,CHAR(HEX2DEC(G224)),IF(K224=2,VLOOKUP(CONCATENATE(G224," ",G225),'IGS Configuration Values'!$C$241:$D$496,2,FALSE),"N/D"))))=TRUE,"",IF(K224=0,"",IF(K224=1,CHAR(HEX2DEC(G224)),IF(K224=2,VLOOKUP(CONCATENATE(G224," ",G225),'IGS Configuration Values'!$C$241:$D$496,2,FALSE),"N/D"))))</f>
        <v/>
      </c>
      <c r="J224" s="323"/>
      <c r="K224" s="158">
        <f t="shared" si="20"/>
        <v>1</v>
      </c>
    </row>
    <row r="225" spans="3:11" hidden="1" outlineLevel="1">
      <c r="C225" s="19" t="s">
        <v>1850</v>
      </c>
      <c r="D225" s="18">
        <f t="shared" si="17"/>
        <v>227</v>
      </c>
      <c r="E225" s="18">
        <f t="shared" si="18"/>
        <v>227</v>
      </c>
      <c r="F225" s="18">
        <v>1</v>
      </c>
      <c r="G225" s="301" t="str">
        <f t="shared" si="19"/>
        <v/>
      </c>
      <c r="H225" s="301"/>
      <c r="I225" s="305" t="str">
        <f>IF(ISERROR(IF(K225=0,"",IF(K225=1,CHAR(HEX2DEC(G225)),IF(K225=2,VLOOKUP(CONCATENATE(G225," ",G226),'IGS Configuration Values'!$C$241:$D$496,2,FALSE),"N/D"))))=TRUE,"",IF(K225=0,"",IF(K225=1,CHAR(HEX2DEC(G225)),IF(K225=2,VLOOKUP(CONCATENATE(G225," ",G226),'IGS Configuration Values'!$C$241:$D$496,2,FALSE),"N/D"))))</f>
        <v/>
      </c>
      <c r="J225" s="323"/>
      <c r="K225" s="158">
        <f t="shared" si="20"/>
        <v>1</v>
      </c>
    </row>
    <row r="226" spans="3:11" hidden="1" outlineLevel="1">
      <c r="C226" s="19" t="s">
        <v>1851</v>
      </c>
      <c r="D226" s="18">
        <f t="shared" si="17"/>
        <v>228</v>
      </c>
      <c r="E226" s="18">
        <f t="shared" si="18"/>
        <v>228</v>
      </c>
      <c r="F226" s="18">
        <v>1</v>
      </c>
      <c r="G226" s="301" t="str">
        <f t="shared" si="19"/>
        <v/>
      </c>
      <c r="H226" s="301"/>
      <c r="I226" s="305" t="str">
        <f>IF(ISERROR(IF(K226=0,"",IF(K226=1,CHAR(HEX2DEC(G226)),IF(K226=2,VLOOKUP(CONCATENATE(G226," ",G227),'IGS Configuration Values'!$C$241:$D$496,2,FALSE),"N/D"))))=TRUE,"",IF(K226=0,"",IF(K226=1,CHAR(HEX2DEC(G226)),IF(K226=2,VLOOKUP(CONCATENATE(G226," ",G227),'IGS Configuration Values'!$C$241:$D$496,2,FALSE),"N/D"))))</f>
        <v/>
      </c>
      <c r="J226" s="323"/>
      <c r="K226" s="158">
        <f t="shared" si="20"/>
        <v>1</v>
      </c>
    </row>
    <row r="227" spans="3:11" hidden="1" outlineLevel="1">
      <c r="C227" s="19" t="s">
        <v>1852</v>
      </c>
      <c r="D227" s="18">
        <f t="shared" si="17"/>
        <v>229</v>
      </c>
      <c r="E227" s="18">
        <f t="shared" si="18"/>
        <v>229</v>
      </c>
      <c r="F227" s="18">
        <v>1</v>
      </c>
      <c r="G227" s="301" t="str">
        <f t="shared" si="19"/>
        <v/>
      </c>
      <c r="H227" s="301"/>
      <c r="I227" s="305" t="str">
        <f>IF(ISERROR(IF(K227=0,"",IF(K227=1,CHAR(HEX2DEC(G227)),IF(K227=2,VLOOKUP(CONCATENATE(G227," ",G228),'IGS Configuration Values'!$C$241:$D$496,2,FALSE),"N/D"))))=TRUE,"",IF(K227=0,"",IF(K227=1,CHAR(HEX2DEC(G227)),IF(K227=2,VLOOKUP(CONCATENATE(G227," ",G228),'IGS Configuration Values'!$C$241:$D$496,2,FALSE),"N/D"))))</f>
        <v/>
      </c>
      <c r="J227" s="323"/>
      <c r="K227" s="158">
        <f t="shared" si="20"/>
        <v>1</v>
      </c>
    </row>
    <row r="228" spans="3:11" hidden="1" outlineLevel="1">
      <c r="C228" s="19" t="s">
        <v>1853</v>
      </c>
      <c r="D228" s="18">
        <f t="shared" si="17"/>
        <v>230</v>
      </c>
      <c r="E228" s="18">
        <f t="shared" si="18"/>
        <v>230</v>
      </c>
      <c r="F228" s="18">
        <v>1</v>
      </c>
      <c r="G228" s="301" t="str">
        <f t="shared" si="19"/>
        <v/>
      </c>
      <c r="H228" s="301"/>
      <c r="I228" s="305" t="str">
        <f>IF(ISERROR(IF(K228=0,"",IF(K228=1,CHAR(HEX2DEC(G228)),IF(K228=2,VLOOKUP(CONCATENATE(G228," ",G229),'IGS Configuration Values'!$C$241:$D$496,2,FALSE),"N/D"))))=TRUE,"",IF(K228=0,"",IF(K228=1,CHAR(HEX2DEC(G228)),IF(K228=2,VLOOKUP(CONCATENATE(G228," ",G229),'IGS Configuration Values'!$C$241:$D$496,2,FALSE),"N/D"))))</f>
        <v/>
      </c>
      <c r="J228" s="323"/>
      <c r="K228" s="158">
        <f t="shared" si="20"/>
        <v>1</v>
      </c>
    </row>
    <row r="229" spans="3:11" hidden="1" outlineLevel="1">
      <c r="C229" s="19" t="s">
        <v>1854</v>
      </c>
      <c r="D229" s="18">
        <f t="shared" si="17"/>
        <v>231</v>
      </c>
      <c r="E229" s="18">
        <f t="shared" si="18"/>
        <v>231</v>
      </c>
      <c r="F229" s="18">
        <v>1</v>
      </c>
      <c r="G229" s="301" t="str">
        <f t="shared" si="19"/>
        <v/>
      </c>
      <c r="H229" s="301"/>
      <c r="I229" s="305" t="str">
        <f>IF(ISERROR(IF(K229=0,"",IF(K229=1,CHAR(HEX2DEC(G229)),IF(K229=2,VLOOKUP(CONCATENATE(G229," ",G230),'IGS Configuration Values'!$C$241:$D$496,2,FALSE),"N/D"))))=TRUE,"",IF(K229=0,"",IF(K229=1,CHAR(HEX2DEC(G229)),IF(K229=2,VLOOKUP(CONCATENATE(G229," ",G230),'IGS Configuration Values'!$C$241:$D$496,2,FALSE),"N/D"))))</f>
        <v/>
      </c>
      <c r="J229" s="323"/>
      <c r="K229" s="158">
        <f t="shared" si="20"/>
        <v>1</v>
      </c>
    </row>
    <row r="230" spans="3:11" hidden="1" outlineLevel="1">
      <c r="C230" s="19" t="s">
        <v>1855</v>
      </c>
      <c r="D230" s="18">
        <f t="shared" si="17"/>
        <v>232</v>
      </c>
      <c r="E230" s="18">
        <f t="shared" si="18"/>
        <v>232</v>
      </c>
      <c r="F230" s="18">
        <v>1</v>
      </c>
      <c r="G230" s="301" t="str">
        <f t="shared" si="19"/>
        <v/>
      </c>
      <c r="H230" s="301"/>
      <c r="I230" s="305" t="str">
        <f>IF(ISERROR(IF(K230=0,"",IF(K230=1,CHAR(HEX2DEC(G230)),IF(K230=2,VLOOKUP(CONCATENATE(G230," ",G231),'IGS Configuration Values'!$C$241:$D$496,2,FALSE),"N/D"))))=TRUE,"",IF(K230=0,"",IF(K230=1,CHAR(HEX2DEC(G230)),IF(K230=2,VLOOKUP(CONCATENATE(G230," ",G231),'IGS Configuration Values'!$C$241:$D$496,2,FALSE),"N/D"))))</f>
        <v/>
      </c>
      <c r="J230" s="323"/>
      <c r="K230" s="158">
        <f t="shared" si="20"/>
        <v>1</v>
      </c>
    </row>
    <row r="231" spans="3:11" hidden="1" outlineLevel="1">
      <c r="C231" s="19" t="s">
        <v>1856</v>
      </c>
      <c r="D231" s="18">
        <f t="shared" si="17"/>
        <v>233</v>
      </c>
      <c r="E231" s="18">
        <f t="shared" si="18"/>
        <v>233</v>
      </c>
      <c r="F231" s="18">
        <v>1</v>
      </c>
      <c r="G231" s="301" t="str">
        <f t="shared" si="19"/>
        <v/>
      </c>
      <c r="H231" s="301"/>
      <c r="I231" s="305" t="str">
        <f>IF(ISERROR(IF(K231=0,"",IF(K231=1,CHAR(HEX2DEC(G231)),IF(K231=2,VLOOKUP(CONCATENATE(G231," ",G232),'IGS Configuration Values'!$C$241:$D$496,2,FALSE),"N/D"))))=TRUE,"",IF(K231=0,"",IF(K231=1,CHAR(HEX2DEC(G231)),IF(K231=2,VLOOKUP(CONCATENATE(G231," ",G232),'IGS Configuration Values'!$C$241:$D$496,2,FALSE),"N/D"))))</f>
        <v/>
      </c>
      <c r="J231" s="323"/>
      <c r="K231" s="158">
        <f t="shared" si="20"/>
        <v>1</v>
      </c>
    </row>
    <row r="232" spans="3:11" hidden="1" outlineLevel="1">
      <c r="C232" s="19" t="s">
        <v>1857</v>
      </c>
      <c r="D232" s="18">
        <f t="shared" si="17"/>
        <v>234</v>
      </c>
      <c r="E232" s="18">
        <f t="shared" si="18"/>
        <v>234</v>
      </c>
      <c r="F232" s="18">
        <v>1</v>
      </c>
      <c r="G232" s="301" t="str">
        <f t="shared" si="19"/>
        <v/>
      </c>
      <c r="H232" s="301"/>
      <c r="I232" s="305" t="str">
        <f>IF(ISERROR(IF(K232=0,"",IF(K232=1,CHAR(HEX2DEC(G232)),IF(K232=2,VLOOKUP(CONCATENATE(G232," ",G233),'IGS Configuration Values'!$C$241:$D$496,2,FALSE),"N/D"))))=TRUE,"",IF(K232=0,"",IF(K232=1,CHAR(HEX2DEC(G232)),IF(K232=2,VLOOKUP(CONCATENATE(G232," ",G233),'IGS Configuration Values'!$C$241:$D$496,2,FALSE),"N/D"))))</f>
        <v/>
      </c>
      <c r="J232" s="323"/>
      <c r="K232" s="158">
        <f t="shared" si="20"/>
        <v>1</v>
      </c>
    </row>
    <row r="233" spans="3:11" hidden="1" outlineLevel="1">
      <c r="C233" s="19" t="s">
        <v>1858</v>
      </c>
      <c r="D233" s="18">
        <f t="shared" si="17"/>
        <v>235</v>
      </c>
      <c r="E233" s="18">
        <f t="shared" si="18"/>
        <v>235</v>
      </c>
      <c r="F233" s="18">
        <v>1</v>
      </c>
      <c r="G233" s="301" t="str">
        <f t="shared" si="19"/>
        <v/>
      </c>
      <c r="H233" s="301"/>
      <c r="I233" s="305" t="str">
        <f>IF(ISERROR(IF(K233=0,"",IF(K233=1,CHAR(HEX2DEC(G233)),IF(K233=2,VLOOKUP(CONCATENATE(G233," ",G234),'IGS Configuration Values'!$C$241:$D$496,2,FALSE),"N/D"))))=TRUE,"",IF(K233=0,"",IF(K233=1,CHAR(HEX2DEC(G233)),IF(K233=2,VLOOKUP(CONCATENATE(G233," ",G234),'IGS Configuration Values'!$C$241:$D$496,2,FALSE),"N/D"))))</f>
        <v/>
      </c>
      <c r="J233" s="323"/>
      <c r="K233" s="158">
        <f t="shared" si="20"/>
        <v>1</v>
      </c>
    </row>
    <row r="234" spans="3:11" hidden="1" outlineLevel="1">
      <c r="C234" s="19" t="s">
        <v>1859</v>
      </c>
      <c r="D234" s="18">
        <f t="shared" si="17"/>
        <v>236</v>
      </c>
      <c r="E234" s="18">
        <f t="shared" si="18"/>
        <v>236</v>
      </c>
      <c r="F234" s="18">
        <v>1</v>
      </c>
      <c r="G234" s="301" t="str">
        <f t="shared" si="19"/>
        <v/>
      </c>
      <c r="H234" s="301"/>
      <c r="I234" s="305" t="str">
        <f>IF(ISERROR(IF(K234=0,"",IF(K234=1,CHAR(HEX2DEC(G234)),IF(K234=2,VLOOKUP(CONCATENATE(G234," ",G235),'IGS Configuration Values'!$C$241:$D$496,2,FALSE),"N/D"))))=TRUE,"",IF(K234=0,"",IF(K234=1,CHAR(HEX2DEC(G234)),IF(K234=2,VLOOKUP(CONCATENATE(G234," ",G235),'IGS Configuration Values'!$C$241:$D$496,2,FALSE),"N/D"))))</f>
        <v/>
      </c>
      <c r="J234" s="323"/>
      <c r="K234" s="158">
        <f t="shared" si="20"/>
        <v>1</v>
      </c>
    </row>
    <row r="235" spans="3:11" hidden="1" outlineLevel="1">
      <c r="C235" s="19" t="s">
        <v>1860</v>
      </c>
      <c r="D235" s="18">
        <f t="shared" si="17"/>
        <v>237</v>
      </c>
      <c r="E235" s="18">
        <f t="shared" si="18"/>
        <v>237</v>
      </c>
      <c r="F235" s="18">
        <v>1</v>
      </c>
      <c r="G235" s="301" t="str">
        <f t="shared" si="19"/>
        <v/>
      </c>
      <c r="H235" s="301"/>
      <c r="I235" s="305" t="str">
        <f>IF(ISERROR(IF(K235=0,"",IF(K235=1,CHAR(HEX2DEC(G235)),IF(K235=2,VLOOKUP(CONCATENATE(G235," ",G236),'IGS Configuration Values'!$C$241:$D$496,2,FALSE),"N/D"))))=TRUE,"",IF(K235=0,"",IF(K235=1,CHAR(HEX2DEC(G235)),IF(K235=2,VLOOKUP(CONCATENATE(G235," ",G236),'IGS Configuration Values'!$C$241:$D$496,2,FALSE),"N/D"))))</f>
        <v/>
      </c>
      <c r="J235" s="323"/>
      <c r="K235" s="158">
        <f t="shared" si="20"/>
        <v>1</v>
      </c>
    </row>
    <row r="236" spans="3:11" hidden="1" outlineLevel="1">
      <c r="C236" s="19" t="s">
        <v>1861</v>
      </c>
      <c r="D236" s="18">
        <f t="shared" si="17"/>
        <v>238</v>
      </c>
      <c r="E236" s="18">
        <f t="shared" si="18"/>
        <v>238</v>
      </c>
      <c r="F236" s="18">
        <v>1</v>
      </c>
      <c r="G236" s="301" t="str">
        <f t="shared" si="19"/>
        <v/>
      </c>
      <c r="H236" s="301"/>
      <c r="I236" s="305" t="str">
        <f>IF(ISERROR(IF(K236=0,"",IF(K236=1,CHAR(HEX2DEC(G236)),IF(K236=2,VLOOKUP(CONCATENATE(G236," ",G237),'IGS Configuration Values'!$C$241:$D$496,2,FALSE),"N/D"))))=TRUE,"",IF(K236=0,"",IF(K236=1,CHAR(HEX2DEC(G236)),IF(K236=2,VLOOKUP(CONCATENATE(G236," ",G237),'IGS Configuration Values'!$C$241:$D$496,2,FALSE),"N/D"))))</f>
        <v/>
      </c>
      <c r="J236" s="323"/>
      <c r="K236" s="158">
        <f t="shared" si="20"/>
        <v>1</v>
      </c>
    </row>
    <row r="237" spans="3:11" hidden="1" outlineLevel="1">
      <c r="C237" s="19" t="s">
        <v>1862</v>
      </c>
      <c r="D237" s="18">
        <f t="shared" si="17"/>
        <v>239</v>
      </c>
      <c r="E237" s="18">
        <f t="shared" si="18"/>
        <v>239</v>
      </c>
      <c r="F237" s="18">
        <v>1</v>
      </c>
      <c r="G237" s="301" t="str">
        <f t="shared" si="19"/>
        <v/>
      </c>
      <c r="H237" s="301"/>
      <c r="I237" s="305" t="str">
        <f>IF(ISERROR(IF(K237=0,"",IF(K237=1,CHAR(HEX2DEC(G237)),IF(K237=2,VLOOKUP(CONCATENATE(G237," ",G238),'IGS Configuration Values'!$C$241:$D$496,2,FALSE),"N/D"))))=TRUE,"",IF(K237=0,"",IF(K237=1,CHAR(HEX2DEC(G237)),IF(K237=2,VLOOKUP(CONCATENATE(G237," ",G238),'IGS Configuration Values'!$C$241:$D$496,2,FALSE),"N/D"))))</f>
        <v/>
      </c>
      <c r="J237" s="323"/>
      <c r="K237" s="158">
        <f t="shared" si="20"/>
        <v>1</v>
      </c>
    </row>
    <row r="238" spans="3:11" hidden="1" outlineLevel="1">
      <c r="C238" s="19" t="s">
        <v>1863</v>
      </c>
      <c r="D238" s="18">
        <f t="shared" si="17"/>
        <v>240</v>
      </c>
      <c r="E238" s="18">
        <f t="shared" si="18"/>
        <v>240</v>
      </c>
      <c r="F238" s="18">
        <v>1</v>
      </c>
      <c r="G238" s="301" t="str">
        <f t="shared" si="19"/>
        <v/>
      </c>
      <c r="H238" s="301"/>
      <c r="I238" s="305" t="str">
        <f>IF(ISERROR(IF(K238=0,"",IF(K238=1,CHAR(HEX2DEC(G238)),IF(K238=2,VLOOKUP(CONCATENATE(G238," ",G239),'IGS Configuration Values'!$C$241:$D$496,2,FALSE),"N/D"))))=TRUE,"",IF(K238=0,"",IF(K238=1,CHAR(HEX2DEC(G238)),IF(K238=2,VLOOKUP(CONCATENATE(G238," ",G239),'IGS Configuration Values'!$C$241:$D$496,2,FALSE),"N/D"))))</f>
        <v/>
      </c>
      <c r="J238" s="323"/>
      <c r="K238" s="158">
        <f t="shared" si="20"/>
        <v>1</v>
      </c>
    </row>
    <row r="239" spans="3:11" hidden="1" outlineLevel="1">
      <c r="C239" s="19" t="s">
        <v>1864</v>
      </c>
      <c r="D239" s="18">
        <f t="shared" si="17"/>
        <v>241</v>
      </c>
      <c r="E239" s="18">
        <f t="shared" si="18"/>
        <v>241</v>
      </c>
      <c r="F239" s="18">
        <v>1</v>
      </c>
      <c r="G239" s="301" t="str">
        <f t="shared" si="19"/>
        <v/>
      </c>
      <c r="H239" s="301"/>
      <c r="I239" s="305" t="str">
        <f>IF(ISERROR(IF(K239=0,"",IF(K239=1,CHAR(HEX2DEC(G239)),IF(K239=2,VLOOKUP(CONCATENATE(G239," ",G240),'IGS Configuration Values'!$C$241:$D$496,2,FALSE),"N/D"))))=TRUE,"",IF(K239=0,"",IF(K239=1,CHAR(HEX2DEC(G239)),IF(K239=2,VLOOKUP(CONCATENATE(G239," ",G240),'IGS Configuration Values'!$C$241:$D$496,2,FALSE),"N/D"))))</f>
        <v/>
      </c>
      <c r="J239" s="323"/>
      <c r="K239" s="158">
        <f t="shared" si="20"/>
        <v>1</v>
      </c>
    </row>
    <row r="240" spans="3:11" hidden="1" outlineLevel="1">
      <c r="C240" s="19" t="s">
        <v>1865</v>
      </c>
      <c r="D240" s="18">
        <f t="shared" si="17"/>
        <v>242</v>
      </c>
      <c r="E240" s="18">
        <f t="shared" si="18"/>
        <v>242</v>
      </c>
      <c r="F240" s="18">
        <v>1</v>
      </c>
      <c r="G240" s="301" t="str">
        <f t="shared" si="19"/>
        <v/>
      </c>
      <c r="H240" s="301"/>
      <c r="I240" s="305" t="str">
        <f>IF(ISERROR(IF(K240=0,"",IF(K240=1,CHAR(HEX2DEC(G240)),IF(K240=2,VLOOKUP(CONCATENATE(G240," ",G241),'IGS Configuration Values'!$C$241:$D$496,2,FALSE),"N/D"))))=TRUE,"",IF(K240=0,"",IF(K240=1,CHAR(HEX2DEC(G240)),IF(K240=2,VLOOKUP(CONCATENATE(G240," ",G241),'IGS Configuration Values'!$C$241:$D$496,2,FALSE),"N/D"))))</f>
        <v/>
      </c>
      <c r="J240" s="323"/>
      <c r="K240" s="158">
        <f t="shared" si="20"/>
        <v>1</v>
      </c>
    </row>
    <row r="241" spans="3:11" hidden="1" outlineLevel="1">
      <c r="C241" s="19" t="s">
        <v>1866</v>
      </c>
      <c r="D241" s="18">
        <f t="shared" si="17"/>
        <v>243</v>
      </c>
      <c r="E241" s="18">
        <f t="shared" si="18"/>
        <v>243</v>
      </c>
      <c r="F241" s="18">
        <v>1</v>
      </c>
      <c r="G241" s="301" t="str">
        <f t="shared" si="19"/>
        <v/>
      </c>
      <c r="H241" s="301"/>
      <c r="I241" s="305" t="str">
        <f>IF(ISERROR(IF(K241=0,"",IF(K241=1,CHAR(HEX2DEC(G241)),IF(K241=2,VLOOKUP(CONCATENATE(G241," ",G242),'IGS Configuration Values'!$C$241:$D$496,2,FALSE),"N/D"))))=TRUE,"",IF(K241=0,"",IF(K241=1,CHAR(HEX2DEC(G241)),IF(K241=2,VLOOKUP(CONCATENATE(G241," ",G242),'IGS Configuration Values'!$C$241:$D$496,2,FALSE),"N/D"))))</f>
        <v/>
      </c>
      <c r="J241" s="323"/>
      <c r="K241" s="158">
        <f t="shared" si="20"/>
        <v>1</v>
      </c>
    </row>
    <row r="242" spans="3:11" hidden="1" outlineLevel="1">
      <c r="C242" s="19" t="s">
        <v>1867</v>
      </c>
      <c r="D242" s="18">
        <f t="shared" si="17"/>
        <v>244</v>
      </c>
      <c r="E242" s="18">
        <f t="shared" si="18"/>
        <v>244</v>
      </c>
      <c r="F242" s="18">
        <v>1</v>
      </c>
      <c r="G242" s="301" t="str">
        <f t="shared" si="19"/>
        <v/>
      </c>
      <c r="H242" s="301"/>
      <c r="I242" s="305" t="str">
        <f>IF(ISERROR(IF(K242=0,"",IF(K242=1,CHAR(HEX2DEC(G242)),IF(K242=2,VLOOKUP(CONCATENATE(G242," ",G243),'IGS Configuration Values'!$C$241:$D$496,2,FALSE),"N/D"))))=TRUE,"",IF(K242=0,"",IF(K242=1,CHAR(HEX2DEC(G242)),IF(K242=2,VLOOKUP(CONCATENATE(G242," ",G243),'IGS Configuration Values'!$C$241:$D$496,2,FALSE),"N/D"))))</f>
        <v/>
      </c>
      <c r="J242" s="323"/>
      <c r="K242" s="158">
        <f t="shared" si="20"/>
        <v>1</v>
      </c>
    </row>
    <row r="243" spans="3:11" hidden="1" outlineLevel="1">
      <c r="C243" s="19" t="s">
        <v>1868</v>
      </c>
      <c r="D243" s="18">
        <f t="shared" si="17"/>
        <v>245</v>
      </c>
      <c r="E243" s="18">
        <f t="shared" si="18"/>
        <v>245</v>
      </c>
      <c r="F243" s="18">
        <v>1</v>
      </c>
      <c r="G243" s="301" t="str">
        <f t="shared" si="19"/>
        <v/>
      </c>
      <c r="H243" s="301"/>
      <c r="I243" s="305" t="str">
        <f>IF(ISERROR(IF(K243=0,"",IF(K243=1,CHAR(HEX2DEC(G243)),IF(K243=2,VLOOKUP(CONCATENATE(G243," ",G244),'IGS Configuration Values'!$C$241:$D$496,2,FALSE),"N/D"))))=TRUE,"",IF(K243=0,"",IF(K243=1,CHAR(HEX2DEC(G243)),IF(K243=2,VLOOKUP(CONCATENATE(G243," ",G244),'IGS Configuration Values'!$C$241:$D$496,2,FALSE),"N/D"))))</f>
        <v/>
      </c>
      <c r="J243" s="323"/>
      <c r="K243" s="158">
        <f t="shared" si="20"/>
        <v>1</v>
      </c>
    </row>
    <row r="244" spans="3:11" hidden="1" outlineLevel="1">
      <c r="C244" s="19" t="s">
        <v>1869</v>
      </c>
      <c r="D244" s="18">
        <f t="shared" si="17"/>
        <v>246</v>
      </c>
      <c r="E244" s="18">
        <f t="shared" si="18"/>
        <v>246</v>
      </c>
      <c r="F244" s="18">
        <v>1</v>
      </c>
      <c r="G244" s="301" t="str">
        <f t="shared" si="19"/>
        <v/>
      </c>
      <c r="H244" s="301"/>
      <c r="I244" s="305" t="str">
        <f>IF(ISERROR(IF(K244=0,"",IF(K244=1,CHAR(HEX2DEC(G244)),IF(K244=2,VLOOKUP(CONCATENATE(G244," ",G245),'IGS Configuration Values'!$C$241:$D$496,2,FALSE),"N/D"))))=TRUE,"",IF(K244=0,"",IF(K244=1,CHAR(HEX2DEC(G244)),IF(K244=2,VLOOKUP(CONCATENATE(G244," ",G245),'IGS Configuration Values'!$C$241:$D$496,2,FALSE),"N/D"))))</f>
        <v/>
      </c>
      <c r="J244" s="323"/>
      <c r="K244" s="158">
        <f t="shared" si="20"/>
        <v>1</v>
      </c>
    </row>
    <row r="245" spans="3:11" hidden="1" outlineLevel="1">
      <c r="C245" s="19" t="s">
        <v>1870</v>
      </c>
      <c r="D245" s="18">
        <f t="shared" si="17"/>
        <v>247</v>
      </c>
      <c r="E245" s="18">
        <f t="shared" si="18"/>
        <v>247</v>
      </c>
      <c r="F245" s="18">
        <v>1</v>
      </c>
      <c r="G245" s="301" t="str">
        <f t="shared" si="19"/>
        <v/>
      </c>
      <c r="H245" s="301"/>
      <c r="I245" s="305" t="str">
        <f>IF(ISERROR(IF(K245=0,"",IF(K245=1,CHAR(HEX2DEC(G245)),IF(K245=2,VLOOKUP(CONCATENATE(G245," ",G246),'IGS Configuration Values'!$C$241:$D$496,2,FALSE),"N/D"))))=TRUE,"",IF(K245=0,"",IF(K245=1,CHAR(HEX2DEC(G245)),IF(K245=2,VLOOKUP(CONCATENATE(G245," ",G246),'IGS Configuration Values'!$C$241:$D$496,2,FALSE),"N/D"))))</f>
        <v/>
      </c>
      <c r="J245" s="323"/>
      <c r="K245" s="158">
        <f t="shared" si="20"/>
        <v>1</v>
      </c>
    </row>
    <row r="246" spans="3:11" hidden="1" outlineLevel="1">
      <c r="C246" s="19" t="s">
        <v>1871</v>
      </c>
      <c r="D246" s="18">
        <f t="shared" si="17"/>
        <v>248</v>
      </c>
      <c r="E246" s="18">
        <f t="shared" si="18"/>
        <v>248</v>
      </c>
      <c r="F246" s="18">
        <v>1</v>
      </c>
      <c r="G246" s="301" t="str">
        <f t="shared" si="19"/>
        <v/>
      </c>
      <c r="H246" s="301"/>
      <c r="I246" s="305" t="str">
        <f>IF(ISERROR(IF(K246=0,"",IF(K246=1,CHAR(HEX2DEC(G246)),IF(K246=2,VLOOKUP(CONCATENATE(G246," ",G247),'IGS Configuration Values'!$C$241:$D$496,2,FALSE),"N/D"))))=TRUE,"",IF(K246=0,"",IF(K246=1,CHAR(HEX2DEC(G246)),IF(K246=2,VLOOKUP(CONCATENATE(G246," ",G247),'IGS Configuration Values'!$C$241:$D$496,2,FALSE),"N/D"))))</f>
        <v/>
      </c>
      <c r="J246" s="323"/>
      <c r="K246" s="158">
        <f t="shared" si="20"/>
        <v>1</v>
      </c>
    </row>
    <row r="247" spans="3:11" hidden="1" outlineLevel="1">
      <c r="C247" s="19" t="s">
        <v>1872</v>
      </c>
      <c r="D247" s="18">
        <f t="shared" si="17"/>
        <v>249</v>
      </c>
      <c r="E247" s="18">
        <f t="shared" si="18"/>
        <v>249</v>
      </c>
      <c r="F247" s="18">
        <v>1</v>
      </c>
      <c r="G247" s="301" t="str">
        <f t="shared" si="19"/>
        <v/>
      </c>
      <c r="H247" s="301"/>
      <c r="I247" s="305" t="str">
        <f>IF(ISERROR(IF(K247=0,"",IF(K247=1,CHAR(HEX2DEC(G247)),IF(K247=2,VLOOKUP(CONCATENATE(G247," ",G248),'IGS Configuration Values'!$C$241:$D$496,2,FALSE),"N/D"))))=TRUE,"",IF(K247=0,"",IF(K247=1,CHAR(HEX2DEC(G247)),IF(K247=2,VLOOKUP(CONCATENATE(G247," ",G248),'IGS Configuration Values'!$C$241:$D$496,2,FALSE),"N/D"))))</f>
        <v/>
      </c>
      <c r="J247" s="323"/>
      <c r="K247" s="158">
        <f t="shared" si="20"/>
        <v>1</v>
      </c>
    </row>
    <row r="248" spans="3:11" hidden="1" outlineLevel="1">
      <c r="C248" s="19" t="s">
        <v>1873</v>
      </c>
      <c r="D248" s="18">
        <f t="shared" si="17"/>
        <v>250</v>
      </c>
      <c r="E248" s="18">
        <f t="shared" si="18"/>
        <v>250</v>
      </c>
      <c r="F248" s="18">
        <v>1</v>
      </c>
      <c r="G248" s="301" t="str">
        <f t="shared" si="19"/>
        <v/>
      </c>
      <c r="H248" s="301"/>
      <c r="I248" s="305" t="str">
        <f>IF(ISERROR(IF(K248=0,"",IF(K248=1,CHAR(HEX2DEC(G248)),IF(K248=2,VLOOKUP(CONCATENATE(G248," ",#REF!),'IGS Configuration Values'!$C$241:$D$496,2,FALSE),"N/D"))))=TRUE,"",IF(K248=0,"",IF(K248=1,CHAR(HEX2DEC(G248)),IF(K248=2,VLOOKUP(CONCATENATE(G248," ",#REF!),'IGS Configuration Values'!$C$241:$D$496,2,FALSE),"N/D"))))</f>
        <v/>
      </c>
      <c r="J248" s="323"/>
      <c r="K248" s="158">
        <f t="shared" si="20"/>
        <v>1</v>
      </c>
    </row>
    <row r="249" spans="3:11" collapsed="1"/>
  </sheetData>
  <mergeCells count="480">
    <mergeCell ref="G245:H245"/>
    <mergeCell ref="I245:J245"/>
    <mergeCell ref="G246:H246"/>
    <mergeCell ref="I246:J246"/>
    <mergeCell ref="G247:H247"/>
    <mergeCell ref="I247:J247"/>
    <mergeCell ref="G248:H248"/>
    <mergeCell ref="I248:J248"/>
    <mergeCell ref="G240:H240"/>
    <mergeCell ref="I240:J240"/>
    <mergeCell ref="G241:H241"/>
    <mergeCell ref="I241:J241"/>
    <mergeCell ref="G242:H242"/>
    <mergeCell ref="I242:J242"/>
    <mergeCell ref="G243:H243"/>
    <mergeCell ref="I243:J243"/>
    <mergeCell ref="G244:H244"/>
    <mergeCell ref="I244:J244"/>
    <mergeCell ref="G235:H235"/>
    <mergeCell ref="I235:J235"/>
    <mergeCell ref="G236:H236"/>
    <mergeCell ref="I236:J236"/>
    <mergeCell ref="G237:H237"/>
    <mergeCell ref="I237:J237"/>
    <mergeCell ref="G238:H238"/>
    <mergeCell ref="I238:J238"/>
    <mergeCell ref="G239:H239"/>
    <mergeCell ref="I239:J239"/>
    <mergeCell ref="G230:H230"/>
    <mergeCell ref="I230:J230"/>
    <mergeCell ref="G231:H231"/>
    <mergeCell ref="I231:J231"/>
    <mergeCell ref="G232:H232"/>
    <mergeCell ref="I232:J232"/>
    <mergeCell ref="G233:H233"/>
    <mergeCell ref="I233:J233"/>
    <mergeCell ref="G234:H234"/>
    <mergeCell ref="I234:J234"/>
    <mergeCell ref="G225:H225"/>
    <mergeCell ref="I225:J225"/>
    <mergeCell ref="G226:H226"/>
    <mergeCell ref="I226:J226"/>
    <mergeCell ref="G227:H227"/>
    <mergeCell ref="I227:J227"/>
    <mergeCell ref="G228:H228"/>
    <mergeCell ref="I228:J228"/>
    <mergeCell ref="G229:H229"/>
    <mergeCell ref="I229:J229"/>
    <mergeCell ref="G220:H220"/>
    <mergeCell ref="I220:J220"/>
    <mergeCell ref="G221:H221"/>
    <mergeCell ref="I221:J221"/>
    <mergeCell ref="G222:H222"/>
    <mergeCell ref="I222:J222"/>
    <mergeCell ref="G223:H223"/>
    <mergeCell ref="I223:J223"/>
    <mergeCell ref="G224:H224"/>
    <mergeCell ref="I224:J224"/>
    <mergeCell ref="G215:H215"/>
    <mergeCell ref="I215:J215"/>
    <mergeCell ref="G216:H216"/>
    <mergeCell ref="I216:J216"/>
    <mergeCell ref="G217:H217"/>
    <mergeCell ref="I217:J217"/>
    <mergeCell ref="G218:H218"/>
    <mergeCell ref="I218:J218"/>
    <mergeCell ref="G219:H219"/>
    <mergeCell ref="I219:J219"/>
    <mergeCell ref="G210:H210"/>
    <mergeCell ref="I210:J210"/>
    <mergeCell ref="G211:H211"/>
    <mergeCell ref="I211:J211"/>
    <mergeCell ref="G212:H212"/>
    <mergeCell ref="I212:J212"/>
    <mergeCell ref="G213:H213"/>
    <mergeCell ref="I213:J213"/>
    <mergeCell ref="G214:H214"/>
    <mergeCell ref="I214:J214"/>
    <mergeCell ref="G205:H205"/>
    <mergeCell ref="I205:J205"/>
    <mergeCell ref="G206:H206"/>
    <mergeCell ref="I206:J206"/>
    <mergeCell ref="G207:H207"/>
    <mergeCell ref="I207:J207"/>
    <mergeCell ref="G208:H208"/>
    <mergeCell ref="I208:J208"/>
    <mergeCell ref="G209:H209"/>
    <mergeCell ref="I209:J209"/>
    <mergeCell ref="G200:H200"/>
    <mergeCell ref="I200:J200"/>
    <mergeCell ref="G201:H201"/>
    <mergeCell ref="I201:J201"/>
    <mergeCell ref="G202:H202"/>
    <mergeCell ref="I202:J202"/>
    <mergeCell ref="G203:H203"/>
    <mergeCell ref="I203:J203"/>
    <mergeCell ref="G204:H204"/>
    <mergeCell ref="I204:J204"/>
    <mergeCell ref="G195:H195"/>
    <mergeCell ref="I195:J195"/>
    <mergeCell ref="G196:H196"/>
    <mergeCell ref="I196:J196"/>
    <mergeCell ref="G197:H197"/>
    <mergeCell ref="I197:J197"/>
    <mergeCell ref="G198:H198"/>
    <mergeCell ref="I198:J198"/>
    <mergeCell ref="G199:H199"/>
    <mergeCell ref="I199:J199"/>
    <mergeCell ref="G190:H190"/>
    <mergeCell ref="I190:J190"/>
    <mergeCell ref="G191:H191"/>
    <mergeCell ref="I191:J191"/>
    <mergeCell ref="G192:H192"/>
    <mergeCell ref="I192:J192"/>
    <mergeCell ref="G193:H193"/>
    <mergeCell ref="I193:J193"/>
    <mergeCell ref="G194:H194"/>
    <mergeCell ref="I194:J194"/>
    <mergeCell ref="G185:H185"/>
    <mergeCell ref="I185:J185"/>
    <mergeCell ref="G186:H186"/>
    <mergeCell ref="I186:J186"/>
    <mergeCell ref="G187:H187"/>
    <mergeCell ref="I187:J187"/>
    <mergeCell ref="G188:H188"/>
    <mergeCell ref="I188:J188"/>
    <mergeCell ref="G189:H189"/>
    <mergeCell ref="I189:J189"/>
    <mergeCell ref="G180:H180"/>
    <mergeCell ref="I180:J180"/>
    <mergeCell ref="G181:H181"/>
    <mergeCell ref="I181:J181"/>
    <mergeCell ref="G182:H182"/>
    <mergeCell ref="I182:J182"/>
    <mergeCell ref="G183:H183"/>
    <mergeCell ref="I183:J183"/>
    <mergeCell ref="G184:H184"/>
    <mergeCell ref="I184:J184"/>
    <mergeCell ref="G175:H175"/>
    <mergeCell ref="I175:J175"/>
    <mergeCell ref="G176:H176"/>
    <mergeCell ref="I176:J176"/>
    <mergeCell ref="G177:H177"/>
    <mergeCell ref="I177:J177"/>
    <mergeCell ref="G178:H178"/>
    <mergeCell ref="I178:J178"/>
    <mergeCell ref="G179:H179"/>
    <mergeCell ref="I179:J179"/>
    <mergeCell ref="G170:H170"/>
    <mergeCell ref="I170:J170"/>
    <mergeCell ref="G171:H171"/>
    <mergeCell ref="I171:J171"/>
    <mergeCell ref="G172:H172"/>
    <mergeCell ref="I172:J172"/>
    <mergeCell ref="G173:H173"/>
    <mergeCell ref="I173:J173"/>
    <mergeCell ref="G174:H174"/>
    <mergeCell ref="I174:J174"/>
    <mergeCell ref="G165:H165"/>
    <mergeCell ref="I165:J165"/>
    <mergeCell ref="G166:H166"/>
    <mergeCell ref="I166:J166"/>
    <mergeCell ref="G167:H167"/>
    <mergeCell ref="I167:J167"/>
    <mergeCell ref="G168:H168"/>
    <mergeCell ref="I168:J168"/>
    <mergeCell ref="G169:H169"/>
    <mergeCell ref="I169:J169"/>
    <mergeCell ref="G160:H160"/>
    <mergeCell ref="I160:J160"/>
    <mergeCell ref="G161:H161"/>
    <mergeCell ref="I161:J161"/>
    <mergeCell ref="G162:H162"/>
    <mergeCell ref="I162:J162"/>
    <mergeCell ref="G163:H163"/>
    <mergeCell ref="I163:J163"/>
    <mergeCell ref="G164:H164"/>
    <mergeCell ref="I164:J164"/>
    <mergeCell ref="G155:H155"/>
    <mergeCell ref="I155:J155"/>
    <mergeCell ref="G156:H156"/>
    <mergeCell ref="I156:J156"/>
    <mergeCell ref="G157:H157"/>
    <mergeCell ref="I157:J157"/>
    <mergeCell ref="G158:H158"/>
    <mergeCell ref="I158:J158"/>
    <mergeCell ref="G159:H159"/>
    <mergeCell ref="I159:J159"/>
    <mergeCell ref="G150:H150"/>
    <mergeCell ref="I150:J150"/>
    <mergeCell ref="G151:H151"/>
    <mergeCell ref="I151:J151"/>
    <mergeCell ref="G152:H152"/>
    <mergeCell ref="I152:J152"/>
    <mergeCell ref="G153:H153"/>
    <mergeCell ref="I153:J153"/>
    <mergeCell ref="G154:H154"/>
    <mergeCell ref="I154:J154"/>
    <mergeCell ref="G145:H145"/>
    <mergeCell ref="I145:J145"/>
    <mergeCell ref="G146:H146"/>
    <mergeCell ref="I146:J146"/>
    <mergeCell ref="G147:H147"/>
    <mergeCell ref="I147:J147"/>
    <mergeCell ref="G148:H148"/>
    <mergeCell ref="I148:J148"/>
    <mergeCell ref="G149:H149"/>
    <mergeCell ref="I149:J149"/>
    <mergeCell ref="G140:H140"/>
    <mergeCell ref="I140:J140"/>
    <mergeCell ref="G141:H141"/>
    <mergeCell ref="I141:J141"/>
    <mergeCell ref="G142:H142"/>
    <mergeCell ref="I142:J142"/>
    <mergeCell ref="G143:H143"/>
    <mergeCell ref="I143:J143"/>
    <mergeCell ref="G144:H144"/>
    <mergeCell ref="I144:J144"/>
    <mergeCell ref="G135:H135"/>
    <mergeCell ref="I135:J135"/>
    <mergeCell ref="G136:H136"/>
    <mergeCell ref="I136:J136"/>
    <mergeCell ref="G137:H137"/>
    <mergeCell ref="I137:J137"/>
    <mergeCell ref="G138:H138"/>
    <mergeCell ref="I138:J138"/>
    <mergeCell ref="G139:H139"/>
    <mergeCell ref="I139:J139"/>
    <mergeCell ref="G130:H130"/>
    <mergeCell ref="I130:J130"/>
    <mergeCell ref="G131:H131"/>
    <mergeCell ref="I131:J131"/>
    <mergeCell ref="G132:H132"/>
    <mergeCell ref="I132:J132"/>
    <mergeCell ref="G133:H133"/>
    <mergeCell ref="I133:J133"/>
    <mergeCell ref="G134:H134"/>
    <mergeCell ref="I134:J134"/>
    <mergeCell ref="G125:H125"/>
    <mergeCell ref="I125:J125"/>
    <mergeCell ref="G126:H126"/>
    <mergeCell ref="I126:J126"/>
    <mergeCell ref="G127:H127"/>
    <mergeCell ref="I127:J127"/>
    <mergeCell ref="G128:H128"/>
    <mergeCell ref="I128:J128"/>
    <mergeCell ref="G129:H129"/>
    <mergeCell ref="I129:J129"/>
    <mergeCell ref="G120:H120"/>
    <mergeCell ref="I120:J120"/>
    <mergeCell ref="G121:H121"/>
    <mergeCell ref="I121:J121"/>
    <mergeCell ref="G122:H122"/>
    <mergeCell ref="I122:J122"/>
    <mergeCell ref="G123:H123"/>
    <mergeCell ref="I123:J123"/>
    <mergeCell ref="G124:H124"/>
    <mergeCell ref="I124:J124"/>
    <mergeCell ref="G115:H115"/>
    <mergeCell ref="I115:J115"/>
    <mergeCell ref="G116:H116"/>
    <mergeCell ref="I116:J116"/>
    <mergeCell ref="G117:H117"/>
    <mergeCell ref="I117:J117"/>
    <mergeCell ref="G118:H118"/>
    <mergeCell ref="I118:J118"/>
    <mergeCell ref="G119:H119"/>
    <mergeCell ref="I119:J119"/>
    <mergeCell ref="G110:H110"/>
    <mergeCell ref="I110:J110"/>
    <mergeCell ref="G111:H111"/>
    <mergeCell ref="I111:J111"/>
    <mergeCell ref="G112:H112"/>
    <mergeCell ref="I112:J112"/>
    <mergeCell ref="G113:H113"/>
    <mergeCell ref="I113:J113"/>
    <mergeCell ref="G114:H114"/>
    <mergeCell ref="I114:J114"/>
    <mergeCell ref="G105:H105"/>
    <mergeCell ref="I105:J105"/>
    <mergeCell ref="G106:H106"/>
    <mergeCell ref="I106:J106"/>
    <mergeCell ref="G107:H107"/>
    <mergeCell ref="I107:J107"/>
    <mergeCell ref="G108:H108"/>
    <mergeCell ref="I108:J108"/>
    <mergeCell ref="G109:H109"/>
    <mergeCell ref="I109:J109"/>
    <mergeCell ref="G100:H100"/>
    <mergeCell ref="I100:J100"/>
    <mergeCell ref="G101:H101"/>
    <mergeCell ref="I101:J101"/>
    <mergeCell ref="G102:H102"/>
    <mergeCell ref="I102:J102"/>
    <mergeCell ref="G103:H103"/>
    <mergeCell ref="I103:J103"/>
    <mergeCell ref="G104:H104"/>
    <mergeCell ref="I104:J104"/>
    <mergeCell ref="G95:H95"/>
    <mergeCell ref="I95:J95"/>
    <mergeCell ref="G96:H96"/>
    <mergeCell ref="I96:J96"/>
    <mergeCell ref="G97:H97"/>
    <mergeCell ref="I97:J97"/>
    <mergeCell ref="G98:H98"/>
    <mergeCell ref="I98:J98"/>
    <mergeCell ref="G99:H99"/>
    <mergeCell ref="I99:J99"/>
    <mergeCell ref="G90:H90"/>
    <mergeCell ref="I90:J90"/>
    <mergeCell ref="G91:H91"/>
    <mergeCell ref="I91:J91"/>
    <mergeCell ref="G92:H92"/>
    <mergeCell ref="I92:J92"/>
    <mergeCell ref="G93:H93"/>
    <mergeCell ref="I93:J93"/>
    <mergeCell ref="G94:H94"/>
    <mergeCell ref="I94:J94"/>
    <mergeCell ref="G85:H85"/>
    <mergeCell ref="I85:J85"/>
    <mergeCell ref="G86:H86"/>
    <mergeCell ref="I86:J86"/>
    <mergeCell ref="G87:H87"/>
    <mergeCell ref="I87:J87"/>
    <mergeCell ref="G88:H88"/>
    <mergeCell ref="I88:J88"/>
    <mergeCell ref="G89:H89"/>
    <mergeCell ref="I89:J89"/>
    <mergeCell ref="G80:H80"/>
    <mergeCell ref="I80:J80"/>
    <mergeCell ref="G81:H81"/>
    <mergeCell ref="I81:J81"/>
    <mergeCell ref="G82:H82"/>
    <mergeCell ref="I82:J82"/>
    <mergeCell ref="G83:H83"/>
    <mergeCell ref="I83:J83"/>
    <mergeCell ref="G84:H84"/>
    <mergeCell ref="I84:J84"/>
    <mergeCell ref="G75:H75"/>
    <mergeCell ref="I75:J75"/>
    <mergeCell ref="G76:H76"/>
    <mergeCell ref="I76:J76"/>
    <mergeCell ref="G77:H77"/>
    <mergeCell ref="I77:J77"/>
    <mergeCell ref="G78:H78"/>
    <mergeCell ref="I78:J78"/>
    <mergeCell ref="G79:H79"/>
    <mergeCell ref="I79:J79"/>
    <mergeCell ref="I73:J73"/>
    <mergeCell ref="I74:J74"/>
    <mergeCell ref="I63:J63"/>
    <mergeCell ref="I64:J64"/>
    <mergeCell ref="I65:J65"/>
    <mergeCell ref="I66:J66"/>
    <mergeCell ref="I67:J67"/>
    <mergeCell ref="I68:J68"/>
    <mergeCell ref="I57:J57"/>
    <mergeCell ref="I58:J58"/>
    <mergeCell ref="I59:J59"/>
    <mergeCell ref="I60:J60"/>
    <mergeCell ref="I61:J61"/>
    <mergeCell ref="I62:J62"/>
    <mergeCell ref="I48:J48"/>
    <mergeCell ref="I49:J49"/>
    <mergeCell ref="I50:J50"/>
    <mergeCell ref="G72:H72"/>
    <mergeCell ref="G57:H57"/>
    <mergeCell ref="G58:H58"/>
    <mergeCell ref="G59:H59"/>
    <mergeCell ref="G48:H48"/>
    <mergeCell ref="G49:H49"/>
    <mergeCell ref="G50:H50"/>
    <mergeCell ref="G51:H51"/>
    <mergeCell ref="G52:H52"/>
    <mergeCell ref="G53:H53"/>
    <mergeCell ref="I69:J69"/>
    <mergeCell ref="I70:J70"/>
    <mergeCell ref="I71:J71"/>
    <mergeCell ref="I72:J72"/>
    <mergeCell ref="I51:J51"/>
    <mergeCell ref="I52:J52"/>
    <mergeCell ref="I53:J53"/>
    <mergeCell ref="I54:J54"/>
    <mergeCell ref="I55:J55"/>
    <mergeCell ref="I56:J56"/>
    <mergeCell ref="G73:H73"/>
    <mergeCell ref="G74:H74"/>
    <mergeCell ref="I38:J38"/>
    <mergeCell ref="I39:J39"/>
    <mergeCell ref="I40:J40"/>
    <mergeCell ref="I41:J41"/>
    <mergeCell ref="I42:J42"/>
    <mergeCell ref="I43:J43"/>
    <mergeCell ref="I44:J44"/>
    <mergeCell ref="G66:H66"/>
    <mergeCell ref="G67:H67"/>
    <mergeCell ref="G68:H68"/>
    <mergeCell ref="G69:H69"/>
    <mergeCell ref="G70:H70"/>
    <mergeCell ref="G71:H71"/>
    <mergeCell ref="G60:H60"/>
    <mergeCell ref="G61:H61"/>
    <mergeCell ref="G62:H62"/>
    <mergeCell ref="G63:H63"/>
    <mergeCell ref="G64:H64"/>
    <mergeCell ref="G65:H65"/>
    <mergeCell ref="G54:H54"/>
    <mergeCell ref="G55:H55"/>
    <mergeCell ref="G56:H56"/>
    <mergeCell ref="G42:H42"/>
    <mergeCell ref="G43:H43"/>
    <mergeCell ref="G44:H44"/>
    <mergeCell ref="G45:H45"/>
    <mergeCell ref="G46:H46"/>
    <mergeCell ref="G47:H47"/>
    <mergeCell ref="I36:J36"/>
    <mergeCell ref="I37:J37"/>
    <mergeCell ref="G38:H38"/>
    <mergeCell ref="G39:H39"/>
    <mergeCell ref="G40:H40"/>
    <mergeCell ref="G41:H41"/>
    <mergeCell ref="I45:J45"/>
    <mergeCell ref="I46:J46"/>
    <mergeCell ref="I47:J47"/>
    <mergeCell ref="I30:J30"/>
    <mergeCell ref="I31:J31"/>
    <mergeCell ref="I32:J32"/>
    <mergeCell ref="I33:J33"/>
    <mergeCell ref="I34:J34"/>
    <mergeCell ref="I35:J35"/>
    <mergeCell ref="I24:J24"/>
    <mergeCell ref="I25:J25"/>
    <mergeCell ref="I26:J26"/>
    <mergeCell ref="I27:J27"/>
    <mergeCell ref="I28:J28"/>
    <mergeCell ref="I29:J29"/>
    <mergeCell ref="G35:H35"/>
    <mergeCell ref="G36:H36"/>
    <mergeCell ref="G37:H37"/>
    <mergeCell ref="I17:J17"/>
    <mergeCell ref="I18:J18"/>
    <mergeCell ref="I19:J19"/>
    <mergeCell ref="I20:J20"/>
    <mergeCell ref="I21:J21"/>
    <mergeCell ref="I22:J22"/>
    <mergeCell ref="I23:J23"/>
    <mergeCell ref="G29:H29"/>
    <mergeCell ref="G30:H30"/>
    <mergeCell ref="G31:H31"/>
    <mergeCell ref="G32:H32"/>
    <mergeCell ref="G33:H33"/>
    <mergeCell ref="G34:H34"/>
    <mergeCell ref="G23:H23"/>
    <mergeCell ref="G24:H24"/>
    <mergeCell ref="G25:H25"/>
    <mergeCell ref="G26:H26"/>
    <mergeCell ref="G27:H27"/>
    <mergeCell ref="G28:H28"/>
    <mergeCell ref="G17:H17"/>
    <mergeCell ref="G18:H18"/>
    <mergeCell ref="L6:N6"/>
    <mergeCell ref="G6:H6"/>
    <mergeCell ref="I6:J6"/>
    <mergeCell ref="G9:H9"/>
    <mergeCell ref="I9:J9"/>
    <mergeCell ref="G19:H19"/>
    <mergeCell ref="G20:H20"/>
    <mergeCell ref="G21:H21"/>
    <mergeCell ref="G22:H22"/>
    <mergeCell ref="G14:H14"/>
    <mergeCell ref="G15:H15"/>
    <mergeCell ref="I13:J13"/>
    <mergeCell ref="I14:J14"/>
    <mergeCell ref="G10:H10"/>
    <mergeCell ref="I10:J10"/>
    <mergeCell ref="G11:H11"/>
    <mergeCell ref="I11:J11"/>
    <mergeCell ref="G13:H13"/>
    <mergeCell ref="G16:H16"/>
    <mergeCell ref="I16:J16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olha2">
    <tabColor theme="5" tint="0.39997558519241921"/>
  </sheetPr>
  <dimension ref="A1:N10"/>
  <sheetViews>
    <sheetView workbookViewId="0">
      <selection activeCell="C4" sqref="C4"/>
    </sheetView>
  </sheetViews>
  <sheetFormatPr defaultRowHeight="15"/>
  <cols>
    <col min="1" max="1" width="2.140625" customWidth="1"/>
    <col min="2" max="2" width="17.85546875" customWidth="1"/>
    <col min="3" max="3" width="31" customWidth="1"/>
    <col min="4" max="4" width="5.140625" bestFit="1" customWidth="1"/>
    <col min="5" max="5" width="4.28515625" bestFit="1" customWidth="1"/>
    <col min="6" max="6" width="4.5703125" bestFit="1" customWidth="1"/>
    <col min="7" max="8" width="15.140625" customWidth="1"/>
    <col min="9" max="9" width="21.42578125" bestFit="1" customWidth="1"/>
    <col min="10" max="10" width="24.85546875" bestFit="1" customWidth="1"/>
    <col min="11" max="11" width="4.85546875" customWidth="1"/>
    <col min="12" max="12" width="9.140625" style="29"/>
  </cols>
  <sheetData>
    <row r="1" spans="1:14">
      <c r="A1" s="20"/>
      <c r="B1" s="161" t="s">
        <v>0</v>
      </c>
      <c r="C1" s="20"/>
      <c r="D1" s="20"/>
      <c r="E1" s="20"/>
      <c r="F1" s="20"/>
      <c r="G1" s="20"/>
      <c r="H1" s="20"/>
      <c r="I1" s="20"/>
      <c r="J1" s="20"/>
      <c r="K1" s="20"/>
    </row>
    <row r="2" spans="1:14" ht="18.75">
      <c r="B2" s="14" t="s">
        <v>1636</v>
      </c>
    </row>
    <row r="4" spans="1:14">
      <c r="B4" s="7" t="s">
        <v>1104</v>
      </c>
      <c r="C4" s="163"/>
    </row>
    <row r="6" spans="1:14">
      <c r="B6" s="15" t="s">
        <v>1105</v>
      </c>
      <c r="C6" s="15" t="s">
        <v>1106</v>
      </c>
      <c r="D6" s="15" t="s">
        <v>1107</v>
      </c>
      <c r="E6" s="15" t="s">
        <v>1108</v>
      </c>
      <c r="F6" s="15" t="s">
        <v>1109</v>
      </c>
      <c r="G6" s="307" t="s">
        <v>1110</v>
      </c>
      <c r="H6" s="307"/>
      <c r="I6" s="307" t="s">
        <v>1111</v>
      </c>
      <c r="J6" s="307"/>
      <c r="L6" s="293" t="s">
        <v>1112</v>
      </c>
      <c r="M6" s="294"/>
      <c r="N6" s="295"/>
    </row>
    <row r="7" spans="1:14">
      <c r="B7" s="2">
        <v>1</v>
      </c>
      <c r="C7" s="3" t="s">
        <v>1113</v>
      </c>
      <c r="D7" s="2">
        <v>1</v>
      </c>
      <c r="E7" s="2">
        <f t="shared" ref="E7:E10" si="0">D7+F7-1</f>
        <v>1</v>
      </c>
      <c r="F7" s="2">
        <v>1</v>
      </c>
      <c r="G7" s="2" t="str">
        <f>TRIM(MID($C$4,1,1))</f>
        <v/>
      </c>
      <c r="H7" s="2" t="str">
        <f>TRIM(MID($C$4,2,1))</f>
        <v/>
      </c>
      <c r="I7" s="2">
        <f>HEX2DEC(SUBSTITUTE(G7," ",""))</f>
        <v>0</v>
      </c>
      <c r="J7" s="2">
        <f>HEX2DEC(SUBSTITUTE(H7," ",""))</f>
        <v>0</v>
      </c>
      <c r="L7" s="29" t="str">
        <f>IF(MOD(INT(HEX2BIN(G7,4)/(2^(3-1))),2)=1,CONCATENATE("This is a Retry"),CONCATENATE("This is NOT a Retry"))</f>
        <v>This is NOT a Retry</v>
      </c>
    </row>
    <row r="8" spans="1:14">
      <c r="B8" s="2">
        <v>2</v>
      </c>
      <c r="C8" s="3" t="s">
        <v>1874</v>
      </c>
      <c r="D8" s="2">
        <f t="shared" ref="D8:D10" si="1">E7+1</f>
        <v>2</v>
      </c>
      <c r="E8" s="2">
        <f t="shared" si="0"/>
        <v>2</v>
      </c>
      <c r="F8" s="2">
        <v>1</v>
      </c>
      <c r="G8" s="2" t="str">
        <f>TRIM(MID($C$4,4,1))</f>
        <v/>
      </c>
      <c r="H8" s="2" t="str">
        <f>TRIM(MID($C$4,5,1))</f>
        <v/>
      </c>
      <c r="I8" s="2">
        <f>HEX2DEC(SUBSTITUTE(G8," ",""))</f>
        <v>0</v>
      </c>
      <c r="J8" s="2">
        <f>HEX2DEC(SUBSTITUTE(H8," ",""))</f>
        <v>0</v>
      </c>
      <c r="L8" s="29" t="str">
        <f>IF(CONCATENATE(I8,J8)&lt;&gt;"90","Invalid Type/Subtype","Millennium Error Message")</f>
        <v>Invalid Type/Subtype</v>
      </c>
    </row>
    <row r="9" spans="1:14">
      <c r="B9" s="2">
        <v>3</v>
      </c>
      <c r="C9" s="3" t="s">
        <v>1115</v>
      </c>
      <c r="D9" s="2">
        <f t="shared" si="1"/>
        <v>3</v>
      </c>
      <c r="E9" s="2">
        <f t="shared" si="0"/>
        <v>4</v>
      </c>
      <c r="F9" s="2">
        <v>2</v>
      </c>
      <c r="G9" s="255" t="str">
        <f>TRIM(MID($C$4,(D9-1)*3+1,F9*3))</f>
        <v/>
      </c>
      <c r="H9" s="255"/>
      <c r="I9" s="231">
        <f>HEX2DEC(SUBSTITUTE(G9," ",""))</f>
        <v>0</v>
      </c>
      <c r="J9" s="231"/>
    </row>
    <row r="10" spans="1:14">
      <c r="B10" s="2">
        <v>5</v>
      </c>
      <c r="C10" s="3" t="s">
        <v>1875</v>
      </c>
      <c r="D10" s="2">
        <f t="shared" si="1"/>
        <v>5</v>
      </c>
      <c r="E10" s="2">
        <f t="shared" si="0"/>
        <v>5</v>
      </c>
      <c r="F10" s="2">
        <v>1</v>
      </c>
      <c r="G10" s="255" t="str">
        <f>TRIM(MID($C$4,(D10-1)*3+1,F10*3))</f>
        <v/>
      </c>
      <c r="H10" s="255"/>
      <c r="I10" s="231">
        <f>HEX2DEC(SUBSTITUTE(G10," ",""))</f>
        <v>0</v>
      </c>
      <c r="J10" s="231"/>
      <c r="L10" s="29" t="str">
        <f>IF(ISNA(VLOOKUP(G10,'IGS Configuration Values'!$B$210:$F$236,2,FALSE))=TRUE,"Invalid Error Number",VLOOKUP(G10,'IGS Configuration Values'!$B$210:$F$236,2,FALSE))</f>
        <v>Invalid Error Number</v>
      </c>
    </row>
  </sheetData>
  <mergeCells count="7">
    <mergeCell ref="G10:H10"/>
    <mergeCell ref="I10:J10"/>
    <mergeCell ref="L6:N6"/>
    <mergeCell ref="G6:H6"/>
    <mergeCell ref="I6:J6"/>
    <mergeCell ref="G9:H9"/>
    <mergeCell ref="I9:J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SCML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mvicente.acc</dc:creator>
  <cp:keywords/>
  <dc:description/>
  <cp:lastModifiedBy>Henrique Manuel Corte</cp:lastModifiedBy>
  <cp:revision/>
  <dcterms:created xsi:type="dcterms:W3CDTF">2013-11-27T18:15:08Z</dcterms:created>
  <dcterms:modified xsi:type="dcterms:W3CDTF">2022-06-07T15:39:14Z</dcterms:modified>
  <cp:category/>
  <cp:contentStatus/>
</cp:coreProperties>
</file>